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D391E58A-936B-48D1-90DC-4E1FED82906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over" sheetId="1" r:id="rId1"/>
    <sheet name="poolBreakdown" sheetId="8" r:id="rId2"/>
    <sheet name="Rounds" sheetId="2" r:id="rId3"/>
    <sheet name="targetCheck" sheetId="20" r:id="rId4"/>
    <sheet name="CEC" sheetId="10" state="hidden" r:id="rId5"/>
    <sheet name="Language points" sheetId="11" state="hidden" r:id="rId6"/>
    <sheet name="CEC_Count" sheetId="7" state="hidden" r:id="rId7"/>
    <sheet name="Analysis" sheetId="3" state="hidden" r:id="rId8"/>
    <sheet name="Overall" sheetId="4" state="hidden" r:id="rId9"/>
    <sheet name="toDo_Checklist" sheetId="14" r:id="rId10"/>
    <sheet name="check" sheetId="17" state="hidden" r:id="rId11"/>
    <sheet name="daysCounter" sheetId="19" state="hidden" r:id="rId12"/>
    <sheet name="Missed" sheetId="13" state="hidden" r:id="rId13"/>
    <sheet name="TC" sheetId="5" r:id="rId14"/>
  </sheets>
  <definedNames>
    <definedName name="_xlnm._FilterDatabase" localSheetId="9" hidden="1">toDo_Checklist!$A$1:$J$51</definedName>
    <definedName name="_xlnm._FilterDatabase" localSheetId="13" hidden="1">TC!$S$1:$U$29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8" l="1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X2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G3" i="20"/>
  <c r="H3" i="20"/>
  <c r="I3" i="20"/>
  <c r="J3" i="20"/>
  <c r="K3" i="20"/>
  <c r="L3" i="20"/>
  <c r="M3" i="20"/>
  <c r="N3" i="20"/>
  <c r="O3" i="20"/>
  <c r="G5" i="20"/>
  <c r="H5" i="20"/>
  <c r="I5" i="20"/>
  <c r="J5" i="20"/>
  <c r="K5" i="20"/>
  <c r="L5" i="20"/>
  <c r="M5" i="20"/>
  <c r="N5" i="20"/>
  <c r="O5" i="20"/>
  <c r="P5" i="20"/>
  <c r="B1" i="20"/>
  <c r="A6" i="20" a="1"/>
  <c r="A6" i="20"/>
  <c r="W2" i="5" a="1"/>
  <c r="W2" i="5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A55" i="8" a="1"/>
  <c r="A55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  <c r="B66" i="8"/>
  <c r="C66" i="8" s="1"/>
  <c r="B67" i="8"/>
  <c r="C67" i="8" s="1"/>
  <c r="B68" i="8"/>
  <c r="C68" i="8" s="1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N6" i="8"/>
  <c r="L6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5" i="8"/>
  <c r="N4" i="8"/>
  <c r="N3" i="8"/>
  <c r="N2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5" i="8"/>
  <c r="L4" i="8"/>
  <c r="L3" i="8"/>
  <c r="L2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F398" i="2"/>
  <c r="F397" i="2"/>
  <c r="F396" i="2"/>
  <c r="F395" i="2"/>
  <c r="F400" i="2"/>
  <c r="F399" i="2"/>
  <c r="F402" i="2"/>
  <c r="F401" i="2"/>
  <c r="F403" i="2"/>
  <c r="F404" i="2"/>
  <c r="F406" i="2"/>
  <c r="F405" i="2"/>
  <c r="F407" i="2"/>
  <c r="F410" i="2"/>
  <c r="F409" i="2"/>
  <c r="F408" i="2"/>
  <c r="F411" i="2"/>
  <c r="F412" i="2"/>
  <c r="F413" i="2"/>
  <c r="F415" i="2"/>
  <c r="F414" i="2"/>
  <c r="F416" i="2"/>
  <c r="F417" i="2"/>
  <c r="F418" i="2"/>
  <c r="F420" i="2"/>
  <c r="F419" i="2"/>
  <c r="F421" i="2"/>
  <c r="F422" i="2"/>
  <c r="F423" i="2"/>
  <c r="F424" i="2"/>
  <c r="F425" i="2"/>
  <c r="F426" i="2"/>
  <c r="F427" i="2"/>
  <c r="F428" i="2"/>
  <c r="F429" i="2"/>
  <c r="F430" i="2"/>
  <c r="I3" i="19"/>
  <c r="A4563" i="19"/>
  <c r="D4563" i="19"/>
  <c r="E4563" i="19"/>
  <c r="F4563" i="19"/>
  <c r="A4564" i="19"/>
  <c r="D4564" i="19"/>
  <c r="E4564" i="19"/>
  <c r="F4564" i="19"/>
  <c r="A4565" i="19"/>
  <c r="D4565" i="19"/>
  <c r="E4565" i="19"/>
  <c r="F4565" i="19"/>
  <c r="A4566" i="19"/>
  <c r="D4566" i="19"/>
  <c r="E4566" i="19"/>
  <c r="F4566" i="19"/>
  <c r="A4567" i="19"/>
  <c r="D4567" i="19"/>
  <c r="E4567" i="19"/>
  <c r="F4567" i="19"/>
  <c r="A4568" i="19"/>
  <c r="D4568" i="19"/>
  <c r="E4568" i="19"/>
  <c r="F4568" i="19"/>
  <c r="A4569" i="19"/>
  <c r="D4569" i="19"/>
  <c r="E4569" i="19"/>
  <c r="F4569" i="19"/>
  <c r="A4570" i="19"/>
  <c r="D4570" i="19"/>
  <c r="E4570" i="19"/>
  <c r="F4570" i="19"/>
  <c r="A4571" i="19"/>
  <c r="D4571" i="19"/>
  <c r="E4571" i="19"/>
  <c r="F4571" i="19"/>
  <c r="A4572" i="19"/>
  <c r="D4572" i="19"/>
  <c r="E4572" i="19"/>
  <c r="F4572" i="19"/>
  <c r="A4573" i="19"/>
  <c r="D4573" i="19"/>
  <c r="E4573" i="19"/>
  <c r="F4573" i="19"/>
  <c r="A4574" i="19"/>
  <c r="D4574" i="19"/>
  <c r="E4574" i="19"/>
  <c r="F4574" i="19"/>
  <c r="A4575" i="19"/>
  <c r="D4575" i="19"/>
  <c r="E4575" i="19"/>
  <c r="F4575" i="19"/>
  <c r="A4576" i="19"/>
  <c r="D4576" i="19"/>
  <c r="E4576" i="19"/>
  <c r="F4576" i="19"/>
  <c r="A4577" i="19"/>
  <c r="D4577" i="19"/>
  <c r="E4577" i="19"/>
  <c r="F4577" i="19"/>
  <c r="A4578" i="19"/>
  <c r="D4578" i="19"/>
  <c r="E4578" i="19"/>
  <c r="F4578" i="19"/>
  <c r="A4579" i="19"/>
  <c r="D4579" i="19"/>
  <c r="E4579" i="19"/>
  <c r="F4579" i="19"/>
  <c r="A4580" i="19"/>
  <c r="D4580" i="19"/>
  <c r="E4580" i="19"/>
  <c r="F4580" i="19"/>
  <c r="A4581" i="19"/>
  <c r="D4581" i="19"/>
  <c r="E4581" i="19"/>
  <c r="F4581" i="19"/>
  <c r="A4582" i="19"/>
  <c r="D4582" i="19"/>
  <c r="E4582" i="19"/>
  <c r="F4582" i="19"/>
  <c r="A4583" i="19"/>
  <c r="D4583" i="19"/>
  <c r="E4583" i="19"/>
  <c r="F4583" i="19"/>
  <c r="A4584" i="19"/>
  <c r="D4584" i="19"/>
  <c r="E4584" i="19"/>
  <c r="F4584" i="19"/>
  <c r="A4585" i="19"/>
  <c r="D4585" i="19"/>
  <c r="E4585" i="19"/>
  <c r="F4585" i="19"/>
  <c r="A4586" i="19"/>
  <c r="D4586" i="19"/>
  <c r="E4586" i="19"/>
  <c r="F4586" i="19"/>
  <c r="A4587" i="19"/>
  <c r="D4587" i="19"/>
  <c r="E4587" i="19"/>
  <c r="F4587" i="19"/>
  <c r="A4588" i="19"/>
  <c r="D4588" i="19"/>
  <c r="E4588" i="19"/>
  <c r="F4588" i="19"/>
  <c r="A4589" i="19"/>
  <c r="D4589" i="19"/>
  <c r="E4589" i="19"/>
  <c r="F4589" i="19"/>
  <c r="A4590" i="19"/>
  <c r="D4590" i="19"/>
  <c r="E4590" i="19"/>
  <c r="F4590" i="19"/>
  <c r="A4591" i="19"/>
  <c r="D4591" i="19"/>
  <c r="E4591" i="19"/>
  <c r="F4591" i="19"/>
  <c r="A4592" i="19"/>
  <c r="D4592" i="19"/>
  <c r="E4592" i="19"/>
  <c r="F4592" i="19"/>
  <c r="A4593" i="19"/>
  <c r="D4593" i="19"/>
  <c r="E4593" i="19"/>
  <c r="F4593" i="19"/>
  <c r="A4594" i="19"/>
  <c r="D4594" i="19"/>
  <c r="E4594" i="19"/>
  <c r="F4594" i="19"/>
  <c r="A4595" i="19"/>
  <c r="D4595" i="19"/>
  <c r="E4595" i="19"/>
  <c r="F4595" i="19"/>
  <c r="A4596" i="19"/>
  <c r="D4596" i="19"/>
  <c r="E4596" i="19"/>
  <c r="F4596" i="19"/>
  <c r="A4597" i="19"/>
  <c r="D4597" i="19"/>
  <c r="E4597" i="19"/>
  <c r="F4597" i="19"/>
  <c r="A4598" i="19"/>
  <c r="D4598" i="19"/>
  <c r="E4598" i="19"/>
  <c r="F4598" i="19"/>
  <c r="A4599" i="19"/>
  <c r="D4599" i="19"/>
  <c r="E4599" i="19"/>
  <c r="F4599" i="19"/>
  <c r="A4600" i="19"/>
  <c r="D4600" i="19"/>
  <c r="E4600" i="19"/>
  <c r="F4600" i="19"/>
  <c r="A4601" i="19"/>
  <c r="D4601" i="19"/>
  <c r="E4601" i="19"/>
  <c r="F4601" i="19"/>
  <c r="A4602" i="19"/>
  <c r="D4602" i="19"/>
  <c r="E4602" i="19"/>
  <c r="F4602" i="19"/>
  <c r="A4603" i="19"/>
  <c r="D4603" i="19"/>
  <c r="E4603" i="19"/>
  <c r="F4603" i="19"/>
  <c r="A4604" i="19"/>
  <c r="D4604" i="19"/>
  <c r="E4604" i="19"/>
  <c r="F4604" i="19"/>
  <c r="A4605" i="19"/>
  <c r="D4605" i="19"/>
  <c r="E4605" i="19"/>
  <c r="F4605" i="19"/>
  <c r="A4606" i="19"/>
  <c r="D4606" i="19"/>
  <c r="E4606" i="19"/>
  <c r="F4606" i="19"/>
  <c r="A4607" i="19"/>
  <c r="D4607" i="19"/>
  <c r="E4607" i="19"/>
  <c r="F4607" i="19"/>
  <c r="A4608" i="19"/>
  <c r="D4608" i="19"/>
  <c r="E4608" i="19"/>
  <c r="F4608" i="19"/>
  <c r="A4609" i="19"/>
  <c r="D4609" i="19"/>
  <c r="E4609" i="19"/>
  <c r="F4609" i="19"/>
  <c r="A4610" i="19"/>
  <c r="D4610" i="19"/>
  <c r="E4610" i="19"/>
  <c r="F4610" i="19"/>
  <c r="A4611" i="19"/>
  <c r="D4611" i="19"/>
  <c r="E4611" i="19"/>
  <c r="F4611" i="19"/>
  <c r="A4612" i="19"/>
  <c r="D4612" i="19"/>
  <c r="E4612" i="19"/>
  <c r="F4612" i="19"/>
  <c r="A4613" i="19"/>
  <c r="D4613" i="19"/>
  <c r="E4613" i="19"/>
  <c r="F4613" i="19"/>
  <c r="A4614" i="19"/>
  <c r="D4614" i="19"/>
  <c r="E4614" i="19"/>
  <c r="F4614" i="19"/>
  <c r="A4615" i="19"/>
  <c r="D4615" i="19"/>
  <c r="E4615" i="19"/>
  <c r="F4615" i="19"/>
  <c r="A4616" i="19"/>
  <c r="D4616" i="19"/>
  <c r="E4616" i="19"/>
  <c r="F4616" i="19"/>
  <c r="A4617" i="19"/>
  <c r="D4617" i="19"/>
  <c r="E4617" i="19"/>
  <c r="F4617" i="19"/>
  <c r="A4618" i="19"/>
  <c r="D4618" i="19"/>
  <c r="E4618" i="19"/>
  <c r="F4618" i="19"/>
  <c r="A4619" i="19"/>
  <c r="D4619" i="19"/>
  <c r="E4619" i="19"/>
  <c r="F4619" i="19"/>
  <c r="A4620" i="19"/>
  <c r="D4620" i="19"/>
  <c r="E4620" i="19"/>
  <c r="F4620" i="19"/>
  <c r="A4621" i="19"/>
  <c r="D4621" i="19"/>
  <c r="E4621" i="19"/>
  <c r="F4621" i="19"/>
  <c r="A4622" i="19"/>
  <c r="D4622" i="19"/>
  <c r="E4622" i="19"/>
  <c r="F4622" i="19"/>
  <c r="A4623" i="19"/>
  <c r="D4623" i="19"/>
  <c r="E4623" i="19"/>
  <c r="F4623" i="19"/>
  <c r="A4624" i="19"/>
  <c r="D4624" i="19"/>
  <c r="E4624" i="19"/>
  <c r="F4624" i="19"/>
  <c r="A4625" i="19"/>
  <c r="D4625" i="19"/>
  <c r="E4625" i="19"/>
  <c r="F4625" i="19"/>
  <c r="A4626" i="19"/>
  <c r="D4626" i="19"/>
  <c r="E4626" i="19"/>
  <c r="F4626" i="19"/>
  <c r="A4627" i="19"/>
  <c r="D4627" i="19"/>
  <c r="E4627" i="19"/>
  <c r="F4627" i="19"/>
  <c r="A4628" i="19"/>
  <c r="D4628" i="19"/>
  <c r="E4628" i="19"/>
  <c r="F4628" i="19"/>
  <c r="A4629" i="19"/>
  <c r="D4629" i="19"/>
  <c r="E4629" i="19"/>
  <c r="F4629" i="19"/>
  <c r="A4630" i="19"/>
  <c r="D4630" i="19"/>
  <c r="E4630" i="19"/>
  <c r="F4630" i="19"/>
  <c r="A4631" i="19"/>
  <c r="D4631" i="19"/>
  <c r="E4631" i="19"/>
  <c r="F4631" i="19"/>
  <c r="A4632" i="19"/>
  <c r="D4632" i="19"/>
  <c r="E4632" i="19"/>
  <c r="F4632" i="19"/>
  <c r="A4633" i="19"/>
  <c r="D4633" i="19"/>
  <c r="E4633" i="19"/>
  <c r="F4633" i="19"/>
  <c r="A4634" i="19"/>
  <c r="D4634" i="19"/>
  <c r="E4634" i="19"/>
  <c r="F4634" i="19"/>
  <c r="A4635" i="19"/>
  <c r="D4635" i="19"/>
  <c r="E4635" i="19"/>
  <c r="F4635" i="19"/>
  <c r="A4636" i="19"/>
  <c r="D4636" i="19"/>
  <c r="E4636" i="19"/>
  <c r="F4636" i="19"/>
  <c r="A4637" i="19"/>
  <c r="D4637" i="19"/>
  <c r="E4637" i="19"/>
  <c r="F4637" i="19"/>
  <c r="A4638" i="19"/>
  <c r="D4638" i="19"/>
  <c r="E4638" i="19"/>
  <c r="F4638" i="19"/>
  <c r="A4639" i="19"/>
  <c r="D4639" i="19"/>
  <c r="E4639" i="19"/>
  <c r="F4639" i="19"/>
  <c r="A4640" i="19"/>
  <c r="D4640" i="19"/>
  <c r="E4640" i="19"/>
  <c r="F4640" i="19"/>
  <c r="A4641" i="19"/>
  <c r="D4641" i="19"/>
  <c r="E4641" i="19"/>
  <c r="F4641" i="19"/>
  <c r="A4642" i="19"/>
  <c r="D4642" i="19"/>
  <c r="E4642" i="19"/>
  <c r="F4642" i="19"/>
  <c r="A4643" i="19"/>
  <c r="D4643" i="19"/>
  <c r="E4643" i="19"/>
  <c r="F4643" i="19"/>
  <c r="A4644" i="19"/>
  <c r="D4644" i="19"/>
  <c r="E4644" i="19"/>
  <c r="F4644" i="19"/>
  <c r="A4645" i="19"/>
  <c r="D4645" i="19"/>
  <c r="E4645" i="19"/>
  <c r="F4645" i="19"/>
  <c r="A4646" i="19"/>
  <c r="D4646" i="19"/>
  <c r="E4646" i="19"/>
  <c r="F4646" i="19"/>
  <c r="A4647" i="19"/>
  <c r="D4647" i="19"/>
  <c r="E4647" i="19"/>
  <c r="F4647" i="19"/>
  <c r="A4648" i="19"/>
  <c r="D4648" i="19"/>
  <c r="E4648" i="19"/>
  <c r="F4648" i="19"/>
  <c r="A4649" i="19"/>
  <c r="D4649" i="19"/>
  <c r="E4649" i="19"/>
  <c r="F4649" i="19"/>
  <c r="A4650" i="19"/>
  <c r="D4650" i="19"/>
  <c r="E4650" i="19"/>
  <c r="F4650" i="19"/>
  <c r="A4651" i="19"/>
  <c r="D4651" i="19"/>
  <c r="E4651" i="19"/>
  <c r="F4651" i="19"/>
  <c r="A4652" i="19"/>
  <c r="D4652" i="19"/>
  <c r="E4652" i="19"/>
  <c r="F4652" i="19"/>
  <c r="A4653" i="19"/>
  <c r="D4653" i="19"/>
  <c r="E4653" i="19"/>
  <c r="F4653" i="19"/>
  <c r="A4654" i="19"/>
  <c r="D4654" i="19"/>
  <c r="E4654" i="19"/>
  <c r="F4654" i="19"/>
  <c r="A4655" i="19"/>
  <c r="D4655" i="19"/>
  <c r="E4655" i="19"/>
  <c r="F4655" i="19"/>
  <c r="A4656" i="19"/>
  <c r="D4656" i="19"/>
  <c r="E4656" i="19"/>
  <c r="F4656" i="19"/>
  <c r="A4657" i="19"/>
  <c r="D4657" i="19"/>
  <c r="E4657" i="19"/>
  <c r="F4657" i="19"/>
  <c r="A4658" i="19"/>
  <c r="D4658" i="19"/>
  <c r="E4658" i="19"/>
  <c r="F4658" i="19"/>
  <c r="A4659" i="19"/>
  <c r="D4659" i="19"/>
  <c r="E4659" i="19"/>
  <c r="F4659" i="19"/>
  <c r="A4660" i="19"/>
  <c r="D4660" i="19"/>
  <c r="E4660" i="19"/>
  <c r="F4660" i="19"/>
  <c r="A4661" i="19"/>
  <c r="D4661" i="19"/>
  <c r="E4661" i="19"/>
  <c r="F4661" i="19"/>
  <c r="A4662" i="19"/>
  <c r="D4662" i="19"/>
  <c r="E4662" i="19"/>
  <c r="F4662" i="19"/>
  <c r="A4663" i="19"/>
  <c r="D4663" i="19"/>
  <c r="E4663" i="19"/>
  <c r="F4663" i="19"/>
  <c r="A4664" i="19"/>
  <c r="D4664" i="19"/>
  <c r="E4664" i="19"/>
  <c r="F4664" i="19"/>
  <c r="A4665" i="19"/>
  <c r="D4665" i="19"/>
  <c r="E4665" i="19"/>
  <c r="F4665" i="19"/>
  <c r="A4666" i="19"/>
  <c r="D4666" i="19"/>
  <c r="E4666" i="19"/>
  <c r="F4666" i="19"/>
  <c r="A4667" i="19"/>
  <c r="D4667" i="19"/>
  <c r="E4667" i="19"/>
  <c r="F4667" i="19"/>
  <c r="A4668" i="19"/>
  <c r="D4668" i="19"/>
  <c r="E4668" i="19"/>
  <c r="F4668" i="19"/>
  <c r="A4669" i="19"/>
  <c r="D4669" i="19"/>
  <c r="E4669" i="19"/>
  <c r="F4669" i="19"/>
  <c r="A4670" i="19"/>
  <c r="D4670" i="19"/>
  <c r="E4670" i="19"/>
  <c r="F4670" i="19"/>
  <c r="A4671" i="19"/>
  <c r="D4671" i="19"/>
  <c r="E4671" i="19"/>
  <c r="F4671" i="19"/>
  <c r="A4672" i="19"/>
  <c r="D4672" i="19"/>
  <c r="E4672" i="19"/>
  <c r="F4672" i="19"/>
  <c r="A4673" i="19"/>
  <c r="D4673" i="19"/>
  <c r="E4673" i="19"/>
  <c r="F4673" i="19"/>
  <c r="A4674" i="19"/>
  <c r="D4674" i="19"/>
  <c r="E4674" i="19"/>
  <c r="F4674" i="19"/>
  <c r="A4675" i="19"/>
  <c r="D4675" i="19"/>
  <c r="E4675" i="19"/>
  <c r="F4675" i="19"/>
  <c r="A4676" i="19"/>
  <c r="D4676" i="19"/>
  <c r="E4676" i="19"/>
  <c r="F4676" i="19"/>
  <c r="A4677" i="19"/>
  <c r="D4677" i="19"/>
  <c r="E4677" i="19"/>
  <c r="F4677" i="19"/>
  <c r="A4678" i="19"/>
  <c r="D4678" i="19"/>
  <c r="E4678" i="19"/>
  <c r="F4678" i="19"/>
  <c r="A4679" i="19"/>
  <c r="D4679" i="19"/>
  <c r="E4679" i="19"/>
  <c r="F4679" i="19"/>
  <c r="A4680" i="19"/>
  <c r="D4680" i="19"/>
  <c r="E4680" i="19"/>
  <c r="F4680" i="19"/>
  <c r="A4681" i="19"/>
  <c r="D4681" i="19"/>
  <c r="E4681" i="19"/>
  <c r="F4681" i="19"/>
  <c r="A4682" i="19"/>
  <c r="D4682" i="19"/>
  <c r="E4682" i="19"/>
  <c r="F4682" i="19"/>
  <c r="A4683" i="19"/>
  <c r="D4683" i="19"/>
  <c r="E4683" i="19"/>
  <c r="F4683" i="19"/>
  <c r="A4684" i="19"/>
  <c r="D4684" i="19"/>
  <c r="E4684" i="19"/>
  <c r="F4684" i="19"/>
  <c r="A4685" i="19"/>
  <c r="D4685" i="19"/>
  <c r="E4685" i="19"/>
  <c r="F4685" i="19"/>
  <c r="A4686" i="19"/>
  <c r="D4686" i="19"/>
  <c r="E4686" i="19"/>
  <c r="F4686" i="19"/>
  <c r="A4687" i="19"/>
  <c r="D4687" i="19"/>
  <c r="E4687" i="19"/>
  <c r="F4687" i="19"/>
  <c r="A4688" i="19"/>
  <c r="D4688" i="19"/>
  <c r="E4688" i="19"/>
  <c r="F4688" i="19"/>
  <c r="A4689" i="19"/>
  <c r="D4689" i="19"/>
  <c r="E4689" i="19"/>
  <c r="F4689" i="19"/>
  <c r="A4690" i="19"/>
  <c r="D4690" i="19"/>
  <c r="E4690" i="19"/>
  <c r="F4690" i="19"/>
  <c r="A4691" i="19"/>
  <c r="D4691" i="19"/>
  <c r="E4691" i="19"/>
  <c r="F4691" i="19"/>
  <c r="A4692" i="19"/>
  <c r="D4692" i="19"/>
  <c r="E4692" i="19"/>
  <c r="F4692" i="19"/>
  <c r="A4693" i="19"/>
  <c r="D4693" i="19"/>
  <c r="E4693" i="19"/>
  <c r="F4693" i="19"/>
  <c r="A4694" i="19"/>
  <c r="D4694" i="19"/>
  <c r="E4694" i="19"/>
  <c r="F4694" i="19"/>
  <c r="A4695" i="19"/>
  <c r="D4695" i="19"/>
  <c r="E4695" i="19"/>
  <c r="F4695" i="19"/>
  <c r="A4696" i="19"/>
  <c r="D4696" i="19"/>
  <c r="E4696" i="19"/>
  <c r="F4696" i="19"/>
  <c r="A4697" i="19"/>
  <c r="D4697" i="19"/>
  <c r="E4697" i="19"/>
  <c r="F4697" i="19"/>
  <c r="A4698" i="19"/>
  <c r="D4698" i="19"/>
  <c r="E4698" i="19"/>
  <c r="F4698" i="19"/>
  <c r="A4699" i="19"/>
  <c r="D4699" i="19"/>
  <c r="E4699" i="19"/>
  <c r="F4699" i="19"/>
  <c r="A4700" i="19"/>
  <c r="D4700" i="19"/>
  <c r="E4700" i="19"/>
  <c r="F4700" i="19"/>
  <c r="A4701" i="19"/>
  <c r="D4701" i="19"/>
  <c r="E4701" i="19"/>
  <c r="F4701" i="19"/>
  <c r="A4702" i="19"/>
  <c r="D4702" i="19"/>
  <c r="E4702" i="19"/>
  <c r="F4702" i="19"/>
  <c r="A4703" i="19"/>
  <c r="D4703" i="19"/>
  <c r="E4703" i="19"/>
  <c r="F4703" i="19"/>
  <c r="A4704" i="19"/>
  <c r="D4704" i="19"/>
  <c r="E4704" i="19"/>
  <c r="F4704" i="19"/>
  <c r="A4705" i="19"/>
  <c r="D4705" i="19"/>
  <c r="E4705" i="19"/>
  <c r="F4705" i="19"/>
  <c r="A4706" i="19"/>
  <c r="D4706" i="19"/>
  <c r="E4706" i="19"/>
  <c r="F4706" i="19"/>
  <c r="A4707" i="19"/>
  <c r="D4707" i="19"/>
  <c r="E4707" i="19"/>
  <c r="F4707" i="19"/>
  <c r="A4708" i="19"/>
  <c r="D4708" i="19"/>
  <c r="E4708" i="19"/>
  <c r="F4708" i="19"/>
  <c r="A4709" i="19"/>
  <c r="D4709" i="19"/>
  <c r="E4709" i="19"/>
  <c r="F4709" i="19"/>
  <c r="A4710" i="19"/>
  <c r="D4710" i="19"/>
  <c r="E4710" i="19"/>
  <c r="F4710" i="19"/>
  <c r="A4711" i="19"/>
  <c r="D4711" i="19"/>
  <c r="E4711" i="19"/>
  <c r="F4711" i="19"/>
  <c r="A4712" i="19"/>
  <c r="D4712" i="19"/>
  <c r="E4712" i="19"/>
  <c r="F4712" i="19"/>
  <c r="A4713" i="19"/>
  <c r="D4713" i="19"/>
  <c r="E4713" i="19"/>
  <c r="F4713" i="19"/>
  <c r="A4714" i="19"/>
  <c r="D4714" i="19"/>
  <c r="E4714" i="19"/>
  <c r="F4714" i="19"/>
  <c r="A4715" i="19"/>
  <c r="D4715" i="19"/>
  <c r="E4715" i="19"/>
  <c r="F4715" i="19"/>
  <c r="A4716" i="19"/>
  <c r="D4716" i="19"/>
  <c r="E4716" i="19"/>
  <c r="F4716" i="19"/>
  <c r="A4717" i="19"/>
  <c r="D4717" i="19"/>
  <c r="E4717" i="19"/>
  <c r="F4717" i="19"/>
  <c r="A4718" i="19"/>
  <c r="D4718" i="19"/>
  <c r="E4718" i="19"/>
  <c r="F4718" i="19"/>
  <c r="A4719" i="19"/>
  <c r="D4719" i="19"/>
  <c r="E4719" i="19"/>
  <c r="F4719" i="19"/>
  <c r="A4720" i="19"/>
  <c r="D4720" i="19"/>
  <c r="E4720" i="19"/>
  <c r="F4720" i="19"/>
  <c r="A4721" i="19"/>
  <c r="D4721" i="19"/>
  <c r="E4721" i="19"/>
  <c r="F4721" i="19"/>
  <c r="A4722" i="19"/>
  <c r="D4722" i="19"/>
  <c r="E4722" i="19"/>
  <c r="F4722" i="19"/>
  <c r="A4723" i="19"/>
  <c r="D4723" i="19"/>
  <c r="E4723" i="19"/>
  <c r="F4723" i="19"/>
  <c r="A4724" i="19"/>
  <c r="D4724" i="19"/>
  <c r="E4724" i="19"/>
  <c r="F4724" i="19"/>
  <c r="A4725" i="19"/>
  <c r="D4725" i="19"/>
  <c r="E4725" i="19"/>
  <c r="F4725" i="19"/>
  <c r="A4726" i="19"/>
  <c r="D4726" i="19"/>
  <c r="E4726" i="19"/>
  <c r="F4726" i="19"/>
  <c r="A4727" i="19"/>
  <c r="D4727" i="19"/>
  <c r="E4727" i="19"/>
  <c r="F4727" i="19"/>
  <c r="A4728" i="19"/>
  <c r="D4728" i="19"/>
  <c r="E4728" i="19"/>
  <c r="F4728" i="19"/>
  <c r="A4729" i="19"/>
  <c r="D4729" i="19"/>
  <c r="E4729" i="19"/>
  <c r="F4729" i="19"/>
  <c r="A4730" i="19"/>
  <c r="D4730" i="19"/>
  <c r="E4730" i="19"/>
  <c r="F4730" i="19"/>
  <c r="A4731" i="19"/>
  <c r="D4731" i="19"/>
  <c r="E4731" i="19"/>
  <c r="F4731" i="19"/>
  <c r="A4732" i="19"/>
  <c r="D4732" i="19"/>
  <c r="E4732" i="19"/>
  <c r="F4732" i="19"/>
  <c r="A4733" i="19"/>
  <c r="D4733" i="19"/>
  <c r="E4733" i="19"/>
  <c r="F4733" i="19"/>
  <c r="A4734" i="19"/>
  <c r="D4734" i="19"/>
  <c r="E4734" i="19"/>
  <c r="F4734" i="19"/>
  <c r="A4735" i="19"/>
  <c r="D4735" i="19"/>
  <c r="E4735" i="19"/>
  <c r="F4735" i="19"/>
  <c r="A4736" i="19"/>
  <c r="D4736" i="19"/>
  <c r="E4736" i="19"/>
  <c r="F4736" i="19"/>
  <c r="A4737" i="19"/>
  <c r="D4737" i="19"/>
  <c r="E4737" i="19"/>
  <c r="F4737" i="19"/>
  <c r="A4738" i="19"/>
  <c r="D4738" i="19"/>
  <c r="E4738" i="19"/>
  <c r="F4738" i="19"/>
  <c r="A4739" i="19"/>
  <c r="D4739" i="19"/>
  <c r="E4739" i="19"/>
  <c r="F4739" i="19"/>
  <c r="A4740" i="19"/>
  <c r="D4740" i="19"/>
  <c r="E4740" i="19"/>
  <c r="F4740" i="19"/>
  <c r="A4741" i="19"/>
  <c r="D4741" i="19"/>
  <c r="E4741" i="19"/>
  <c r="F4741" i="19"/>
  <c r="A4742" i="19"/>
  <c r="D4742" i="19"/>
  <c r="E4742" i="19"/>
  <c r="F4742" i="19"/>
  <c r="A4743" i="19"/>
  <c r="D4743" i="19"/>
  <c r="E4743" i="19"/>
  <c r="F4743" i="19"/>
  <c r="A4744" i="19"/>
  <c r="D4744" i="19"/>
  <c r="E4744" i="19"/>
  <c r="F4744" i="19"/>
  <c r="A4745" i="19"/>
  <c r="D4745" i="19"/>
  <c r="E4745" i="19"/>
  <c r="F4745" i="19"/>
  <c r="A4746" i="19"/>
  <c r="D4746" i="19"/>
  <c r="E4746" i="19"/>
  <c r="F4746" i="19"/>
  <c r="A4747" i="19"/>
  <c r="D4747" i="19"/>
  <c r="E4747" i="19"/>
  <c r="F4747" i="19"/>
  <c r="A4748" i="19"/>
  <c r="D4748" i="19"/>
  <c r="E4748" i="19"/>
  <c r="F4748" i="19"/>
  <c r="A4749" i="19"/>
  <c r="D4749" i="19"/>
  <c r="E4749" i="19"/>
  <c r="F4749" i="19"/>
  <c r="A4750" i="19"/>
  <c r="D4750" i="19"/>
  <c r="E4750" i="19"/>
  <c r="F4750" i="19"/>
  <c r="A4751" i="19"/>
  <c r="D4751" i="19"/>
  <c r="E4751" i="19"/>
  <c r="F4751" i="19"/>
  <c r="A4752" i="19"/>
  <c r="D4752" i="19"/>
  <c r="E4752" i="19"/>
  <c r="F4752" i="19"/>
  <c r="A4753" i="19"/>
  <c r="D4753" i="19"/>
  <c r="E4753" i="19"/>
  <c r="F4753" i="19"/>
  <c r="A4754" i="19"/>
  <c r="D4754" i="19"/>
  <c r="E4754" i="19"/>
  <c r="F4754" i="19"/>
  <c r="A4755" i="19"/>
  <c r="D4755" i="19"/>
  <c r="E4755" i="19"/>
  <c r="F4755" i="19"/>
  <c r="A4756" i="19"/>
  <c r="D4756" i="19"/>
  <c r="E4756" i="19"/>
  <c r="F4756" i="19"/>
  <c r="A4757" i="19"/>
  <c r="D4757" i="19"/>
  <c r="E4757" i="19"/>
  <c r="F4757" i="19"/>
  <c r="A4758" i="19"/>
  <c r="D4758" i="19"/>
  <c r="E4758" i="19"/>
  <c r="F4758" i="19"/>
  <c r="A4759" i="19"/>
  <c r="D4759" i="19"/>
  <c r="E4759" i="19"/>
  <c r="F4759" i="19"/>
  <c r="A4760" i="19"/>
  <c r="D4760" i="19"/>
  <c r="E4760" i="19"/>
  <c r="F4760" i="19"/>
  <c r="A4761" i="19"/>
  <c r="D4761" i="19"/>
  <c r="E4761" i="19"/>
  <c r="F4761" i="19"/>
  <c r="A4762" i="19"/>
  <c r="D4762" i="19"/>
  <c r="E4762" i="19"/>
  <c r="F4762" i="19"/>
  <c r="A4763" i="19"/>
  <c r="D4763" i="19"/>
  <c r="E4763" i="19"/>
  <c r="F4763" i="19"/>
  <c r="A4764" i="19"/>
  <c r="D4764" i="19"/>
  <c r="E4764" i="19"/>
  <c r="F4764" i="19"/>
  <c r="A4765" i="19"/>
  <c r="D4765" i="19"/>
  <c r="E4765" i="19"/>
  <c r="F4765" i="19"/>
  <c r="A4766" i="19"/>
  <c r="D4766" i="19"/>
  <c r="E4766" i="19"/>
  <c r="F4766" i="19"/>
  <c r="A4767" i="19"/>
  <c r="D4767" i="19"/>
  <c r="E4767" i="19"/>
  <c r="F4767" i="19"/>
  <c r="A4768" i="19"/>
  <c r="D4768" i="19"/>
  <c r="E4768" i="19"/>
  <c r="F4768" i="19"/>
  <c r="A4769" i="19"/>
  <c r="D4769" i="19"/>
  <c r="E4769" i="19"/>
  <c r="F4769" i="19"/>
  <c r="A4770" i="19"/>
  <c r="D4770" i="19"/>
  <c r="E4770" i="19"/>
  <c r="F4770" i="19"/>
  <c r="A4771" i="19"/>
  <c r="D4771" i="19"/>
  <c r="E4771" i="19"/>
  <c r="F4771" i="19"/>
  <c r="A4772" i="19"/>
  <c r="D4772" i="19"/>
  <c r="E4772" i="19"/>
  <c r="F4772" i="19"/>
  <c r="A4773" i="19"/>
  <c r="D4773" i="19"/>
  <c r="E4773" i="19"/>
  <c r="F4773" i="19"/>
  <c r="A4774" i="19"/>
  <c r="D4774" i="19"/>
  <c r="E4774" i="19"/>
  <c r="F4774" i="19"/>
  <c r="A4775" i="19"/>
  <c r="D4775" i="19"/>
  <c r="E4775" i="19"/>
  <c r="F4775" i="19"/>
  <c r="A4776" i="19"/>
  <c r="D4776" i="19"/>
  <c r="E4776" i="19"/>
  <c r="F4776" i="19"/>
  <c r="A4777" i="19"/>
  <c r="D4777" i="19"/>
  <c r="E4777" i="19"/>
  <c r="F4777" i="19"/>
  <c r="A4778" i="19"/>
  <c r="D4778" i="19"/>
  <c r="E4778" i="19"/>
  <c r="F4778" i="19"/>
  <c r="A4779" i="19"/>
  <c r="D4779" i="19"/>
  <c r="E4779" i="19"/>
  <c r="F4779" i="19"/>
  <c r="A4780" i="19"/>
  <c r="D4780" i="19"/>
  <c r="E4780" i="19"/>
  <c r="F4780" i="19"/>
  <c r="A4781" i="19"/>
  <c r="D4781" i="19"/>
  <c r="E4781" i="19"/>
  <c r="F4781" i="19"/>
  <c r="A4782" i="19"/>
  <c r="D4782" i="19"/>
  <c r="E4782" i="19"/>
  <c r="F4782" i="19"/>
  <c r="A4783" i="19"/>
  <c r="D4783" i="19"/>
  <c r="E4783" i="19"/>
  <c r="F4783" i="19"/>
  <c r="A4784" i="19"/>
  <c r="D4784" i="19"/>
  <c r="E4784" i="19"/>
  <c r="F4784" i="19"/>
  <c r="A4785" i="19"/>
  <c r="D4785" i="19"/>
  <c r="E4785" i="19"/>
  <c r="F4785" i="19"/>
  <c r="A4786" i="19"/>
  <c r="D4786" i="19"/>
  <c r="E4786" i="19"/>
  <c r="F4786" i="19"/>
  <c r="A4787" i="19"/>
  <c r="D4787" i="19"/>
  <c r="E4787" i="19"/>
  <c r="F4787" i="19"/>
  <c r="A4788" i="19"/>
  <c r="D4788" i="19"/>
  <c r="E4788" i="19"/>
  <c r="F4788" i="19"/>
  <c r="A4789" i="19"/>
  <c r="D4789" i="19"/>
  <c r="E4789" i="19"/>
  <c r="F4789" i="19"/>
  <c r="A4790" i="19"/>
  <c r="D4790" i="19"/>
  <c r="E4790" i="19"/>
  <c r="F4790" i="19"/>
  <c r="A4791" i="19"/>
  <c r="D4791" i="19"/>
  <c r="E4791" i="19"/>
  <c r="F4791" i="19"/>
  <c r="A4792" i="19"/>
  <c r="D4792" i="19"/>
  <c r="E4792" i="19"/>
  <c r="F4792" i="19"/>
  <c r="A4793" i="19"/>
  <c r="D4793" i="19"/>
  <c r="E4793" i="19"/>
  <c r="F4793" i="19"/>
  <c r="A4794" i="19"/>
  <c r="D4794" i="19"/>
  <c r="E4794" i="19"/>
  <c r="F4794" i="19"/>
  <c r="A4795" i="19"/>
  <c r="D4795" i="19"/>
  <c r="E4795" i="19"/>
  <c r="F4795" i="19"/>
  <c r="A4796" i="19"/>
  <c r="D4796" i="19"/>
  <c r="E4796" i="19"/>
  <c r="F4796" i="19"/>
  <c r="A4797" i="19"/>
  <c r="D4797" i="19"/>
  <c r="E4797" i="19"/>
  <c r="F4797" i="19"/>
  <c r="A4798" i="19"/>
  <c r="D4798" i="19"/>
  <c r="E4798" i="19"/>
  <c r="F4798" i="19"/>
  <c r="A4799" i="19"/>
  <c r="D4799" i="19"/>
  <c r="E4799" i="19"/>
  <c r="F4799" i="19"/>
  <c r="A4800" i="19"/>
  <c r="D4800" i="19"/>
  <c r="E4800" i="19"/>
  <c r="F4800" i="19"/>
  <c r="A4801" i="19"/>
  <c r="D4801" i="19"/>
  <c r="E4801" i="19"/>
  <c r="F4801" i="19"/>
  <c r="A4802" i="19"/>
  <c r="D4802" i="19"/>
  <c r="E4802" i="19"/>
  <c r="F4802" i="19"/>
  <c r="A4803" i="19"/>
  <c r="D4803" i="19"/>
  <c r="E4803" i="19"/>
  <c r="F4803" i="19"/>
  <c r="A4804" i="19"/>
  <c r="D4804" i="19"/>
  <c r="E4804" i="19"/>
  <c r="F4804" i="19"/>
  <c r="A4805" i="19"/>
  <c r="D4805" i="19"/>
  <c r="E4805" i="19"/>
  <c r="F4805" i="19"/>
  <c r="A4806" i="19"/>
  <c r="D4806" i="19"/>
  <c r="E4806" i="19"/>
  <c r="F4806" i="19"/>
  <c r="A4807" i="19"/>
  <c r="D4807" i="19"/>
  <c r="E4807" i="19"/>
  <c r="F4807" i="19"/>
  <c r="A4808" i="19"/>
  <c r="D4808" i="19"/>
  <c r="E4808" i="19"/>
  <c r="F4808" i="19"/>
  <c r="A4809" i="19"/>
  <c r="D4809" i="19"/>
  <c r="E4809" i="19"/>
  <c r="F4809" i="19"/>
  <c r="A4810" i="19"/>
  <c r="D4810" i="19"/>
  <c r="E4810" i="19"/>
  <c r="F4810" i="19"/>
  <c r="A4811" i="19"/>
  <c r="D4811" i="19"/>
  <c r="E4811" i="19"/>
  <c r="F4811" i="19"/>
  <c r="A4812" i="19"/>
  <c r="D4812" i="19"/>
  <c r="E4812" i="19"/>
  <c r="F4812" i="19"/>
  <c r="A4813" i="19"/>
  <c r="D4813" i="19"/>
  <c r="E4813" i="19"/>
  <c r="F4813" i="19"/>
  <c r="A4814" i="19"/>
  <c r="D4814" i="19"/>
  <c r="E4814" i="19"/>
  <c r="F4814" i="19"/>
  <c r="A4815" i="19"/>
  <c r="D4815" i="19"/>
  <c r="E4815" i="19"/>
  <c r="F4815" i="19"/>
  <c r="A4816" i="19"/>
  <c r="D4816" i="19"/>
  <c r="E4816" i="19"/>
  <c r="F4816" i="19"/>
  <c r="A4817" i="19"/>
  <c r="D4817" i="19"/>
  <c r="E4817" i="19"/>
  <c r="F4817" i="19"/>
  <c r="A4818" i="19"/>
  <c r="D4818" i="19"/>
  <c r="E4818" i="19"/>
  <c r="F4818" i="19"/>
  <c r="A4819" i="19"/>
  <c r="D4819" i="19"/>
  <c r="E4819" i="19"/>
  <c r="F4819" i="19"/>
  <c r="A4820" i="19"/>
  <c r="D4820" i="19"/>
  <c r="E4820" i="19"/>
  <c r="F4820" i="19"/>
  <c r="A4821" i="19"/>
  <c r="D4821" i="19"/>
  <c r="E4821" i="19"/>
  <c r="F4821" i="19"/>
  <c r="A4822" i="19"/>
  <c r="D4822" i="19"/>
  <c r="E4822" i="19"/>
  <c r="F4822" i="19"/>
  <c r="A4823" i="19"/>
  <c r="D4823" i="19"/>
  <c r="E4823" i="19"/>
  <c r="F4823" i="19"/>
  <c r="A4824" i="19"/>
  <c r="D4824" i="19"/>
  <c r="E4824" i="19"/>
  <c r="F4824" i="19"/>
  <c r="A4825" i="19"/>
  <c r="D4825" i="19"/>
  <c r="E4825" i="19"/>
  <c r="F4825" i="19"/>
  <c r="A4826" i="19"/>
  <c r="D4826" i="19"/>
  <c r="E4826" i="19"/>
  <c r="F4826" i="19"/>
  <c r="A4827" i="19"/>
  <c r="D4827" i="19"/>
  <c r="E4827" i="19"/>
  <c r="F4827" i="19"/>
  <c r="A4828" i="19"/>
  <c r="D4828" i="19"/>
  <c r="E4828" i="19"/>
  <c r="F4828" i="19"/>
  <c r="A4829" i="19"/>
  <c r="D4829" i="19"/>
  <c r="E4829" i="19"/>
  <c r="F4829" i="19"/>
  <c r="A4830" i="19"/>
  <c r="D4830" i="19"/>
  <c r="E4830" i="19"/>
  <c r="F4830" i="19"/>
  <c r="A4831" i="19"/>
  <c r="D4831" i="19"/>
  <c r="E4831" i="19"/>
  <c r="F4831" i="19"/>
  <c r="A4832" i="19"/>
  <c r="D4832" i="19"/>
  <c r="E4832" i="19"/>
  <c r="F4832" i="19"/>
  <c r="A4833" i="19"/>
  <c r="D4833" i="19"/>
  <c r="E4833" i="19"/>
  <c r="F4833" i="19"/>
  <c r="A4834" i="19"/>
  <c r="D4834" i="19"/>
  <c r="E4834" i="19"/>
  <c r="F4834" i="19"/>
  <c r="A4835" i="19"/>
  <c r="D4835" i="19"/>
  <c r="E4835" i="19"/>
  <c r="F4835" i="19"/>
  <c r="A4836" i="19"/>
  <c r="D4836" i="19"/>
  <c r="E4836" i="19"/>
  <c r="F4836" i="19"/>
  <c r="A4837" i="19"/>
  <c r="D4837" i="19"/>
  <c r="E4837" i="19"/>
  <c r="F4837" i="19"/>
  <c r="A4838" i="19"/>
  <c r="D4838" i="19"/>
  <c r="E4838" i="19"/>
  <c r="F4838" i="19"/>
  <c r="A4839" i="19"/>
  <c r="D4839" i="19"/>
  <c r="E4839" i="19"/>
  <c r="F4839" i="19"/>
  <c r="A4840" i="19"/>
  <c r="D4840" i="19"/>
  <c r="E4840" i="19"/>
  <c r="F4840" i="19"/>
  <c r="A4841" i="19"/>
  <c r="D4841" i="19"/>
  <c r="E4841" i="19"/>
  <c r="F4841" i="19"/>
  <c r="A4842" i="19"/>
  <c r="D4842" i="19"/>
  <c r="E4842" i="19"/>
  <c r="F4842" i="19"/>
  <c r="A4843" i="19"/>
  <c r="D4843" i="19"/>
  <c r="E4843" i="19"/>
  <c r="F4843" i="19"/>
  <c r="A4844" i="19"/>
  <c r="D4844" i="19"/>
  <c r="E4844" i="19"/>
  <c r="F4844" i="19"/>
  <c r="A4845" i="19"/>
  <c r="D4845" i="19"/>
  <c r="E4845" i="19"/>
  <c r="F4845" i="19"/>
  <c r="A4846" i="19"/>
  <c r="D4846" i="19"/>
  <c r="E4846" i="19"/>
  <c r="F4846" i="19"/>
  <c r="A4847" i="19"/>
  <c r="D4847" i="19"/>
  <c r="E4847" i="19"/>
  <c r="F4847" i="19"/>
  <c r="A4848" i="19"/>
  <c r="D4848" i="19"/>
  <c r="E4848" i="19"/>
  <c r="F4848" i="19"/>
  <c r="A4849" i="19"/>
  <c r="D4849" i="19"/>
  <c r="E4849" i="19"/>
  <c r="F4849" i="19"/>
  <c r="A4850" i="19"/>
  <c r="D4850" i="19"/>
  <c r="E4850" i="19"/>
  <c r="F4850" i="19"/>
  <c r="A4851" i="19"/>
  <c r="D4851" i="19"/>
  <c r="E4851" i="19"/>
  <c r="F4851" i="19"/>
  <c r="A4852" i="19"/>
  <c r="D4852" i="19"/>
  <c r="E4852" i="19"/>
  <c r="F4852" i="19"/>
  <c r="A4853" i="19"/>
  <c r="D4853" i="19"/>
  <c r="E4853" i="19"/>
  <c r="F4853" i="19"/>
  <c r="A4854" i="19"/>
  <c r="D4854" i="19"/>
  <c r="E4854" i="19"/>
  <c r="F4854" i="19"/>
  <c r="A4855" i="19"/>
  <c r="D4855" i="19"/>
  <c r="E4855" i="19"/>
  <c r="F4855" i="19"/>
  <c r="A4856" i="19"/>
  <c r="D4856" i="19"/>
  <c r="E4856" i="19"/>
  <c r="F4856" i="19"/>
  <c r="A4857" i="19"/>
  <c r="D4857" i="19"/>
  <c r="E4857" i="19"/>
  <c r="F4857" i="19"/>
  <c r="A4858" i="19"/>
  <c r="D4858" i="19"/>
  <c r="E4858" i="19"/>
  <c r="F4858" i="19"/>
  <c r="A4859" i="19"/>
  <c r="D4859" i="19"/>
  <c r="E4859" i="19"/>
  <c r="F4859" i="19"/>
  <c r="A4860" i="19"/>
  <c r="D4860" i="19"/>
  <c r="E4860" i="19"/>
  <c r="F4860" i="19"/>
  <c r="A4861" i="19"/>
  <c r="D4861" i="19"/>
  <c r="E4861" i="19"/>
  <c r="F4861" i="19"/>
  <c r="A4862" i="19"/>
  <c r="D4862" i="19"/>
  <c r="E4862" i="19"/>
  <c r="F4862" i="19"/>
  <c r="A4863" i="19"/>
  <c r="D4863" i="19"/>
  <c r="E4863" i="19"/>
  <c r="F4863" i="19"/>
  <c r="A4864" i="19"/>
  <c r="D4864" i="19"/>
  <c r="E4864" i="19"/>
  <c r="F4864" i="19"/>
  <c r="A4865" i="19"/>
  <c r="D4865" i="19"/>
  <c r="E4865" i="19"/>
  <c r="F4865" i="19"/>
  <c r="A4866" i="19"/>
  <c r="D4866" i="19"/>
  <c r="E4866" i="19"/>
  <c r="F4866" i="19"/>
  <c r="A4867" i="19"/>
  <c r="D4867" i="19"/>
  <c r="E4867" i="19"/>
  <c r="F4867" i="19"/>
  <c r="A4868" i="19"/>
  <c r="D4868" i="19"/>
  <c r="E4868" i="19"/>
  <c r="F4868" i="19"/>
  <c r="A4869" i="19"/>
  <c r="D4869" i="19"/>
  <c r="E4869" i="19"/>
  <c r="F4869" i="19"/>
  <c r="A4870" i="19"/>
  <c r="D4870" i="19"/>
  <c r="E4870" i="19"/>
  <c r="F4870" i="19"/>
  <c r="A4871" i="19"/>
  <c r="D4871" i="19"/>
  <c r="E4871" i="19"/>
  <c r="F4871" i="19"/>
  <c r="A4872" i="19"/>
  <c r="D4872" i="19"/>
  <c r="E4872" i="19"/>
  <c r="F4872" i="19"/>
  <c r="A4873" i="19"/>
  <c r="D4873" i="19"/>
  <c r="E4873" i="19"/>
  <c r="F4873" i="19"/>
  <c r="A4874" i="19"/>
  <c r="D4874" i="19"/>
  <c r="E4874" i="19"/>
  <c r="F4874" i="19"/>
  <c r="A4875" i="19"/>
  <c r="D4875" i="19"/>
  <c r="E4875" i="19"/>
  <c r="F4875" i="19"/>
  <c r="A4876" i="19"/>
  <c r="D4876" i="19"/>
  <c r="E4876" i="19"/>
  <c r="F4876" i="19"/>
  <c r="A4877" i="19"/>
  <c r="D4877" i="19"/>
  <c r="E4877" i="19"/>
  <c r="F4877" i="19"/>
  <c r="A4878" i="19"/>
  <c r="D4878" i="19"/>
  <c r="E4878" i="19"/>
  <c r="F4878" i="19"/>
  <c r="A4879" i="19"/>
  <c r="D4879" i="19"/>
  <c r="E4879" i="19"/>
  <c r="F4879" i="19"/>
  <c r="A4880" i="19"/>
  <c r="D4880" i="19"/>
  <c r="E4880" i="19"/>
  <c r="F4880" i="19"/>
  <c r="A4881" i="19"/>
  <c r="D4881" i="19"/>
  <c r="E4881" i="19"/>
  <c r="F4881" i="19"/>
  <c r="A4882" i="19"/>
  <c r="D4882" i="19"/>
  <c r="E4882" i="19"/>
  <c r="F4882" i="19"/>
  <c r="A4883" i="19"/>
  <c r="D4883" i="19"/>
  <c r="E4883" i="19"/>
  <c r="F4883" i="19"/>
  <c r="A4884" i="19"/>
  <c r="D4884" i="19"/>
  <c r="E4884" i="19"/>
  <c r="F4884" i="19"/>
  <c r="A4885" i="19"/>
  <c r="D4885" i="19"/>
  <c r="E4885" i="19"/>
  <c r="F4885" i="19"/>
  <c r="A4886" i="19"/>
  <c r="D4886" i="19"/>
  <c r="E4886" i="19"/>
  <c r="F4886" i="19"/>
  <c r="A4887" i="19"/>
  <c r="D4887" i="19"/>
  <c r="E4887" i="19"/>
  <c r="F4887" i="19"/>
  <c r="A4888" i="19"/>
  <c r="D4888" i="19"/>
  <c r="E4888" i="19"/>
  <c r="F4888" i="19"/>
  <c r="A4889" i="19"/>
  <c r="D4889" i="19"/>
  <c r="E4889" i="19"/>
  <c r="F4889" i="19"/>
  <c r="A4890" i="19"/>
  <c r="D4890" i="19"/>
  <c r="E4890" i="19"/>
  <c r="F4890" i="19"/>
  <c r="A4891" i="19"/>
  <c r="D4891" i="19"/>
  <c r="E4891" i="19"/>
  <c r="F4891" i="19"/>
  <c r="A4892" i="19"/>
  <c r="D4892" i="19"/>
  <c r="E4892" i="19"/>
  <c r="F4892" i="19"/>
  <c r="A4893" i="19"/>
  <c r="D4893" i="19"/>
  <c r="E4893" i="19"/>
  <c r="F4893" i="19"/>
  <c r="A4894" i="19"/>
  <c r="D4894" i="19"/>
  <c r="E4894" i="19"/>
  <c r="F4894" i="19"/>
  <c r="A4895" i="19"/>
  <c r="D4895" i="19"/>
  <c r="E4895" i="19"/>
  <c r="F4895" i="19"/>
  <c r="A4896" i="19"/>
  <c r="D4896" i="19"/>
  <c r="E4896" i="19"/>
  <c r="F4896" i="19"/>
  <c r="A4897" i="19"/>
  <c r="D4897" i="19"/>
  <c r="E4897" i="19"/>
  <c r="F4897" i="19"/>
  <c r="A4898" i="19"/>
  <c r="D4898" i="19"/>
  <c r="E4898" i="19"/>
  <c r="F4898" i="19"/>
  <c r="A4899" i="19"/>
  <c r="D4899" i="19"/>
  <c r="E4899" i="19"/>
  <c r="F4899" i="19"/>
  <c r="A4900" i="19"/>
  <c r="D4900" i="19"/>
  <c r="E4900" i="19"/>
  <c r="F4900" i="19"/>
  <c r="A4901" i="19"/>
  <c r="D4901" i="19"/>
  <c r="E4901" i="19"/>
  <c r="F4901" i="19"/>
  <c r="A4902" i="19"/>
  <c r="D4902" i="19"/>
  <c r="E4902" i="19"/>
  <c r="F4902" i="19"/>
  <c r="A4903" i="19"/>
  <c r="D4903" i="19"/>
  <c r="E4903" i="19"/>
  <c r="F4903" i="19"/>
  <c r="A4904" i="19"/>
  <c r="D4904" i="19"/>
  <c r="E4904" i="19"/>
  <c r="F4904" i="19"/>
  <c r="A4905" i="19"/>
  <c r="D4905" i="19"/>
  <c r="E4905" i="19"/>
  <c r="F4905" i="19"/>
  <c r="A4906" i="19"/>
  <c r="D4906" i="19"/>
  <c r="E4906" i="19"/>
  <c r="F4906" i="19"/>
  <c r="A4907" i="19"/>
  <c r="D4907" i="19"/>
  <c r="E4907" i="19"/>
  <c r="F4907" i="19"/>
  <c r="A4908" i="19"/>
  <c r="D4908" i="19"/>
  <c r="E4908" i="19"/>
  <c r="F4908" i="19"/>
  <c r="A4909" i="19"/>
  <c r="D4909" i="19"/>
  <c r="E4909" i="19"/>
  <c r="F4909" i="19"/>
  <c r="A4910" i="19"/>
  <c r="D4910" i="19"/>
  <c r="E4910" i="19"/>
  <c r="F4910" i="19"/>
  <c r="A4911" i="19"/>
  <c r="D4911" i="19"/>
  <c r="E4911" i="19"/>
  <c r="F4911" i="19"/>
  <c r="A4912" i="19"/>
  <c r="D4912" i="19"/>
  <c r="E4912" i="19"/>
  <c r="F4912" i="19"/>
  <c r="A4913" i="19"/>
  <c r="D4913" i="19"/>
  <c r="E4913" i="19"/>
  <c r="F4913" i="19"/>
  <c r="A4914" i="19"/>
  <c r="D4914" i="19"/>
  <c r="E4914" i="19"/>
  <c r="F4914" i="19"/>
  <c r="A4915" i="19"/>
  <c r="D4915" i="19"/>
  <c r="E4915" i="19"/>
  <c r="F4915" i="19"/>
  <c r="A4916" i="19"/>
  <c r="D4916" i="19"/>
  <c r="E4916" i="19"/>
  <c r="F4916" i="19"/>
  <c r="A4917" i="19"/>
  <c r="D4917" i="19"/>
  <c r="E4917" i="19"/>
  <c r="F4917" i="19"/>
  <c r="A4918" i="19"/>
  <c r="D4918" i="19"/>
  <c r="E4918" i="19"/>
  <c r="F4918" i="19"/>
  <c r="A4919" i="19"/>
  <c r="D4919" i="19"/>
  <c r="E4919" i="19"/>
  <c r="F4919" i="19"/>
  <c r="A4920" i="19"/>
  <c r="D4920" i="19"/>
  <c r="E4920" i="19"/>
  <c r="F4920" i="19"/>
  <c r="A4921" i="19"/>
  <c r="D4921" i="19"/>
  <c r="E4921" i="19"/>
  <c r="F4921" i="19"/>
  <c r="A4922" i="19"/>
  <c r="D4922" i="19"/>
  <c r="E4922" i="19"/>
  <c r="F4922" i="19"/>
  <c r="A4923" i="19"/>
  <c r="D4923" i="19"/>
  <c r="E4923" i="19"/>
  <c r="F4923" i="19"/>
  <c r="A4924" i="19"/>
  <c r="D4924" i="19"/>
  <c r="E4924" i="19"/>
  <c r="F4924" i="19"/>
  <c r="A4925" i="19"/>
  <c r="D4925" i="19"/>
  <c r="E4925" i="19"/>
  <c r="F4925" i="19"/>
  <c r="A4926" i="19"/>
  <c r="D4926" i="19"/>
  <c r="E4926" i="19"/>
  <c r="F4926" i="19"/>
  <c r="A4927" i="19"/>
  <c r="D4927" i="19"/>
  <c r="E4927" i="19"/>
  <c r="F4927" i="19"/>
  <c r="A4928" i="19"/>
  <c r="D4928" i="19"/>
  <c r="E4928" i="19"/>
  <c r="F4928" i="19"/>
  <c r="A4929" i="19"/>
  <c r="D4929" i="19"/>
  <c r="E4929" i="19"/>
  <c r="F4929" i="19"/>
  <c r="A4930" i="19"/>
  <c r="D4930" i="19"/>
  <c r="E4930" i="19"/>
  <c r="F4930" i="19"/>
  <c r="A4931" i="19"/>
  <c r="D4931" i="19"/>
  <c r="E4931" i="19"/>
  <c r="F4931" i="19"/>
  <c r="A4932" i="19"/>
  <c r="D4932" i="19"/>
  <c r="E4932" i="19"/>
  <c r="F4932" i="19"/>
  <c r="A4933" i="19"/>
  <c r="D4933" i="19"/>
  <c r="E4933" i="19"/>
  <c r="F4933" i="19"/>
  <c r="A4934" i="19"/>
  <c r="D4934" i="19"/>
  <c r="E4934" i="19"/>
  <c r="F4934" i="19"/>
  <c r="A4935" i="19"/>
  <c r="D4935" i="19"/>
  <c r="E4935" i="19"/>
  <c r="F4935" i="19"/>
  <c r="A4936" i="19"/>
  <c r="D4936" i="19"/>
  <c r="E4936" i="19"/>
  <c r="F4936" i="19"/>
  <c r="A4937" i="19"/>
  <c r="D4937" i="19"/>
  <c r="E4937" i="19"/>
  <c r="F4937" i="19"/>
  <c r="A4938" i="19"/>
  <c r="D4938" i="19"/>
  <c r="E4938" i="19"/>
  <c r="F4938" i="19"/>
  <c r="A4939" i="19"/>
  <c r="D4939" i="19"/>
  <c r="E4939" i="19"/>
  <c r="F4939" i="19"/>
  <c r="A4940" i="19"/>
  <c r="D4940" i="19"/>
  <c r="E4940" i="19"/>
  <c r="F4940" i="19"/>
  <c r="A4941" i="19"/>
  <c r="D4941" i="19"/>
  <c r="E4941" i="19"/>
  <c r="F4941" i="19"/>
  <c r="A4942" i="19"/>
  <c r="D4942" i="19"/>
  <c r="E4942" i="19"/>
  <c r="F4942" i="19"/>
  <c r="A4943" i="19"/>
  <c r="D4943" i="19"/>
  <c r="E4943" i="19"/>
  <c r="F4943" i="19"/>
  <c r="A4944" i="19"/>
  <c r="D4944" i="19"/>
  <c r="E4944" i="19"/>
  <c r="F4944" i="19"/>
  <c r="A4945" i="19"/>
  <c r="D4945" i="19"/>
  <c r="E4945" i="19"/>
  <c r="F4945" i="19"/>
  <c r="A4946" i="19"/>
  <c r="D4946" i="19"/>
  <c r="E4946" i="19"/>
  <c r="F4946" i="19"/>
  <c r="A4947" i="19"/>
  <c r="D4947" i="19"/>
  <c r="E4947" i="19"/>
  <c r="F4947" i="19"/>
  <c r="A4948" i="19"/>
  <c r="D4948" i="19"/>
  <c r="E4948" i="19"/>
  <c r="F4948" i="19"/>
  <c r="A4949" i="19"/>
  <c r="D4949" i="19"/>
  <c r="E4949" i="19"/>
  <c r="F4949" i="19"/>
  <c r="A4950" i="19"/>
  <c r="D4950" i="19"/>
  <c r="E4950" i="19"/>
  <c r="F4950" i="19"/>
  <c r="A4951" i="19"/>
  <c r="D4951" i="19"/>
  <c r="E4951" i="19"/>
  <c r="F4951" i="19"/>
  <c r="A4952" i="19"/>
  <c r="D4952" i="19"/>
  <c r="E4952" i="19"/>
  <c r="F4952" i="19"/>
  <c r="A4953" i="19"/>
  <c r="D4953" i="19"/>
  <c r="E4953" i="19"/>
  <c r="F4953" i="19"/>
  <c r="A4954" i="19"/>
  <c r="D4954" i="19"/>
  <c r="E4954" i="19"/>
  <c r="F4954" i="19"/>
  <c r="A4955" i="19"/>
  <c r="D4955" i="19"/>
  <c r="E4955" i="19"/>
  <c r="F4955" i="19"/>
  <c r="A4956" i="19"/>
  <c r="D4956" i="19"/>
  <c r="E4956" i="19"/>
  <c r="F4956" i="19"/>
  <c r="A4957" i="19"/>
  <c r="D4957" i="19"/>
  <c r="E4957" i="19"/>
  <c r="F4957" i="19"/>
  <c r="A4958" i="19"/>
  <c r="D4958" i="19"/>
  <c r="E4958" i="19"/>
  <c r="F4958" i="19"/>
  <c r="A4959" i="19"/>
  <c r="D4959" i="19"/>
  <c r="E4959" i="19"/>
  <c r="F4959" i="19"/>
  <c r="A4960" i="19"/>
  <c r="D4960" i="19"/>
  <c r="E4960" i="19"/>
  <c r="F4960" i="19"/>
  <c r="A4961" i="19"/>
  <c r="D4961" i="19"/>
  <c r="E4961" i="19"/>
  <c r="F4961" i="19"/>
  <c r="A4962" i="19"/>
  <c r="D4962" i="19"/>
  <c r="E4962" i="19"/>
  <c r="F4962" i="19"/>
  <c r="A4963" i="19"/>
  <c r="D4963" i="19"/>
  <c r="E4963" i="19"/>
  <c r="F4963" i="19"/>
  <c r="A4964" i="19"/>
  <c r="D4964" i="19"/>
  <c r="E4964" i="19"/>
  <c r="F4964" i="19"/>
  <c r="A4965" i="19"/>
  <c r="D4965" i="19"/>
  <c r="E4965" i="19"/>
  <c r="F4965" i="19"/>
  <c r="A4966" i="19"/>
  <c r="D4966" i="19"/>
  <c r="E4966" i="19"/>
  <c r="F4966" i="19"/>
  <c r="A4967" i="19"/>
  <c r="D4967" i="19"/>
  <c r="E4967" i="19"/>
  <c r="F4967" i="19"/>
  <c r="A4968" i="19"/>
  <c r="D4968" i="19"/>
  <c r="E4968" i="19"/>
  <c r="F4968" i="19"/>
  <c r="A4969" i="19"/>
  <c r="D4969" i="19"/>
  <c r="E4969" i="19"/>
  <c r="F4969" i="19"/>
  <c r="A4970" i="19"/>
  <c r="D4970" i="19"/>
  <c r="E4970" i="19"/>
  <c r="F4970" i="19"/>
  <c r="A4971" i="19"/>
  <c r="D4971" i="19"/>
  <c r="E4971" i="19"/>
  <c r="F4971" i="19"/>
  <c r="A4972" i="19"/>
  <c r="D4972" i="19"/>
  <c r="E4972" i="19"/>
  <c r="F4972" i="19"/>
  <c r="A4973" i="19"/>
  <c r="D4973" i="19"/>
  <c r="E4973" i="19"/>
  <c r="F4973" i="19"/>
  <c r="A4974" i="19"/>
  <c r="D4974" i="19"/>
  <c r="E4974" i="19"/>
  <c r="F4974" i="19"/>
  <c r="A4975" i="19"/>
  <c r="D4975" i="19"/>
  <c r="E4975" i="19"/>
  <c r="F4975" i="19"/>
  <c r="A4976" i="19"/>
  <c r="D4976" i="19"/>
  <c r="E4976" i="19"/>
  <c r="F4976" i="19"/>
  <c r="A4977" i="19"/>
  <c r="D4977" i="19"/>
  <c r="E4977" i="19"/>
  <c r="F4977" i="19"/>
  <c r="A4978" i="19"/>
  <c r="D4978" i="19"/>
  <c r="E4978" i="19"/>
  <c r="F4978" i="19"/>
  <c r="A4979" i="19"/>
  <c r="D4979" i="19"/>
  <c r="E4979" i="19"/>
  <c r="F4979" i="19"/>
  <c r="A4980" i="19"/>
  <c r="D4980" i="19"/>
  <c r="E4980" i="19"/>
  <c r="F4980" i="19"/>
  <c r="A4981" i="19"/>
  <c r="D4981" i="19"/>
  <c r="E4981" i="19"/>
  <c r="F4981" i="19"/>
  <c r="A4982" i="19"/>
  <c r="D4982" i="19"/>
  <c r="E4982" i="19"/>
  <c r="F4982" i="19"/>
  <c r="A4983" i="19"/>
  <c r="D4983" i="19"/>
  <c r="E4983" i="19"/>
  <c r="F4983" i="19"/>
  <c r="A4984" i="19"/>
  <c r="D4984" i="19"/>
  <c r="E4984" i="19"/>
  <c r="F4984" i="19"/>
  <c r="A4985" i="19"/>
  <c r="D4985" i="19"/>
  <c r="E4985" i="19"/>
  <c r="F4985" i="19"/>
  <c r="A4986" i="19"/>
  <c r="D4986" i="19"/>
  <c r="E4986" i="19"/>
  <c r="F4986" i="19"/>
  <c r="A4987" i="19"/>
  <c r="D4987" i="19"/>
  <c r="E4987" i="19"/>
  <c r="F4987" i="19"/>
  <c r="A4988" i="19"/>
  <c r="D4988" i="19"/>
  <c r="E4988" i="19"/>
  <c r="F4988" i="19"/>
  <c r="A4989" i="19"/>
  <c r="D4989" i="19"/>
  <c r="E4989" i="19"/>
  <c r="F4989" i="19"/>
  <c r="A4990" i="19"/>
  <c r="D4990" i="19"/>
  <c r="E4990" i="19"/>
  <c r="F4990" i="19"/>
  <c r="A4991" i="19"/>
  <c r="D4991" i="19"/>
  <c r="E4991" i="19"/>
  <c r="F4991" i="19"/>
  <c r="A4992" i="19"/>
  <c r="D4992" i="19"/>
  <c r="E4992" i="19"/>
  <c r="F4992" i="19"/>
  <c r="A4993" i="19"/>
  <c r="D4993" i="19"/>
  <c r="E4993" i="19"/>
  <c r="F4993" i="19"/>
  <c r="A4994" i="19"/>
  <c r="D4994" i="19"/>
  <c r="E4994" i="19"/>
  <c r="F4994" i="19"/>
  <c r="A4995" i="19"/>
  <c r="D4995" i="19"/>
  <c r="E4995" i="19"/>
  <c r="F4995" i="19"/>
  <c r="A4996" i="19"/>
  <c r="D4996" i="19"/>
  <c r="E4996" i="19"/>
  <c r="F4996" i="19"/>
  <c r="A4997" i="19"/>
  <c r="D4997" i="19"/>
  <c r="E4997" i="19"/>
  <c r="F4997" i="19"/>
  <c r="A4998" i="19"/>
  <c r="D4998" i="19"/>
  <c r="E4998" i="19"/>
  <c r="F4998" i="19"/>
  <c r="A4999" i="19"/>
  <c r="D4999" i="19"/>
  <c r="E4999" i="19"/>
  <c r="F4999" i="19"/>
  <c r="A5000" i="19"/>
  <c r="D5000" i="19"/>
  <c r="E5000" i="19"/>
  <c r="F5000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533" i="19"/>
  <c r="E534" i="19"/>
  <c r="E535" i="19"/>
  <c r="E536" i="19"/>
  <c r="E537" i="19"/>
  <c r="E538" i="19"/>
  <c r="E539" i="19"/>
  <c r="E540" i="19"/>
  <c r="E541" i="19"/>
  <c r="E542" i="19"/>
  <c r="E543" i="19"/>
  <c r="E544" i="19"/>
  <c r="E545" i="19"/>
  <c r="E546" i="19"/>
  <c r="E547" i="19"/>
  <c r="E548" i="19"/>
  <c r="E549" i="19"/>
  <c r="E550" i="19"/>
  <c r="E551" i="19"/>
  <c r="E552" i="19"/>
  <c r="E553" i="19"/>
  <c r="E554" i="19"/>
  <c r="E555" i="19"/>
  <c r="E556" i="19"/>
  <c r="E557" i="19"/>
  <c r="E558" i="19"/>
  <c r="E559" i="19"/>
  <c r="E560" i="19"/>
  <c r="E561" i="19"/>
  <c r="E562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77" i="19"/>
  <c r="E578" i="19"/>
  <c r="E579" i="19"/>
  <c r="E580" i="19"/>
  <c r="E581" i="19"/>
  <c r="E582" i="19"/>
  <c r="E583" i="19"/>
  <c r="E584" i="19"/>
  <c r="E585" i="19"/>
  <c r="E586" i="19"/>
  <c r="E587" i="19"/>
  <c r="E588" i="19"/>
  <c r="E589" i="19"/>
  <c r="E590" i="19"/>
  <c r="E591" i="19"/>
  <c r="E592" i="19"/>
  <c r="E593" i="19"/>
  <c r="E594" i="19"/>
  <c r="E595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35" i="19"/>
  <c r="E636" i="19"/>
  <c r="E637" i="19"/>
  <c r="E638" i="19"/>
  <c r="E639" i="19"/>
  <c r="E640" i="19"/>
  <c r="E641" i="19"/>
  <c r="E642" i="19"/>
  <c r="E643" i="19"/>
  <c r="E644" i="19"/>
  <c r="E645" i="19"/>
  <c r="E646" i="19"/>
  <c r="E647" i="19"/>
  <c r="E648" i="19"/>
  <c r="E649" i="19"/>
  <c r="E650" i="19"/>
  <c r="E651" i="19"/>
  <c r="E652" i="19"/>
  <c r="E653" i="19"/>
  <c r="E654" i="19"/>
  <c r="E655" i="19"/>
  <c r="E656" i="19"/>
  <c r="E657" i="19"/>
  <c r="E658" i="19"/>
  <c r="E659" i="19"/>
  <c r="E660" i="19"/>
  <c r="E661" i="19"/>
  <c r="E662" i="19"/>
  <c r="E663" i="19"/>
  <c r="E664" i="19"/>
  <c r="E665" i="19"/>
  <c r="E666" i="19"/>
  <c r="E667" i="19"/>
  <c r="E668" i="19"/>
  <c r="E669" i="19"/>
  <c r="E670" i="19"/>
  <c r="E671" i="19"/>
  <c r="E672" i="19"/>
  <c r="E673" i="19"/>
  <c r="E674" i="19"/>
  <c r="E675" i="19"/>
  <c r="E676" i="19"/>
  <c r="E677" i="19"/>
  <c r="E678" i="19"/>
  <c r="E679" i="19"/>
  <c r="E680" i="19"/>
  <c r="E681" i="19"/>
  <c r="E682" i="19"/>
  <c r="E683" i="19"/>
  <c r="E684" i="19"/>
  <c r="E685" i="19"/>
  <c r="E686" i="19"/>
  <c r="E687" i="19"/>
  <c r="E688" i="19"/>
  <c r="E689" i="19"/>
  <c r="E690" i="19"/>
  <c r="E691" i="19"/>
  <c r="E692" i="19"/>
  <c r="E693" i="19"/>
  <c r="E694" i="19"/>
  <c r="E695" i="19"/>
  <c r="E696" i="19"/>
  <c r="E697" i="19"/>
  <c r="E698" i="19"/>
  <c r="E699" i="19"/>
  <c r="E700" i="19"/>
  <c r="E701" i="19"/>
  <c r="E702" i="19"/>
  <c r="E703" i="19"/>
  <c r="E704" i="19"/>
  <c r="E705" i="19"/>
  <c r="E706" i="19"/>
  <c r="E707" i="19"/>
  <c r="E708" i="19"/>
  <c r="E709" i="19"/>
  <c r="E710" i="19"/>
  <c r="E711" i="19"/>
  <c r="E712" i="19"/>
  <c r="E713" i="19"/>
  <c r="E714" i="19"/>
  <c r="E715" i="19"/>
  <c r="E716" i="19"/>
  <c r="E717" i="19"/>
  <c r="E718" i="19"/>
  <c r="E719" i="19"/>
  <c r="E720" i="19"/>
  <c r="E721" i="19"/>
  <c r="E722" i="19"/>
  <c r="E723" i="19"/>
  <c r="E724" i="19"/>
  <c r="E725" i="19"/>
  <c r="E726" i="19"/>
  <c r="E727" i="19"/>
  <c r="E728" i="19"/>
  <c r="E729" i="19"/>
  <c r="E730" i="19"/>
  <c r="E731" i="19"/>
  <c r="E732" i="19"/>
  <c r="E733" i="19"/>
  <c r="E734" i="19"/>
  <c r="E735" i="19"/>
  <c r="E736" i="19"/>
  <c r="E737" i="19"/>
  <c r="E738" i="19"/>
  <c r="E739" i="19"/>
  <c r="E740" i="19"/>
  <c r="E741" i="19"/>
  <c r="E742" i="19"/>
  <c r="E743" i="19"/>
  <c r="E744" i="19"/>
  <c r="E745" i="19"/>
  <c r="E746" i="19"/>
  <c r="E747" i="19"/>
  <c r="E748" i="19"/>
  <c r="E749" i="19"/>
  <c r="E750" i="19"/>
  <c r="E751" i="19"/>
  <c r="E752" i="19"/>
  <c r="E753" i="19"/>
  <c r="E754" i="19"/>
  <c r="E755" i="19"/>
  <c r="E756" i="19"/>
  <c r="E757" i="19"/>
  <c r="E758" i="19"/>
  <c r="E759" i="19"/>
  <c r="E760" i="19"/>
  <c r="E761" i="19"/>
  <c r="E762" i="19"/>
  <c r="E763" i="19"/>
  <c r="E764" i="19"/>
  <c r="E765" i="19"/>
  <c r="E766" i="19"/>
  <c r="E767" i="19"/>
  <c r="E768" i="19"/>
  <c r="E769" i="19"/>
  <c r="E770" i="19"/>
  <c r="E771" i="19"/>
  <c r="E772" i="19"/>
  <c r="E773" i="19"/>
  <c r="E774" i="19"/>
  <c r="E775" i="19"/>
  <c r="E776" i="19"/>
  <c r="E777" i="19"/>
  <c r="E778" i="19"/>
  <c r="E779" i="19"/>
  <c r="E780" i="19"/>
  <c r="E781" i="19"/>
  <c r="E782" i="19"/>
  <c r="E783" i="19"/>
  <c r="E784" i="19"/>
  <c r="E785" i="19"/>
  <c r="E786" i="19"/>
  <c r="E787" i="19"/>
  <c r="E788" i="19"/>
  <c r="E789" i="19"/>
  <c r="E790" i="19"/>
  <c r="E791" i="19"/>
  <c r="E792" i="19"/>
  <c r="E793" i="19"/>
  <c r="E794" i="19"/>
  <c r="E795" i="19"/>
  <c r="E796" i="19"/>
  <c r="E797" i="19"/>
  <c r="E798" i="19"/>
  <c r="E799" i="19"/>
  <c r="E800" i="19"/>
  <c r="E801" i="19"/>
  <c r="E802" i="19"/>
  <c r="E803" i="19"/>
  <c r="E804" i="19"/>
  <c r="E805" i="19"/>
  <c r="E806" i="19"/>
  <c r="E807" i="19"/>
  <c r="E808" i="19"/>
  <c r="E809" i="19"/>
  <c r="E810" i="19"/>
  <c r="E811" i="19"/>
  <c r="E812" i="19"/>
  <c r="E813" i="19"/>
  <c r="E814" i="19"/>
  <c r="E81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3" i="19"/>
  <c r="E834" i="19"/>
  <c r="E835" i="19"/>
  <c r="E836" i="19"/>
  <c r="E837" i="19"/>
  <c r="E838" i="19"/>
  <c r="E839" i="19"/>
  <c r="E840" i="19"/>
  <c r="E841" i="19"/>
  <c r="E842" i="19"/>
  <c r="E843" i="19"/>
  <c r="E844" i="19"/>
  <c r="E845" i="19"/>
  <c r="E846" i="19"/>
  <c r="E847" i="19"/>
  <c r="E848" i="19"/>
  <c r="E849" i="19"/>
  <c r="E850" i="19"/>
  <c r="E851" i="19"/>
  <c r="E852" i="19"/>
  <c r="E853" i="19"/>
  <c r="E854" i="19"/>
  <c r="E855" i="19"/>
  <c r="E856" i="19"/>
  <c r="E857" i="19"/>
  <c r="E858" i="19"/>
  <c r="E859" i="19"/>
  <c r="E860" i="19"/>
  <c r="E861" i="19"/>
  <c r="E862" i="19"/>
  <c r="E863" i="19"/>
  <c r="E864" i="19"/>
  <c r="E865" i="19"/>
  <c r="E866" i="19"/>
  <c r="E867" i="19"/>
  <c r="E868" i="19"/>
  <c r="E869" i="19"/>
  <c r="E870" i="19"/>
  <c r="E871" i="19"/>
  <c r="E872" i="19"/>
  <c r="E873" i="19"/>
  <c r="E874" i="19"/>
  <c r="E875" i="19"/>
  <c r="E876" i="19"/>
  <c r="E877" i="19"/>
  <c r="E878" i="19"/>
  <c r="E879" i="19"/>
  <c r="E880" i="19"/>
  <c r="E881" i="19"/>
  <c r="E882" i="19"/>
  <c r="E883" i="19"/>
  <c r="E884" i="19"/>
  <c r="E885" i="19"/>
  <c r="E886" i="19"/>
  <c r="E887" i="19"/>
  <c r="E888" i="19"/>
  <c r="E889" i="19"/>
  <c r="E890" i="19"/>
  <c r="E891" i="19"/>
  <c r="E892" i="19"/>
  <c r="E893" i="19"/>
  <c r="E894" i="19"/>
  <c r="E895" i="19"/>
  <c r="E896" i="19"/>
  <c r="E897" i="19"/>
  <c r="E898" i="19"/>
  <c r="E899" i="19"/>
  <c r="E900" i="19"/>
  <c r="E901" i="19"/>
  <c r="E902" i="19"/>
  <c r="E903" i="19"/>
  <c r="E904" i="19"/>
  <c r="E905" i="19"/>
  <c r="E906" i="19"/>
  <c r="E907" i="19"/>
  <c r="E908" i="19"/>
  <c r="E909" i="19"/>
  <c r="E910" i="19"/>
  <c r="E911" i="19"/>
  <c r="E912" i="19"/>
  <c r="E913" i="19"/>
  <c r="E914" i="19"/>
  <c r="E915" i="19"/>
  <c r="E916" i="19"/>
  <c r="E917" i="19"/>
  <c r="E918" i="19"/>
  <c r="E919" i="19"/>
  <c r="E920" i="19"/>
  <c r="E921" i="19"/>
  <c r="E922" i="19"/>
  <c r="E923" i="19"/>
  <c r="E924" i="19"/>
  <c r="E925" i="19"/>
  <c r="E926" i="19"/>
  <c r="E927" i="19"/>
  <c r="E928" i="19"/>
  <c r="E929" i="19"/>
  <c r="E930" i="19"/>
  <c r="E931" i="19"/>
  <c r="E932" i="19"/>
  <c r="E933" i="19"/>
  <c r="E934" i="19"/>
  <c r="E935" i="19"/>
  <c r="E936" i="19"/>
  <c r="E937" i="19"/>
  <c r="E938" i="19"/>
  <c r="E939" i="19"/>
  <c r="E940" i="19"/>
  <c r="E941" i="19"/>
  <c r="E942" i="19"/>
  <c r="E943" i="19"/>
  <c r="E944" i="19"/>
  <c r="E945" i="19"/>
  <c r="E946" i="19"/>
  <c r="E947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71" i="19"/>
  <c r="E972" i="19"/>
  <c r="E973" i="19"/>
  <c r="E974" i="19"/>
  <c r="E975" i="19"/>
  <c r="E976" i="19"/>
  <c r="E977" i="19"/>
  <c r="E978" i="19"/>
  <c r="E979" i="19"/>
  <c r="E980" i="19"/>
  <c r="E981" i="19"/>
  <c r="E982" i="19"/>
  <c r="E983" i="19"/>
  <c r="E984" i="19"/>
  <c r="E985" i="19"/>
  <c r="E986" i="19"/>
  <c r="E987" i="19"/>
  <c r="E988" i="19"/>
  <c r="E989" i="19"/>
  <c r="E990" i="19"/>
  <c r="E991" i="19"/>
  <c r="E992" i="19"/>
  <c r="E993" i="19"/>
  <c r="E994" i="19"/>
  <c r="E995" i="19"/>
  <c r="E996" i="19"/>
  <c r="E997" i="19"/>
  <c r="E998" i="19"/>
  <c r="E999" i="19"/>
  <c r="E1000" i="19"/>
  <c r="E1001" i="19"/>
  <c r="E1002" i="19"/>
  <c r="E1003" i="19"/>
  <c r="E1004" i="19"/>
  <c r="E1005" i="19"/>
  <c r="E1006" i="19"/>
  <c r="E1007" i="19"/>
  <c r="E1008" i="19"/>
  <c r="E1009" i="19"/>
  <c r="E1010" i="19"/>
  <c r="E1011" i="19"/>
  <c r="E1012" i="19"/>
  <c r="E1013" i="19"/>
  <c r="E1014" i="19"/>
  <c r="E1015" i="19"/>
  <c r="E1016" i="19"/>
  <c r="E1017" i="19"/>
  <c r="E1018" i="19"/>
  <c r="E1019" i="19"/>
  <c r="E1020" i="19"/>
  <c r="E1021" i="19"/>
  <c r="E1022" i="19"/>
  <c r="E1023" i="19"/>
  <c r="E1024" i="19"/>
  <c r="E1025" i="19"/>
  <c r="E1026" i="19"/>
  <c r="E1027" i="19"/>
  <c r="E1028" i="19"/>
  <c r="E1029" i="19"/>
  <c r="E1030" i="19"/>
  <c r="E1031" i="19"/>
  <c r="E1032" i="19"/>
  <c r="E1033" i="19"/>
  <c r="E1034" i="19"/>
  <c r="E1035" i="19"/>
  <c r="E1036" i="19"/>
  <c r="E1037" i="19"/>
  <c r="E1038" i="19"/>
  <c r="E1039" i="19"/>
  <c r="E1040" i="19"/>
  <c r="E1041" i="19"/>
  <c r="E1042" i="19"/>
  <c r="E1043" i="19"/>
  <c r="E1044" i="19"/>
  <c r="E1045" i="19"/>
  <c r="E1046" i="19"/>
  <c r="E1047" i="19"/>
  <c r="E1048" i="19"/>
  <c r="E1049" i="19"/>
  <c r="E1050" i="19"/>
  <c r="E1051" i="19"/>
  <c r="E1052" i="19"/>
  <c r="E1053" i="19"/>
  <c r="E1054" i="19"/>
  <c r="E1055" i="19"/>
  <c r="E1056" i="19"/>
  <c r="E1057" i="19"/>
  <c r="E1058" i="19"/>
  <c r="E1059" i="19"/>
  <c r="E1060" i="19"/>
  <c r="E1061" i="19"/>
  <c r="E1062" i="19"/>
  <c r="E1063" i="19"/>
  <c r="E1064" i="19"/>
  <c r="E1065" i="19"/>
  <c r="E1066" i="19"/>
  <c r="E1067" i="19"/>
  <c r="E1068" i="19"/>
  <c r="E1069" i="19"/>
  <c r="E1070" i="19"/>
  <c r="E1071" i="19"/>
  <c r="E1072" i="19"/>
  <c r="E1073" i="19"/>
  <c r="E1074" i="19"/>
  <c r="E1075" i="19"/>
  <c r="E1076" i="19"/>
  <c r="E1077" i="19"/>
  <c r="E1078" i="19"/>
  <c r="E1079" i="19"/>
  <c r="E1080" i="19"/>
  <c r="E1081" i="19"/>
  <c r="E1082" i="19"/>
  <c r="E1083" i="19"/>
  <c r="E1084" i="19"/>
  <c r="E1085" i="19"/>
  <c r="E1086" i="19"/>
  <c r="E1087" i="19"/>
  <c r="E1088" i="19"/>
  <c r="E1089" i="19"/>
  <c r="E1090" i="19"/>
  <c r="E1091" i="19"/>
  <c r="E1092" i="19"/>
  <c r="E1093" i="19"/>
  <c r="E1094" i="19"/>
  <c r="E1095" i="19"/>
  <c r="E1096" i="19"/>
  <c r="E1097" i="19"/>
  <c r="E1098" i="19"/>
  <c r="E1099" i="19"/>
  <c r="E1100" i="19"/>
  <c r="E1101" i="19"/>
  <c r="E1102" i="19"/>
  <c r="E1103" i="19"/>
  <c r="E1104" i="19"/>
  <c r="E1105" i="19"/>
  <c r="E1106" i="19"/>
  <c r="E1107" i="19"/>
  <c r="E1108" i="19"/>
  <c r="E1109" i="19"/>
  <c r="E1110" i="19"/>
  <c r="E1111" i="19"/>
  <c r="E1112" i="19"/>
  <c r="E1113" i="19"/>
  <c r="E1114" i="19"/>
  <c r="E1115" i="19"/>
  <c r="E1116" i="19"/>
  <c r="E1117" i="19"/>
  <c r="E1118" i="19"/>
  <c r="E1119" i="19"/>
  <c r="E1120" i="19"/>
  <c r="E1121" i="19"/>
  <c r="E1122" i="19"/>
  <c r="E1123" i="19"/>
  <c r="E1124" i="19"/>
  <c r="E1125" i="19"/>
  <c r="E1126" i="19"/>
  <c r="E1127" i="19"/>
  <c r="E1128" i="19"/>
  <c r="E1129" i="19"/>
  <c r="E1130" i="19"/>
  <c r="E1131" i="19"/>
  <c r="E1132" i="19"/>
  <c r="E1133" i="19"/>
  <c r="E1134" i="19"/>
  <c r="E1135" i="19"/>
  <c r="E1136" i="19"/>
  <c r="E1137" i="19"/>
  <c r="E1138" i="19"/>
  <c r="E1139" i="19"/>
  <c r="E1140" i="19"/>
  <c r="E1141" i="19"/>
  <c r="E1142" i="19"/>
  <c r="E1143" i="19"/>
  <c r="E1144" i="19"/>
  <c r="E1145" i="19"/>
  <c r="E1146" i="19"/>
  <c r="E1147" i="19"/>
  <c r="E1148" i="19"/>
  <c r="E1149" i="19"/>
  <c r="E1150" i="19"/>
  <c r="E1151" i="19"/>
  <c r="E1152" i="19"/>
  <c r="E1153" i="19"/>
  <c r="E1154" i="19"/>
  <c r="E1155" i="19"/>
  <c r="E1156" i="19"/>
  <c r="E1157" i="19"/>
  <c r="E1158" i="19"/>
  <c r="E1159" i="19"/>
  <c r="E1160" i="19"/>
  <c r="E1161" i="19"/>
  <c r="E1162" i="19"/>
  <c r="E1163" i="19"/>
  <c r="E1164" i="19"/>
  <c r="E1165" i="19"/>
  <c r="E1166" i="19"/>
  <c r="E1167" i="19"/>
  <c r="E1168" i="19"/>
  <c r="E1169" i="19"/>
  <c r="E1170" i="19"/>
  <c r="E1171" i="19"/>
  <c r="E1172" i="19"/>
  <c r="E1173" i="19"/>
  <c r="E1174" i="19"/>
  <c r="E1175" i="19"/>
  <c r="E1176" i="19"/>
  <c r="E1177" i="19"/>
  <c r="E1178" i="19"/>
  <c r="E1179" i="19"/>
  <c r="E1180" i="19"/>
  <c r="E1181" i="19"/>
  <c r="E1182" i="19"/>
  <c r="E1183" i="19"/>
  <c r="E1184" i="19"/>
  <c r="E1185" i="19"/>
  <c r="E1186" i="19"/>
  <c r="E1187" i="19"/>
  <c r="E1188" i="19"/>
  <c r="E1189" i="19"/>
  <c r="E1190" i="19"/>
  <c r="E1191" i="19"/>
  <c r="E1192" i="19"/>
  <c r="E1193" i="19"/>
  <c r="E1194" i="19"/>
  <c r="E1195" i="19"/>
  <c r="E1196" i="19"/>
  <c r="E1197" i="19"/>
  <c r="E1198" i="19"/>
  <c r="E1199" i="19"/>
  <c r="E1200" i="19"/>
  <c r="E1201" i="19"/>
  <c r="E1202" i="19"/>
  <c r="E1203" i="19"/>
  <c r="E1204" i="19"/>
  <c r="E1205" i="19"/>
  <c r="E1206" i="19"/>
  <c r="E1207" i="19"/>
  <c r="E1208" i="19"/>
  <c r="E1209" i="19"/>
  <c r="E1210" i="19"/>
  <c r="E1211" i="19"/>
  <c r="E1212" i="19"/>
  <c r="E1213" i="19"/>
  <c r="E1214" i="19"/>
  <c r="E1215" i="19"/>
  <c r="E1216" i="19"/>
  <c r="E1217" i="19"/>
  <c r="E1218" i="19"/>
  <c r="E1219" i="19"/>
  <c r="E1220" i="19"/>
  <c r="E1221" i="19"/>
  <c r="E1222" i="19"/>
  <c r="E1223" i="19"/>
  <c r="E1224" i="19"/>
  <c r="E1225" i="19"/>
  <c r="E1226" i="19"/>
  <c r="E1227" i="19"/>
  <c r="E1228" i="19"/>
  <c r="E1229" i="19"/>
  <c r="E1230" i="19"/>
  <c r="E1231" i="19"/>
  <c r="E1232" i="19"/>
  <c r="E1233" i="19"/>
  <c r="E1234" i="19"/>
  <c r="E1235" i="19"/>
  <c r="E1236" i="19"/>
  <c r="E1237" i="19"/>
  <c r="E1238" i="19"/>
  <c r="E1239" i="19"/>
  <c r="E1240" i="19"/>
  <c r="E1241" i="19"/>
  <c r="E1242" i="19"/>
  <c r="E1243" i="19"/>
  <c r="E1244" i="19"/>
  <c r="E1245" i="19"/>
  <c r="E1246" i="19"/>
  <c r="E1247" i="19"/>
  <c r="E1248" i="19"/>
  <c r="E1249" i="19"/>
  <c r="E1250" i="19"/>
  <c r="E1251" i="19"/>
  <c r="E1252" i="19"/>
  <c r="E1253" i="19"/>
  <c r="E1254" i="19"/>
  <c r="E1255" i="19"/>
  <c r="E1256" i="19"/>
  <c r="E1257" i="19"/>
  <c r="E1258" i="19"/>
  <c r="E1259" i="19"/>
  <c r="E1260" i="19"/>
  <c r="E1261" i="19"/>
  <c r="E1262" i="19"/>
  <c r="E1263" i="19"/>
  <c r="E1264" i="19"/>
  <c r="E1265" i="19"/>
  <c r="E1266" i="19"/>
  <c r="E1267" i="19"/>
  <c r="E1268" i="19"/>
  <c r="E1269" i="19"/>
  <c r="E1270" i="19"/>
  <c r="E1271" i="19"/>
  <c r="E1272" i="19"/>
  <c r="E1273" i="19"/>
  <c r="E1274" i="19"/>
  <c r="E1275" i="19"/>
  <c r="E1276" i="19"/>
  <c r="E1277" i="19"/>
  <c r="E1278" i="19"/>
  <c r="E1279" i="19"/>
  <c r="E1280" i="19"/>
  <c r="E1281" i="19"/>
  <c r="E1282" i="19"/>
  <c r="E1283" i="19"/>
  <c r="E1284" i="19"/>
  <c r="E1285" i="19"/>
  <c r="E1286" i="19"/>
  <c r="E1287" i="19"/>
  <c r="E1288" i="19"/>
  <c r="E1289" i="19"/>
  <c r="E1290" i="19"/>
  <c r="E1291" i="19"/>
  <c r="E1292" i="19"/>
  <c r="E1293" i="19"/>
  <c r="E1294" i="19"/>
  <c r="E1295" i="19"/>
  <c r="E1296" i="19"/>
  <c r="E1297" i="19"/>
  <c r="E1298" i="19"/>
  <c r="E1299" i="19"/>
  <c r="E1300" i="19"/>
  <c r="E1301" i="19"/>
  <c r="E1302" i="19"/>
  <c r="E1303" i="19"/>
  <c r="E1304" i="19"/>
  <c r="E1305" i="19"/>
  <c r="E1306" i="19"/>
  <c r="E1307" i="19"/>
  <c r="E1308" i="19"/>
  <c r="E1309" i="19"/>
  <c r="E1310" i="19"/>
  <c r="E1311" i="19"/>
  <c r="E1312" i="19"/>
  <c r="E1313" i="19"/>
  <c r="E1314" i="19"/>
  <c r="E1315" i="19"/>
  <c r="E1316" i="19"/>
  <c r="E1317" i="19"/>
  <c r="E1318" i="19"/>
  <c r="E1319" i="19"/>
  <c r="E1320" i="19"/>
  <c r="E1321" i="19"/>
  <c r="E1322" i="19"/>
  <c r="E1323" i="19"/>
  <c r="E1324" i="19"/>
  <c r="E1325" i="19"/>
  <c r="E1326" i="19"/>
  <c r="E1327" i="19"/>
  <c r="E1328" i="19"/>
  <c r="E1329" i="19"/>
  <c r="E1330" i="19"/>
  <c r="E1331" i="19"/>
  <c r="E1332" i="19"/>
  <c r="E1333" i="19"/>
  <c r="E1334" i="19"/>
  <c r="E1335" i="19"/>
  <c r="E1336" i="19"/>
  <c r="E1337" i="19"/>
  <c r="E1338" i="19"/>
  <c r="E1339" i="19"/>
  <c r="E1340" i="19"/>
  <c r="E1341" i="19"/>
  <c r="E1342" i="19"/>
  <c r="E1343" i="19"/>
  <c r="E1344" i="19"/>
  <c r="E1345" i="19"/>
  <c r="E1346" i="19"/>
  <c r="E1347" i="19"/>
  <c r="E1348" i="19"/>
  <c r="E1349" i="19"/>
  <c r="E1350" i="19"/>
  <c r="E1351" i="19"/>
  <c r="E1352" i="19"/>
  <c r="E1353" i="19"/>
  <c r="E1354" i="19"/>
  <c r="E1355" i="19"/>
  <c r="E1356" i="19"/>
  <c r="E1357" i="19"/>
  <c r="E1358" i="19"/>
  <c r="E1359" i="19"/>
  <c r="E1360" i="19"/>
  <c r="E1361" i="19"/>
  <c r="E1362" i="19"/>
  <c r="E1363" i="19"/>
  <c r="E1364" i="19"/>
  <c r="E1365" i="19"/>
  <c r="E1366" i="19"/>
  <c r="E1367" i="19"/>
  <c r="E1368" i="19"/>
  <c r="E1369" i="19"/>
  <c r="E1370" i="19"/>
  <c r="E1371" i="19"/>
  <c r="E1372" i="19"/>
  <c r="E1373" i="19"/>
  <c r="E1374" i="19"/>
  <c r="E1375" i="19"/>
  <c r="E1376" i="19"/>
  <c r="E1377" i="19"/>
  <c r="E1378" i="19"/>
  <c r="E1379" i="19"/>
  <c r="E1380" i="19"/>
  <c r="E1381" i="19"/>
  <c r="E1382" i="19"/>
  <c r="E1383" i="19"/>
  <c r="E1384" i="19"/>
  <c r="E1385" i="19"/>
  <c r="E1386" i="19"/>
  <c r="E1387" i="19"/>
  <c r="E1388" i="19"/>
  <c r="E1389" i="19"/>
  <c r="E1390" i="19"/>
  <c r="E1391" i="19"/>
  <c r="E1392" i="19"/>
  <c r="E1393" i="19"/>
  <c r="E1394" i="19"/>
  <c r="E1395" i="19"/>
  <c r="E1396" i="19"/>
  <c r="E1397" i="19"/>
  <c r="E1398" i="19"/>
  <c r="E1399" i="19"/>
  <c r="E1400" i="19"/>
  <c r="E1401" i="19"/>
  <c r="E1402" i="19"/>
  <c r="E1403" i="19"/>
  <c r="E1404" i="19"/>
  <c r="E1405" i="19"/>
  <c r="E1406" i="19"/>
  <c r="E1407" i="19"/>
  <c r="E1408" i="19"/>
  <c r="E1409" i="19"/>
  <c r="E1410" i="19"/>
  <c r="E1411" i="19"/>
  <c r="E1412" i="19"/>
  <c r="E1413" i="19"/>
  <c r="E1414" i="19"/>
  <c r="E1415" i="19"/>
  <c r="E1416" i="19"/>
  <c r="E1417" i="19"/>
  <c r="E1418" i="19"/>
  <c r="E1419" i="19"/>
  <c r="E1420" i="19"/>
  <c r="E1421" i="19"/>
  <c r="E1422" i="19"/>
  <c r="E1423" i="19"/>
  <c r="E1424" i="19"/>
  <c r="E1425" i="19"/>
  <c r="E1426" i="19"/>
  <c r="E1427" i="19"/>
  <c r="E1428" i="19"/>
  <c r="E1429" i="19"/>
  <c r="E1430" i="19"/>
  <c r="E1431" i="19"/>
  <c r="E1432" i="19"/>
  <c r="E1433" i="19"/>
  <c r="E1434" i="19"/>
  <c r="E1435" i="19"/>
  <c r="E1436" i="19"/>
  <c r="E1437" i="19"/>
  <c r="E1438" i="19"/>
  <c r="E1439" i="19"/>
  <c r="E1440" i="19"/>
  <c r="E1441" i="19"/>
  <c r="E1442" i="19"/>
  <c r="E1443" i="19"/>
  <c r="E1444" i="19"/>
  <c r="E1445" i="19"/>
  <c r="E1446" i="19"/>
  <c r="E1447" i="19"/>
  <c r="E1448" i="19"/>
  <c r="E1449" i="19"/>
  <c r="E1450" i="19"/>
  <c r="E1451" i="19"/>
  <c r="E1452" i="19"/>
  <c r="E1453" i="19"/>
  <c r="E1454" i="19"/>
  <c r="E1455" i="19"/>
  <c r="E1456" i="19"/>
  <c r="E1457" i="19"/>
  <c r="E1458" i="19"/>
  <c r="E1459" i="19"/>
  <c r="E1460" i="19"/>
  <c r="E1461" i="19"/>
  <c r="E1462" i="19"/>
  <c r="E1463" i="19"/>
  <c r="E1464" i="19"/>
  <c r="E1465" i="19"/>
  <c r="E1466" i="19"/>
  <c r="E1467" i="19"/>
  <c r="E1468" i="19"/>
  <c r="E1469" i="19"/>
  <c r="E1470" i="19"/>
  <c r="E1471" i="19"/>
  <c r="E1472" i="19"/>
  <c r="E1473" i="19"/>
  <c r="E1474" i="19"/>
  <c r="E1475" i="19"/>
  <c r="E1476" i="19"/>
  <c r="E1477" i="19"/>
  <c r="E1478" i="19"/>
  <c r="E1479" i="19"/>
  <c r="E1480" i="19"/>
  <c r="E1481" i="19"/>
  <c r="E1482" i="19"/>
  <c r="E1483" i="19"/>
  <c r="E1484" i="19"/>
  <c r="E1485" i="19"/>
  <c r="E1486" i="19"/>
  <c r="E1487" i="19"/>
  <c r="E1488" i="19"/>
  <c r="E1489" i="19"/>
  <c r="E1490" i="19"/>
  <c r="E1491" i="19"/>
  <c r="E1492" i="19"/>
  <c r="E1493" i="19"/>
  <c r="E1494" i="19"/>
  <c r="E1495" i="19"/>
  <c r="E1496" i="19"/>
  <c r="E1497" i="19"/>
  <c r="E1498" i="19"/>
  <c r="E1499" i="19"/>
  <c r="E1500" i="19"/>
  <c r="E1501" i="19"/>
  <c r="E1502" i="19"/>
  <c r="E1503" i="19"/>
  <c r="E1504" i="19"/>
  <c r="E1505" i="19"/>
  <c r="E1506" i="19"/>
  <c r="E1507" i="19"/>
  <c r="E1508" i="19"/>
  <c r="E1509" i="19"/>
  <c r="E1510" i="19"/>
  <c r="E1511" i="19"/>
  <c r="E1512" i="19"/>
  <c r="E1513" i="19"/>
  <c r="E1514" i="19"/>
  <c r="E1515" i="19"/>
  <c r="E1516" i="19"/>
  <c r="E1517" i="19"/>
  <c r="E1518" i="19"/>
  <c r="E1519" i="19"/>
  <c r="E1520" i="19"/>
  <c r="E1521" i="19"/>
  <c r="E1522" i="19"/>
  <c r="E1523" i="19"/>
  <c r="E1524" i="19"/>
  <c r="E1525" i="19"/>
  <c r="E1526" i="19"/>
  <c r="E1527" i="19"/>
  <c r="E1528" i="19"/>
  <c r="E1529" i="19"/>
  <c r="E1530" i="19"/>
  <c r="E1531" i="19"/>
  <c r="E1532" i="19"/>
  <c r="E1533" i="19"/>
  <c r="E1534" i="19"/>
  <c r="E1535" i="19"/>
  <c r="E1536" i="19"/>
  <c r="E1537" i="19"/>
  <c r="E1538" i="19"/>
  <c r="E1539" i="19"/>
  <c r="E1540" i="19"/>
  <c r="E1541" i="19"/>
  <c r="E1542" i="19"/>
  <c r="E1543" i="19"/>
  <c r="E1544" i="19"/>
  <c r="E1545" i="19"/>
  <c r="E1546" i="19"/>
  <c r="E1547" i="19"/>
  <c r="E1548" i="19"/>
  <c r="E1549" i="19"/>
  <c r="E1550" i="19"/>
  <c r="E1551" i="19"/>
  <c r="E1552" i="19"/>
  <c r="E1553" i="19"/>
  <c r="E1554" i="19"/>
  <c r="E1555" i="19"/>
  <c r="E1556" i="19"/>
  <c r="E1557" i="19"/>
  <c r="E1558" i="19"/>
  <c r="E1559" i="19"/>
  <c r="E1560" i="19"/>
  <c r="E1561" i="19"/>
  <c r="E1562" i="19"/>
  <c r="E1563" i="19"/>
  <c r="E1564" i="19"/>
  <c r="E1565" i="19"/>
  <c r="E1566" i="19"/>
  <c r="E1567" i="19"/>
  <c r="E1568" i="19"/>
  <c r="E1569" i="19"/>
  <c r="E1570" i="19"/>
  <c r="E1571" i="19"/>
  <c r="E1572" i="19"/>
  <c r="E1573" i="19"/>
  <c r="E1574" i="19"/>
  <c r="E1575" i="19"/>
  <c r="E1576" i="19"/>
  <c r="E1577" i="19"/>
  <c r="E1578" i="19"/>
  <c r="E1579" i="19"/>
  <c r="E1580" i="19"/>
  <c r="E1581" i="19"/>
  <c r="E1582" i="19"/>
  <c r="E1583" i="19"/>
  <c r="E1584" i="19"/>
  <c r="E1585" i="19"/>
  <c r="E1586" i="19"/>
  <c r="E1587" i="19"/>
  <c r="E1588" i="19"/>
  <c r="E1589" i="19"/>
  <c r="E1590" i="19"/>
  <c r="E1591" i="19"/>
  <c r="E1592" i="19"/>
  <c r="E1593" i="19"/>
  <c r="E1594" i="19"/>
  <c r="E1595" i="19"/>
  <c r="E1596" i="19"/>
  <c r="E1597" i="19"/>
  <c r="E1598" i="19"/>
  <c r="E1599" i="19"/>
  <c r="E1600" i="19"/>
  <c r="E1601" i="19"/>
  <c r="E1602" i="19"/>
  <c r="E1603" i="19"/>
  <c r="E1604" i="19"/>
  <c r="E1605" i="19"/>
  <c r="E1606" i="19"/>
  <c r="E1607" i="19"/>
  <c r="E1608" i="19"/>
  <c r="E1609" i="19"/>
  <c r="E1610" i="19"/>
  <c r="E1611" i="19"/>
  <c r="E1612" i="19"/>
  <c r="E1613" i="19"/>
  <c r="E1614" i="19"/>
  <c r="E1615" i="19"/>
  <c r="E1616" i="19"/>
  <c r="E1617" i="19"/>
  <c r="E1618" i="19"/>
  <c r="E1619" i="19"/>
  <c r="E1620" i="19"/>
  <c r="E1621" i="19"/>
  <c r="E1622" i="19"/>
  <c r="E1623" i="19"/>
  <c r="E1624" i="19"/>
  <c r="E1625" i="19"/>
  <c r="E1626" i="19"/>
  <c r="E1627" i="19"/>
  <c r="E1628" i="19"/>
  <c r="E1629" i="19"/>
  <c r="E1630" i="19"/>
  <c r="E1631" i="19"/>
  <c r="E1632" i="19"/>
  <c r="E1633" i="19"/>
  <c r="E1634" i="19"/>
  <c r="E1635" i="19"/>
  <c r="E1636" i="19"/>
  <c r="E1637" i="19"/>
  <c r="E1638" i="19"/>
  <c r="E1639" i="19"/>
  <c r="E1640" i="19"/>
  <c r="E1641" i="19"/>
  <c r="E1642" i="19"/>
  <c r="E1643" i="19"/>
  <c r="E1644" i="19"/>
  <c r="E1645" i="19"/>
  <c r="E1646" i="19"/>
  <c r="E1647" i="19"/>
  <c r="E1648" i="19"/>
  <c r="E1649" i="19"/>
  <c r="E1650" i="19"/>
  <c r="E1651" i="19"/>
  <c r="E1652" i="19"/>
  <c r="E1653" i="19"/>
  <c r="E1654" i="19"/>
  <c r="E1655" i="19"/>
  <c r="E1656" i="19"/>
  <c r="E1657" i="19"/>
  <c r="E1658" i="19"/>
  <c r="E1659" i="19"/>
  <c r="E1660" i="19"/>
  <c r="E1661" i="19"/>
  <c r="E1662" i="19"/>
  <c r="E1663" i="19"/>
  <c r="E1664" i="19"/>
  <c r="E1665" i="19"/>
  <c r="E1666" i="19"/>
  <c r="E1667" i="19"/>
  <c r="E1668" i="19"/>
  <c r="E1669" i="19"/>
  <c r="E1670" i="19"/>
  <c r="E1671" i="19"/>
  <c r="E1672" i="19"/>
  <c r="E1673" i="19"/>
  <c r="E1674" i="19"/>
  <c r="E1675" i="19"/>
  <c r="E1676" i="19"/>
  <c r="E1677" i="19"/>
  <c r="E1678" i="19"/>
  <c r="E1679" i="19"/>
  <c r="E1680" i="19"/>
  <c r="E1681" i="19"/>
  <c r="E1682" i="19"/>
  <c r="E1683" i="19"/>
  <c r="E1684" i="19"/>
  <c r="E1685" i="19"/>
  <c r="E1686" i="19"/>
  <c r="E1687" i="19"/>
  <c r="E1688" i="19"/>
  <c r="E1689" i="19"/>
  <c r="E1690" i="19"/>
  <c r="E1691" i="19"/>
  <c r="E1692" i="19"/>
  <c r="E1693" i="19"/>
  <c r="E1694" i="19"/>
  <c r="E1695" i="19"/>
  <c r="E1696" i="19"/>
  <c r="E1697" i="19"/>
  <c r="E1698" i="19"/>
  <c r="E1699" i="19"/>
  <c r="E1700" i="19"/>
  <c r="E1701" i="19"/>
  <c r="E1702" i="19"/>
  <c r="E1703" i="19"/>
  <c r="E1704" i="19"/>
  <c r="E1705" i="19"/>
  <c r="E1706" i="19"/>
  <c r="E1707" i="19"/>
  <c r="E1708" i="19"/>
  <c r="E1709" i="19"/>
  <c r="E1710" i="19"/>
  <c r="E1711" i="19"/>
  <c r="E1712" i="19"/>
  <c r="E1713" i="19"/>
  <c r="E1714" i="19"/>
  <c r="E1715" i="19"/>
  <c r="E1716" i="19"/>
  <c r="E1717" i="19"/>
  <c r="E1718" i="19"/>
  <c r="E1719" i="19"/>
  <c r="E1720" i="19"/>
  <c r="E1721" i="19"/>
  <c r="E1722" i="19"/>
  <c r="E1723" i="19"/>
  <c r="E1724" i="19"/>
  <c r="E1725" i="19"/>
  <c r="E1726" i="19"/>
  <c r="E1727" i="19"/>
  <c r="E1728" i="19"/>
  <c r="E1729" i="19"/>
  <c r="E1730" i="19"/>
  <c r="E1731" i="19"/>
  <c r="E1732" i="19"/>
  <c r="E1733" i="19"/>
  <c r="E1734" i="19"/>
  <c r="E1735" i="19"/>
  <c r="E1736" i="19"/>
  <c r="E1737" i="19"/>
  <c r="E1738" i="19"/>
  <c r="E1739" i="19"/>
  <c r="E1740" i="19"/>
  <c r="E1741" i="19"/>
  <c r="E1742" i="19"/>
  <c r="E1743" i="19"/>
  <c r="E1744" i="19"/>
  <c r="E1745" i="19"/>
  <c r="E1746" i="19"/>
  <c r="E1747" i="19"/>
  <c r="E1748" i="19"/>
  <c r="E1749" i="19"/>
  <c r="E1750" i="19"/>
  <c r="E1751" i="19"/>
  <c r="E1752" i="19"/>
  <c r="E1753" i="19"/>
  <c r="E1754" i="19"/>
  <c r="E1755" i="19"/>
  <c r="E1756" i="19"/>
  <c r="E1757" i="19"/>
  <c r="E1758" i="19"/>
  <c r="E1759" i="19"/>
  <c r="E1760" i="19"/>
  <c r="E1761" i="19"/>
  <c r="E1762" i="19"/>
  <c r="E1763" i="19"/>
  <c r="E1764" i="19"/>
  <c r="E1765" i="19"/>
  <c r="E1766" i="19"/>
  <c r="E1767" i="19"/>
  <c r="E1768" i="19"/>
  <c r="E1769" i="19"/>
  <c r="E1770" i="19"/>
  <c r="E1771" i="19"/>
  <c r="E1772" i="19"/>
  <c r="E1773" i="19"/>
  <c r="E1774" i="19"/>
  <c r="E1775" i="19"/>
  <c r="E1776" i="19"/>
  <c r="E1777" i="19"/>
  <c r="E1778" i="19"/>
  <c r="E1779" i="19"/>
  <c r="E1780" i="19"/>
  <c r="E1781" i="19"/>
  <c r="E1782" i="19"/>
  <c r="E1783" i="19"/>
  <c r="E1784" i="19"/>
  <c r="E1785" i="19"/>
  <c r="E1786" i="19"/>
  <c r="E1787" i="19"/>
  <c r="E1788" i="19"/>
  <c r="E1789" i="19"/>
  <c r="E1790" i="19"/>
  <c r="E1791" i="19"/>
  <c r="E1792" i="19"/>
  <c r="E1793" i="19"/>
  <c r="E1794" i="19"/>
  <c r="E1795" i="19"/>
  <c r="E1796" i="19"/>
  <c r="E1797" i="19"/>
  <c r="E1798" i="19"/>
  <c r="E1799" i="19"/>
  <c r="E1800" i="19"/>
  <c r="E1801" i="19"/>
  <c r="E1802" i="19"/>
  <c r="E1803" i="19"/>
  <c r="E1804" i="19"/>
  <c r="E1805" i="19"/>
  <c r="E1806" i="19"/>
  <c r="E1807" i="19"/>
  <c r="E1808" i="19"/>
  <c r="E1809" i="19"/>
  <c r="E1810" i="19"/>
  <c r="E1811" i="19"/>
  <c r="E1812" i="19"/>
  <c r="E1813" i="19"/>
  <c r="E1814" i="19"/>
  <c r="E1815" i="19"/>
  <c r="E1816" i="19"/>
  <c r="E1817" i="19"/>
  <c r="E1818" i="19"/>
  <c r="E1819" i="19"/>
  <c r="E1820" i="19"/>
  <c r="E1821" i="19"/>
  <c r="E1822" i="19"/>
  <c r="E1823" i="19"/>
  <c r="E1824" i="19"/>
  <c r="E1825" i="19"/>
  <c r="E1826" i="19"/>
  <c r="E1827" i="19"/>
  <c r="E1828" i="19"/>
  <c r="E1829" i="19"/>
  <c r="E1830" i="19"/>
  <c r="E1831" i="19"/>
  <c r="E1832" i="19"/>
  <c r="E1833" i="19"/>
  <c r="E1834" i="19"/>
  <c r="E1835" i="19"/>
  <c r="E1836" i="19"/>
  <c r="E1837" i="19"/>
  <c r="E1838" i="19"/>
  <c r="E1839" i="19"/>
  <c r="E1840" i="19"/>
  <c r="E1841" i="19"/>
  <c r="E1842" i="19"/>
  <c r="E1843" i="19"/>
  <c r="E1844" i="19"/>
  <c r="E1845" i="19"/>
  <c r="E1846" i="19"/>
  <c r="E1847" i="19"/>
  <c r="E1848" i="19"/>
  <c r="E1849" i="19"/>
  <c r="E1850" i="19"/>
  <c r="E1851" i="19"/>
  <c r="E1852" i="19"/>
  <c r="E1853" i="19"/>
  <c r="E1854" i="19"/>
  <c r="E1855" i="19"/>
  <c r="E1856" i="19"/>
  <c r="E1857" i="19"/>
  <c r="E1858" i="19"/>
  <c r="E1859" i="19"/>
  <c r="E1860" i="19"/>
  <c r="E1861" i="19"/>
  <c r="E1862" i="19"/>
  <c r="E1863" i="19"/>
  <c r="E1864" i="19"/>
  <c r="E1865" i="19"/>
  <c r="E1866" i="19"/>
  <c r="E1867" i="19"/>
  <c r="E1868" i="19"/>
  <c r="E1869" i="19"/>
  <c r="E1870" i="19"/>
  <c r="E1871" i="19"/>
  <c r="E1872" i="19"/>
  <c r="E1873" i="19"/>
  <c r="E1874" i="19"/>
  <c r="E1875" i="19"/>
  <c r="E1876" i="19"/>
  <c r="E1877" i="19"/>
  <c r="E1878" i="19"/>
  <c r="E1879" i="19"/>
  <c r="E1880" i="19"/>
  <c r="E1881" i="19"/>
  <c r="E1882" i="19"/>
  <c r="E1883" i="19"/>
  <c r="E1884" i="19"/>
  <c r="E1885" i="19"/>
  <c r="E1886" i="19"/>
  <c r="E1887" i="19"/>
  <c r="E1888" i="19"/>
  <c r="E1889" i="19"/>
  <c r="E1890" i="19"/>
  <c r="E1891" i="19"/>
  <c r="E1892" i="19"/>
  <c r="E1893" i="19"/>
  <c r="E1894" i="19"/>
  <c r="E1895" i="19"/>
  <c r="E1896" i="19"/>
  <c r="E1897" i="19"/>
  <c r="E1898" i="19"/>
  <c r="E1899" i="19"/>
  <c r="E1900" i="19"/>
  <c r="E1901" i="19"/>
  <c r="E1902" i="19"/>
  <c r="E1903" i="19"/>
  <c r="E1904" i="19"/>
  <c r="E1905" i="19"/>
  <c r="E1906" i="19"/>
  <c r="E1907" i="19"/>
  <c r="E1908" i="19"/>
  <c r="E1909" i="19"/>
  <c r="E1910" i="19"/>
  <c r="E1911" i="19"/>
  <c r="E1912" i="19"/>
  <c r="E1913" i="19"/>
  <c r="E1914" i="19"/>
  <c r="E1915" i="19"/>
  <c r="E1916" i="19"/>
  <c r="E1917" i="19"/>
  <c r="E1918" i="19"/>
  <c r="E1919" i="19"/>
  <c r="E1920" i="19"/>
  <c r="E1921" i="19"/>
  <c r="E1922" i="19"/>
  <c r="E1923" i="19"/>
  <c r="E1924" i="19"/>
  <c r="E1925" i="19"/>
  <c r="E1926" i="19"/>
  <c r="E1927" i="19"/>
  <c r="E1928" i="19"/>
  <c r="E1929" i="19"/>
  <c r="E1930" i="19"/>
  <c r="E1931" i="19"/>
  <c r="E1932" i="19"/>
  <c r="E1933" i="19"/>
  <c r="E1934" i="19"/>
  <c r="E1935" i="19"/>
  <c r="E1936" i="19"/>
  <c r="E1937" i="19"/>
  <c r="E1938" i="19"/>
  <c r="E1939" i="19"/>
  <c r="E1940" i="19"/>
  <c r="E1941" i="19"/>
  <c r="E1942" i="19"/>
  <c r="E1943" i="19"/>
  <c r="E1944" i="19"/>
  <c r="E1945" i="19"/>
  <c r="E1946" i="19"/>
  <c r="E1947" i="19"/>
  <c r="E1948" i="19"/>
  <c r="E1949" i="19"/>
  <c r="E1950" i="19"/>
  <c r="E1951" i="19"/>
  <c r="E1952" i="19"/>
  <c r="E1953" i="19"/>
  <c r="E1954" i="19"/>
  <c r="E1955" i="19"/>
  <c r="E1956" i="19"/>
  <c r="E1957" i="19"/>
  <c r="E1958" i="19"/>
  <c r="E1959" i="19"/>
  <c r="E1960" i="19"/>
  <c r="E1961" i="19"/>
  <c r="E1962" i="19"/>
  <c r="E1963" i="19"/>
  <c r="E1964" i="19"/>
  <c r="E1965" i="19"/>
  <c r="E1966" i="19"/>
  <c r="E1967" i="19"/>
  <c r="E1968" i="19"/>
  <c r="E1969" i="19"/>
  <c r="E1970" i="19"/>
  <c r="E1971" i="19"/>
  <c r="E1972" i="19"/>
  <c r="E1973" i="19"/>
  <c r="E1974" i="19"/>
  <c r="E1975" i="19"/>
  <c r="E1976" i="19"/>
  <c r="E1977" i="19"/>
  <c r="E1978" i="19"/>
  <c r="E1979" i="19"/>
  <c r="E1980" i="19"/>
  <c r="E1981" i="19"/>
  <c r="E1982" i="19"/>
  <c r="E1983" i="19"/>
  <c r="E1984" i="19"/>
  <c r="E1985" i="19"/>
  <c r="E1986" i="19"/>
  <c r="E1987" i="19"/>
  <c r="E1988" i="19"/>
  <c r="E1989" i="19"/>
  <c r="E1990" i="19"/>
  <c r="E1991" i="19"/>
  <c r="E1992" i="19"/>
  <c r="E1993" i="19"/>
  <c r="E1994" i="19"/>
  <c r="E1995" i="19"/>
  <c r="E1996" i="19"/>
  <c r="E1997" i="19"/>
  <c r="E1998" i="19"/>
  <c r="E1999" i="19"/>
  <c r="E2000" i="19"/>
  <c r="E2001" i="19"/>
  <c r="E2002" i="19"/>
  <c r="E2003" i="19"/>
  <c r="E2004" i="19"/>
  <c r="E2005" i="19"/>
  <c r="E2006" i="19"/>
  <c r="E2007" i="19"/>
  <c r="E2008" i="19"/>
  <c r="E2009" i="19"/>
  <c r="E2010" i="19"/>
  <c r="E2011" i="19"/>
  <c r="E2012" i="19"/>
  <c r="E2013" i="19"/>
  <c r="E2014" i="19"/>
  <c r="E2015" i="19"/>
  <c r="E2016" i="19"/>
  <c r="E2017" i="19"/>
  <c r="E2018" i="19"/>
  <c r="E2019" i="19"/>
  <c r="E2020" i="19"/>
  <c r="E2021" i="19"/>
  <c r="E2022" i="19"/>
  <c r="E2023" i="19"/>
  <c r="E2024" i="19"/>
  <c r="E2025" i="19"/>
  <c r="E2026" i="19"/>
  <c r="E2027" i="19"/>
  <c r="E2028" i="19"/>
  <c r="E2029" i="19"/>
  <c r="E2030" i="19"/>
  <c r="E2031" i="19"/>
  <c r="E2032" i="19"/>
  <c r="E2033" i="19"/>
  <c r="E2034" i="19"/>
  <c r="E2035" i="19"/>
  <c r="E2036" i="19"/>
  <c r="E2037" i="19"/>
  <c r="E2038" i="19"/>
  <c r="E2039" i="19"/>
  <c r="E2040" i="19"/>
  <c r="E2041" i="19"/>
  <c r="E2042" i="19"/>
  <c r="E2043" i="19"/>
  <c r="E2044" i="19"/>
  <c r="E2045" i="19"/>
  <c r="E2046" i="19"/>
  <c r="E2047" i="19"/>
  <c r="E2048" i="19"/>
  <c r="E2049" i="19"/>
  <c r="E2050" i="19"/>
  <c r="E2051" i="19"/>
  <c r="E2052" i="19"/>
  <c r="E2053" i="19"/>
  <c r="E2054" i="19"/>
  <c r="E2055" i="19"/>
  <c r="E2056" i="19"/>
  <c r="E2057" i="19"/>
  <c r="E2058" i="19"/>
  <c r="E2059" i="19"/>
  <c r="E2060" i="19"/>
  <c r="E2061" i="19"/>
  <c r="E2062" i="19"/>
  <c r="E2063" i="19"/>
  <c r="E2064" i="19"/>
  <c r="E2065" i="19"/>
  <c r="E2066" i="19"/>
  <c r="E2067" i="19"/>
  <c r="E2068" i="19"/>
  <c r="E2069" i="19"/>
  <c r="E2070" i="19"/>
  <c r="E2071" i="19"/>
  <c r="E2072" i="19"/>
  <c r="E2073" i="19"/>
  <c r="E2074" i="19"/>
  <c r="E2075" i="19"/>
  <c r="E2076" i="19"/>
  <c r="E2077" i="19"/>
  <c r="E2078" i="19"/>
  <c r="E2079" i="19"/>
  <c r="E2080" i="19"/>
  <c r="E2081" i="19"/>
  <c r="E2082" i="19"/>
  <c r="E2083" i="19"/>
  <c r="E2084" i="19"/>
  <c r="E2085" i="19"/>
  <c r="E2086" i="19"/>
  <c r="E2087" i="19"/>
  <c r="E2088" i="19"/>
  <c r="E2089" i="19"/>
  <c r="E2090" i="19"/>
  <c r="E2091" i="19"/>
  <c r="E2092" i="19"/>
  <c r="E2093" i="19"/>
  <c r="E2094" i="19"/>
  <c r="E2095" i="19"/>
  <c r="E2096" i="19"/>
  <c r="E2097" i="19"/>
  <c r="E2098" i="19"/>
  <c r="E2099" i="19"/>
  <c r="E2100" i="19"/>
  <c r="E2101" i="19"/>
  <c r="E2102" i="19"/>
  <c r="E2103" i="19"/>
  <c r="E2104" i="19"/>
  <c r="E2105" i="19"/>
  <c r="E2106" i="19"/>
  <c r="E2107" i="19"/>
  <c r="E2108" i="19"/>
  <c r="E2109" i="19"/>
  <c r="E2110" i="19"/>
  <c r="E2111" i="19"/>
  <c r="E2112" i="19"/>
  <c r="E2113" i="19"/>
  <c r="E2114" i="19"/>
  <c r="E2115" i="19"/>
  <c r="E2116" i="19"/>
  <c r="E2117" i="19"/>
  <c r="E2118" i="19"/>
  <c r="E2119" i="19"/>
  <c r="E2120" i="19"/>
  <c r="E2121" i="19"/>
  <c r="E2122" i="19"/>
  <c r="E2123" i="19"/>
  <c r="E2124" i="19"/>
  <c r="E2125" i="19"/>
  <c r="E2126" i="19"/>
  <c r="E2127" i="19"/>
  <c r="E2128" i="19"/>
  <c r="E2129" i="19"/>
  <c r="E2130" i="19"/>
  <c r="E2131" i="19"/>
  <c r="E2132" i="19"/>
  <c r="E2133" i="19"/>
  <c r="E2134" i="19"/>
  <c r="E2135" i="19"/>
  <c r="E2136" i="19"/>
  <c r="E2137" i="19"/>
  <c r="E2138" i="19"/>
  <c r="E2139" i="19"/>
  <c r="E2140" i="19"/>
  <c r="E2141" i="19"/>
  <c r="E2142" i="19"/>
  <c r="E2143" i="19"/>
  <c r="E2144" i="19"/>
  <c r="E2145" i="19"/>
  <c r="E2146" i="19"/>
  <c r="E2147" i="19"/>
  <c r="E2148" i="19"/>
  <c r="E2149" i="19"/>
  <c r="E2150" i="19"/>
  <c r="E2151" i="19"/>
  <c r="E2152" i="19"/>
  <c r="E2153" i="19"/>
  <c r="E2154" i="19"/>
  <c r="E2155" i="19"/>
  <c r="E2156" i="19"/>
  <c r="E2157" i="19"/>
  <c r="E2158" i="19"/>
  <c r="E2159" i="19"/>
  <c r="E2160" i="19"/>
  <c r="E2161" i="19"/>
  <c r="E2162" i="19"/>
  <c r="E2163" i="19"/>
  <c r="E2164" i="19"/>
  <c r="E2165" i="19"/>
  <c r="E2166" i="19"/>
  <c r="E2167" i="19"/>
  <c r="E2168" i="19"/>
  <c r="E2169" i="19"/>
  <c r="E2170" i="19"/>
  <c r="E2171" i="19"/>
  <c r="E2172" i="19"/>
  <c r="E2173" i="19"/>
  <c r="E2174" i="19"/>
  <c r="E2175" i="19"/>
  <c r="E2176" i="19"/>
  <c r="E2177" i="19"/>
  <c r="E2178" i="19"/>
  <c r="E2179" i="19"/>
  <c r="E2180" i="19"/>
  <c r="E2181" i="19"/>
  <c r="E2182" i="19"/>
  <c r="E2183" i="19"/>
  <c r="E2184" i="19"/>
  <c r="E2185" i="19"/>
  <c r="E2186" i="19"/>
  <c r="E2187" i="19"/>
  <c r="E2188" i="19"/>
  <c r="E2189" i="19"/>
  <c r="E2190" i="19"/>
  <c r="E2191" i="19"/>
  <c r="E2192" i="19"/>
  <c r="E2193" i="19"/>
  <c r="E2194" i="19"/>
  <c r="E2195" i="19"/>
  <c r="E2196" i="19"/>
  <c r="E2197" i="19"/>
  <c r="E2198" i="19"/>
  <c r="E2199" i="19"/>
  <c r="E2200" i="19"/>
  <c r="E2201" i="19"/>
  <c r="E2202" i="19"/>
  <c r="E2203" i="19"/>
  <c r="E2204" i="19"/>
  <c r="E2205" i="19"/>
  <c r="E2206" i="19"/>
  <c r="E2207" i="19"/>
  <c r="E2208" i="19"/>
  <c r="E2209" i="19"/>
  <c r="E2210" i="19"/>
  <c r="E2211" i="19"/>
  <c r="E2212" i="19"/>
  <c r="E2213" i="19"/>
  <c r="E2214" i="19"/>
  <c r="E2215" i="19"/>
  <c r="E2216" i="19"/>
  <c r="E2217" i="19"/>
  <c r="E2218" i="19"/>
  <c r="E2219" i="19"/>
  <c r="E2220" i="19"/>
  <c r="E2221" i="19"/>
  <c r="E2222" i="19"/>
  <c r="E2223" i="19"/>
  <c r="E2224" i="19"/>
  <c r="E2225" i="19"/>
  <c r="E2226" i="19"/>
  <c r="E2227" i="19"/>
  <c r="E2228" i="19"/>
  <c r="E2229" i="19"/>
  <c r="E2230" i="19"/>
  <c r="E2231" i="19"/>
  <c r="E2232" i="19"/>
  <c r="E2233" i="19"/>
  <c r="E2234" i="19"/>
  <c r="E2235" i="19"/>
  <c r="E2236" i="19"/>
  <c r="E2237" i="19"/>
  <c r="E2238" i="19"/>
  <c r="E2239" i="19"/>
  <c r="E2240" i="19"/>
  <c r="E2241" i="19"/>
  <c r="E2242" i="19"/>
  <c r="E2243" i="19"/>
  <c r="E2244" i="19"/>
  <c r="E2245" i="19"/>
  <c r="E2246" i="19"/>
  <c r="E2247" i="19"/>
  <c r="E2248" i="19"/>
  <c r="E2249" i="19"/>
  <c r="E2250" i="19"/>
  <c r="E2251" i="19"/>
  <c r="E2252" i="19"/>
  <c r="E2253" i="19"/>
  <c r="E2254" i="19"/>
  <c r="E2255" i="19"/>
  <c r="E2256" i="19"/>
  <c r="E2257" i="19"/>
  <c r="E2258" i="19"/>
  <c r="E2259" i="19"/>
  <c r="E2260" i="19"/>
  <c r="E2261" i="19"/>
  <c r="E2262" i="19"/>
  <c r="E2263" i="19"/>
  <c r="E2264" i="19"/>
  <c r="E2265" i="19"/>
  <c r="E2266" i="19"/>
  <c r="E2267" i="19"/>
  <c r="E2268" i="19"/>
  <c r="E2269" i="19"/>
  <c r="E2270" i="19"/>
  <c r="E2271" i="19"/>
  <c r="E2272" i="19"/>
  <c r="E2273" i="19"/>
  <c r="E2274" i="19"/>
  <c r="E2275" i="19"/>
  <c r="E2276" i="19"/>
  <c r="E2277" i="19"/>
  <c r="E2278" i="19"/>
  <c r="E2279" i="19"/>
  <c r="E2280" i="19"/>
  <c r="E2281" i="19"/>
  <c r="E2282" i="19"/>
  <c r="E2283" i="19"/>
  <c r="E2284" i="19"/>
  <c r="E2285" i="19"/>
  <c r="E2286" i="19"/>
  <c r="E2287" i="19"/>
  <c r="E2288" i="19"/>
  <c r="E2289" i="19"/>
  <c r="E2290" i="19"/>
  <c r="E2291" i="19"/>
  <c r="E2292" i="19"/>
  <c r="E2293" i="19"/>
  <c r="E2294" i="19"/>
  <c r="E2295" i="19"/>
  <c r="E2296" i="19"/>
  <c r="E2297" i="19"/>
  <c r="E2298" i="19"/>
  <c r="E2299" i="19"/>
  <c r="E2300" i="19"/>
  <c r="E2301" i="19"/>
  <c r="E2302" i="19"/>
  <c r="E2303" i="19"/>
  <c r="E2304" i="19"/>
  <c r="E2305" i="19"/>
  <c r="E2306" i="19"/>
  <c r="E2307" i="19"/>
  <c r="E2308" i="19"/>
  <c r="E2309" i="19"/>
  <c r="E2310" i="19"/>
  <c r="E2311" i="19"/>
  <c r="E2312" i="19"/>
  <c r="E2313" i="19"/>
  <c r="E2314" i="19"/>
  <c r="E2315" i="19"/>
  <c r="E2316" i="19"/>
  <c r="E2317" i="19"/>
  <c r="E2318" i="19"/>
  <c r="E2319" i="19"/>
  <c r="E2320" i="19"/>
  <c r="E2321" i="19"/>
  <c r="E2322" i="19"/>
  <c r="E2323" i="19"/>
  <c r="E2324" i="19"/>
  <c r="E2325" i="19"/>
  <c r="E2326" i="19"/>
  <c r="E2327" i="19"/>
  <c r="E2328" i="19"/>
  <c r="E2329" i="19"/>
  <c r="E2330" i="19"/>
  <c r="E2331" i="19"/>
  <c r="E2332" i="19"/>
  <c r="E2333" i="19"/>
  <c r="E2334" i="19"/>
  <c r="E2335" i="19"/>
  <c r="E2336" i="19"/>
  <c r="E2337" i="19"/>
  <c r="E2338" i="19"/>
  <c r="E2339" i="19"/>
  <c r="E2340" i="19"/>
  <c r="E2341" i="19"/>
  <c r="E2342" i="19"/>
  <c r="E2343" i="19"/>
  <c r="E2344" i="19"/>
  <c r="E2345" i="19"/>
  <c r="E2346" i="19"/>
  <c r="E2347" i="19"/>
  <c r="E2348" i="19"/>
  <c r="E2349" i="19"/>
  <c r="E2350" i="19"/>
  <c r="E2351" i="19"/>
  <c r="E2352" i="19"/>
  <c r="E2353" i="19"/>
  <c r="E2354" i="19"/>
  <c r="E2355" i="19"/>
  <c r="E2356" i="19"/>
  <c r="E2357" i="19"/>
  <c r="E2358" i="19"/>
  <c r="E2359" i="19"/>
  <c r="E2360" i="19"/>
  <c r="E2361" i="19"/>
  <c r="E2362" i="19"/>
  <c r="E2363" i="19"/>
  <c r="E2364" i="19"/>
  <c r="E2365" i="19"/>
  <c r="E2366" i="19"/>
  <c r="E2367" i="19"/>
  <c r="E2368" i="19"/>
  <c r="E2369" i="19"/>
  <c r="E2370" i="19"/>
  <c r="E2371" i="19"/>
  <c r="E2372" i="19"/>
  <c r="E2373" i="19"/>
  <c r="E2374" i="19"/>
  <c r="E2375" i="19"/>
  <c r="E2376" i="19"/>
  <c r="E2377" i="19"/>
  <c r="E2378" i="19"/>
  <c r="E2379" i="19"/>
  <c r="E2380" i="19"/>
  <c r="E2381" i="19"/>
  <c r="E2382" i="19"/>
  <c r="E2383" i="19"/>
  <c r="E2384" i="19"/>
  <c r="E2385" i="19"/>
  <c r="E2386" i="19"/>
  <c r="E2387" i="19"/>
  <c r="E2388" i="19"/>
  <c r="E2389" i="19"/>
  <c r="E2390" i="19"/>
  <c r="E2391" i="19"/>
  <c r="E2392" i="19"/>
  <c r="E2393" i="19"/>
  <c r="E2394" i="19"/>
  <c r="E2395" i="19"/>
  <c r="E2396" i="19"/>
  <c r="E2397" i="19"/>
  <c r="E2398" i="19"/>
  <c r="E2399" i="19"/>
  <c r="E2400" i="19"/>
  <c r="E2401" i="19"/>
  <c r="E2402" i="19"/>
  <c r="E2403" i="19"/>
  <c r="E2404" i="19"/>
  <c r="E2405" i="19"/>
  <c r="E2406" i="19"/>
  <c r="E2407" i="19"/>
  <c r="E2408" i="19"/>
  <c r="E2409" i="19"/>
  <c r="E2410" i="19"/>
  <c r="E2411" i="19"/>
  <c r="E2412" i="19"/>
  <c r="E2413" i="19"/>
  <c r="E2414" i="19"/>
  <c r="E2415" i="19"/>
  <c r="E2416" i="19"/>
  <c r="E2417" i="19"/>
  <c r="E2418" i="19"/>
  <c r="E2419" i="19"/>
  <c r="E2420" i="19"/>
  <c r="E2421" i="19"/>
  <c r="E2422" i="19"/>
  <c r="E2423" i="19"/>
  <c r="E2424" i="19"/>
  <c r="E2425" i="19"/>
  <c r="E2426" i="19"/>
  <c r="E2427" i="19"/>
  <c r="E2428" i="19"/>
  <c r="E2429" i="19"/>
  <c r="E2430" i="19"/>
  <c r="E2431" i="19"/>
  <c r="E2432" i="19"/>
  <c r="E2433" i="19"/>
  <c r="E2434" i="19"/>
  <c r="E2435" i="19"/>
  <c r="E2436" i="19"/>
  <c r="E2437" i="19"/>
  <c r="E2438" i="19"/>
  <c r="E2439" i="19"/>
  <c r="E2440" i="19"/>
  <c r="E2441" i="19"/>
  <c r="E2442" i="19"/>
  <c r="E2443" i="19"/>
  <c r="E2444" i="19"/>
  <c r="E2445" i="19"/>
  <c r="E2446" i="19"/>
  <c r="E2447" i="19"/>
  <c r="E2448" i="19"/>
  <c r="E2449" i="19"/>
  <c r="E2450" i="19"/>
  <c r="E2451" i="19"/>
  <c r="E2452" i="19"/>
  <c r="E2453" i="19"/>
  <c r="E2454" i="19"/>
  <c r="E2455" i="19"/>
  <c r="E2456" i="19"/>
  <c r="E2457" i="19"/>
  <c r="E2458" i="19"/>
  <c r="E2459" i="19"/>
  <c r="E2460" i="19"/>
  <c r="E2461" i="19"/>
  <c r="E2462" i="19"/>
  <c r="E2463" i="19"/>
  <c r="E2464" i="19"/>
  <c r="E2465" i="19"/>
  <c r="E2466" i="19"/>
  <c r="E2467" i="19"/>
  <c r="E2468" i="19"/>
  <c r="E2469" i="19"/>
  <c r="E2470" i="19"/>
  <c r="E2471" i="19"/>
  <c r="E2472" i="19"/>
  <c r="E2473" i="19"/>
  <c r="E2474" i="19"/>
  <c r="E2475" i="19"/>
  <c r="E2476" i="19"/>
  <c r="E2477" i="19"/>
  <c r="E2478" i="19"/>
  <c r="E2479" i="19"/>
  <c r="E2480" i="19"/>
  <c r="E2481" i="19"/>
  <c r="E2482" i="19"/>
  <c r="E2483" i="19"/>
  <c r="E2484" i="19"/>
  <c r="E2485" i="19"/>
  <c r="E2486" i="19"/>
  <c r="E2487" i="19"/>
  <c r="E2488" i="19"/>
  <c r="E2489" i="19"/>
  <c r="E2490" i="19"/>
  <c r="E2491" i="19"/>
  <c r="E2492" i="19"/>
  <c r="E2493" i="19"/>
  <c r="E2494" i="19"/>
  <c r="E2495" i="19"/>
  <c r="E2496" i="19"/>
  <c r="E2497" i="19"/>
  <c r="E2498" i="19"/>
  <c r="E2499" i="19"/>
  <c r="E2500" i="19"/>
  <c r="E2501" i="19"/>
  <c r="E2502" i="19"/>
  <c r="E2503" i="19"/>
  <c r="E2504" i="19"/>
  <c r="E2505" i="19"/>
  <c r="E2506" i="19"/>
  <c r="E2507" i="19"/>
  <c r="E2508" i="19"/>
  <c r="E2509" i="19"/>
  <c r="E2510" i="19"/>
  <c r="E2511" i="19"/>
  <c r="E2512" i="19"/>
  <c r="E2513" i="19"/>
  <c r="E2514" i="19"/>
  <c r="E2515" i="19"/>
  <c r="E2516" i="19"/>
  <c r="E2517" i="19"/>
  <c r="E2518" i="19"/>
  <c r="E2519" i="19"/>
  <c r="E2520" i="19"/>
  <c r="E2521" i="19"/>
  <c r="E2522" i="19"/>
  <c r="E2523" i="19"/>
  <c r="E2524" i="19"/>
  <c r="E2525" i="19"/>
  <c r="E2526" i="19"/>
  <c r="E2527" i="19"/>
  <c r="E2528" i="19"/>
  <c r="E2529" i="19"/>
  <c r="E2530" i="19"/>
  <c r="E2531" i="19"/>
  <c r="E2532" i="19"/>
  <c r="E2533" i="19"/>
  <c r="E2534" i="19"/>
  <c r="E2535" i="19"/>
  <c r="E2536" i="19"/>
  <c r="E2537" i="19"/>
  <c r="E2538" i="19"/>
  <c r="E2539" i="19"/>
  <c r="E2540" i="19"/>
  <c r="E2541" i="19"/>
  <c r="E2542" i="19"/>
  <c r="E2543" i="19"/>
  <c r="E2544" i="19"/>
  <c r="E2545" i="19"/>
  <c r="E2546" i="19"/>
  <c r="E2547" i="19"/>
  <c r="E2548" i="19"/>
  <c r="E2549" i="19"/>
  <c r="E2550" i="19"/>
  <c r="E2551" i="19"/>
  <c r="E2552" i="19"/>
  <c r="E2553" i="19"/>
  <c r="E2554" i="19"/>
  <c r="E2555" i="19"/>
  <c r="E2556" i="19"/>
  <c r="E2557" i="19"/>
  <c r="E2558" i="19"/>
  <c r="E2559" i="19"/>
  <c r="E2560" i="19"/>
  <c r="E2561" i="19"/>
  <c r="E2562" i="19"/>
  <c r="E2563" i="19"/>
  <c r="E2564" i="19"/>
  <c r="E2565" i="19"/>
  <c r="E2566" i="19"/>
  <c r="E2567" i="19"/>
  <c r="E2568" i="19"/>
  <c r="E2569" i="19"/>
  <c r="E2570" i="19"/>
  <c r="E2571" i="19"/>
  <c r="E2572" i="19"/>
  <c r="E2573" i="19"/>
  <c r="E2574" i="19"/>
  <c r="E2575" i="19"/>
  <c r="E2576" i="19"/>
  <c r="E2577" i="19"/>
  <c r="E2578" i="19"/>
  <c r="E2579" i="19"/>
  <c r="E2580" i="19"/>
  <c r="E2581" i="19"/>
  <c r="E2582" i="19"/>
  <c r="E2583" i="19"/>
  <c r="E2584" i="19"/>
  <c r="E2585" i="19"/>
  <c r="E2586" i="19"/>
  <c r="E2587" i="19"/>
  <c r="E2588" i="19"/>
  <c r="E2589" i="19"/>
  <c r="E2590" i="19"/>
  <c r="E2591" i="19"/>
  <c r="E2592" i="19"/>
  <c r="E2593" i="19"/>
  <c r="E2594" i="19"/>
  <c r="E2595" i="19"/>
  <c r="E2596" i="19"/>
  <c r="E2597" i="19"/>
  <c r="E2598" i="19"/>
  <c r="E2599" i="19"/>
  <c r="E2600" i="19"/>
  <c r="E2601" i="19"/>
  <c r="E2602" i="19"/>
  <c r="E2603" i="19"/>
  <c r="E2604" i="19"/>
  <c r="E2605" i="19"/>
  <c r="E2606" i="19"/>
  <c r="E2607" i="19"/>
  <c r="E2608" i="19"/>
  <c r="E2609" i="19"/>
  <c r="E2610" i="19"/>
  <c r="E2611" i="19"/>
  <c r="E2612" i="19"/>
  <c r="E2613" i="19"/>
  <c r="E2614" i="19"/>
  <c r="E2615" i="19"/>
  <c r="E2616" i="19"/>
  <c r="E2617" i="19"/>
  <c r="E2618" i="19"/>
  <c r="E2619" i="19"/>
  <c r="E2620" i="19"/>
  <c r="E2621" i="19"/>
  <c r="E2622" i="19"/>
  <c r="E2623" i="19"/>
  <c r="E2624" i="19"/>
  <c r="E2625" i="19"/>
  <c r="E2626" i="19"/>
  <c r="E2627" i="19"/>
  <c r="E2628" i="19"/>
  <c r="E2629" i="19"/>
  <c r="E2630" i="19"/>
  <c r="E2631" i="19"/>
  <c r="E2632" i="19"/>
  <c r="E2633" i="19"/>
  <c r="E2634" i="19"/>
  <c r="E2635" i="19"/>
  <c r="E2636" i="19"/>
  <c r="E2637" i="19"/>
  <c r="E2638" i="19"/>
  <c r="E2639" i="19"/>
  <c r="E2640" i="19"/>
  <c r="E2641" i="19"/>
  <c r="E2642" i="19"/>
  <c r="E2643" i="19"/>
  <c r="E2644" i="19"/>
  <c r="E2645" i="19"/>
  <c r="E2646" i="19"/>
  <c r="E2647" i="19"/>
  <c r="E2648" i="19"/>
  <c r="E2649" i="19"/>
  <c r="E2650" i="19"/>
  <c r="E2651" i="19"/>
  <c r="E2652" i="19"/>
  <c r="E2653" i="19"/>
  <c r="E2654" i="19"/>
  <c r="E2655" i="19"/>
  <c r="E2656" i="19"/>
  <c r="E2657" i="19"/>
  <c r="E2658" i="19"/>
  <c r="E2659" i="19"/>
  <c r="E2660" i="19"/>
  <c r="E2661" i="19"/>
  <c r="E2662" i="19"/>
  <c r="E2663" i="19"/>
  <c r="E2664" i="19"/>
  <c r="E2665" i="19"/>
  <c r="E2666" i="19"/>
  <c r="E2667" i="19"/>
  <c r="E2668" i="19"/>
  <c r="E2669" i="19"/>
  <c r="E2670" i="19"/>
  <c r="E2671" i="19"/>
  <c r="E2672" i="19"/>
  <c r="E2673" i="19"/>
  <c r="E2674" i="19"/>
  <c r="E2675" i="19"/>
  <c r="E2676" i="19"/>
  <c r="E2677" i="19"/>
  <c r="E2678" i="19"/>
  <c r="E2679" i="19"/>
  <c r="E2680" i="19"/>
  <c r="E2681" i="19"/>
  <c r="E2682" i="19"/>
  <c r="E2683" i="19"/>
  <c r="E2684" i="19"/>
  <c r="E2685" i="19"/>
  <c r="E2686" i="19"/>
  <c r="E2687" i="19"/>
  <c r="E2688" i="19"/>
  <c r="E2689" i="19"/>
  <c r="E2690" i="19"/>
  <c r="E2691" i="19"/>
  <c r="E2692" i="19"/>
  <c r="E2693" i="19"/>
  <c r="E2694" i="19"/>
  <c r="E2695" i="19"/>
  <c r="E2696" i="19"/>
  <c r="E2697" i="19"/>
  <c r="E2698" i="19"/>
  <c r="E2699" i="19"/>
  <c r="E2700" i="19"/>
  <c r="E2701" i="19"/>
  <c r="E2702" i="19"/>
  <c r="E2703" i="19"/>
  <c r="E2704" i="19"/>
  <c r="E2705" i="19"/>
  <c r="E2706" i="19"/>
  <c r="E2707" i="19"/>
  <c r="E2708" i="19"/>
  <c r="E2709" i="19"/>
  <c r="E2710" i="19"/>
  <c r="E2711" i="19"/>
  <c r="E2712" i="19"/>
  <c r="E2713" i="19"/>
  <c r="E2714" i="19"/>
  <c r="E2715" i="19"/>
  <c r="E2716" i="19"/>
  <c r="E2717" i="19"/>
  <c r="E2718" i="19"/>
  <c r="E2719" i="19"/>
  <c r="E2720" i="19"/>
  <c r="E2721" i="19"/>
  <c r="E2722" i="19"/>
  <c r="E2723" i="19"/>
  <c r="E2724" i="19"/>
  <c r="E2725" i="19"/>
  <c r="E2726" i="19"/>
  <c r="E2727" i="19"/>
  <c r="E2728" i="19"/>
  <c r="E2729" i="19"/>
  <c r="E2730" i="19"/>
  <c r="E2731" i="19"/>
  <c r="E2732" i="19"/>
  <c r="E2733" i="19"/>
  <c r="E2734" i="19"/>
  <c r="E2735" i="19"/>
  <c r="E2736" i="19"/>
  <c r="E2737" i="19"/>
  <c r="E2738" i="19"/>
  <c r="E2739" i="19"/>
  <c r="E2740" i="19"/>
  <c r="E2741" i="19"/>
  <c r="E2742" i="19"/>
  <c r="E2743" i="19"/>
  <c r="E2744" i="19"/>
  <c r="E2745" i="19"/>
  <c r="E2746" i="19"/>
  <c r="E2747" i="19"/>
  <c r="E2748" i="19"/>
  <c r="E2749" i="19"/>
  <c r="E2750" i="19"/>
  <c r="E2751" i="19"/>
  <c r="E2752" i="19"/>
  <c r="E2753" i="19"/>
  <c r="E2754" i="19"/>
  <c r="E2755" i="19"/>
  <c r="E2756" i="19"/>
  <c r="E2757" i="19"/>
  <c r="E2758" i="19"/>
  <c r="E2759" i="19"/>
  <c r="E2760" i="19"/>
  <c r="E2761" i="19"/>
  <c r="E2762" i="19"/>
  <c r="E2763" i="19"/>
  <c r="E2764" i="19"/>
  <c r="E2765" i="19"/>
  <c r="E2766" i="19"/>
  <c r="E2767" i="19"/>
  <c r="E2768" i="19"/>
  <c r="E2769" i="19"/>
  <c r="E2770" i="19"/>
  <c r="E2771" i="19"/>
  <c r="E2772" i="19"/>
  <c r="E2773" i="19"/>
  <c r="E2774" i="19"/>
  <c r="E2775" i="19"/>
  <c r="E2776" i="19"/>
  <c r="E2777" i="19"/>
  <c r="E2778" i="19"/>
  <c r="E2779" i="19"/>
  <c r="E2780" i="19"/>
  <c r="E2781" i="19"/>
  <c r="E2782" i="19"/>
  <c r="E2783" i="19"/>
  <c r="E2784" i="19"/>
  <c r="E2785" i="19"/>
  <c r="E2786" i="19"/>
  <c r="E2787" i="19"/>
  <c r="E2788" i="19"/>
  <c r="E2789" i="19"/>
  <c r="E2790" i="19"/>
  <c r="E2791" i="19"/>
  <c r="E2792" i="19"/>
  <c r="E2793" i="19"/>
  <c r="E2794" i="19"/>
  <c r="E2795" i="19"/>
  <c r="E2796" i="19"/>
  <c r="E2797" i="19"/>
  <c r="E2798" i="19"/>
  <c r="E2799" i="19"/>
  <c r="E2800" i="19"/>
  <c r="E2801" i="19"/>
  <c r="E2802" i="19"/>
  <c r="E2803" i="19"/>
  <c r="E2804" i="19"/>
  <c r="E2805" i="19"/>
  <c r="E2806" i="19"/>
  <c r="E2807" i="19"/>
  <c r="E2808" i="19"/>
  <c r="E2809" i="19"/>
  <c r="E2810" i="19"/>
  <c r="E2811" i="19"/>
  <c r="E2812" i="19"/>
  <c r="E2813" i="19"/>
  <c r="E2814" i="19"/>
  <c r="E2815" i="19"/>
  <c r="E2816" i="19"/>
  <c r="E2817" i="19"/>
  <c r="E2818" i="19"/>
  <c r="E2819" i="19"/>
  <c r="E2820" i="19"/>
  <c r="E2821" i="19"/>
  <c r="E2822" i="19"/>
  <c r="E2823" i="19"/>
  <c r="E2824" i="19"/>
  <c r="E2825" i="19"/>
  <c r="E2826" i="19"/>
  <c r="E2827" i="19"/>
  <c r="E2828" i="19"/>
  <c r="E2829" i="19"/>
  <c r="E2830" i="19"/>
  <c r="E2831" i="19"/>
  <c r="E2832" i="19"/>
  <c r="E2833" i="19"/>
  <c r="E2834" i="19"/>
  <c r="E2835" i="19"/>
  <c r="E2836" i="19"/>
  <c r="E2837" i="19"/>
  <c r="E2838" i="19"/>
  <c r="E2839" i="19"/>
  <c r="E2840" i="19"/>
  <c r="E2841" i="19"/>
  <c r="E2842" i="19"/>
  <c r="E2843" i="19"/>
  <c r="E2844" i="19"/>
  <c r="E2845" i="19"/>
  <c r="E2846" i="19"/>
  <c r="E2847" i="19"/>
  <c r="E2848" i="19"/>
  <c r="E2849" i="19"/>
  <c r="E2850" i="19"/>
  <c r="E2851" i="19"/>
  <c r="E2852" i="19"/>
  <c r="E2853" i="19"/>
  <c r="E2854" i="19"/>
  <c r="E2855" i="19"/>
  <c r="E2856" i="19"/>
  <c r="E2857" i="19"/>
  <c r="E2858" i="19"/>
  <c r="E2859" i="19"/>
  <c r="E2860" i="19"/>
  <c r="E2861" i="19"/>
  <c r="E2862" i="19"/>
  <c r="E2863" i="19"/>
  <c r="E2864" i="19"/>
  <c r="E2865" i="19"/>
  <c r="E2866" i="19"/>
  <c r="E2867" i="19"/>
  <c r="E2868" i="19"/>
  <c r="E2869" i="19"/>
  <c r="E2870" i="19"/>
  <c r="E2871" i="19"/>
  <c r="E2872" i="19"/>
  <c r="E2873" i="19"/>
  <c r="E2874" i="19"/>
  <c r="E2875" i="19"/>
  <c r="E2876" i="19"/>
  <c r="E2877" i="19"/>
  <c r="E2878" i="19"/>
  <c r="E2879" i="19"/>
  <c r="E2880" i="19"/>
  <c r="E2881" i="19"/>
  <c r="E2882" i="19"/>
  <c r="E2883" i="19"/>
  <c r="E2884" i="19"/>
  <c r="E2885" i="19"/>
  <c r="E2886" i="19"/>
  <c r="E2887" i="19"/>
  <c r="E2888" i="19"/>
  <c r="E2889" i="19"/>
  <c r="E2890" i="19"/>
  <c r="E2891" i="19"/>
  <c r="E2892" i="19"/>
  <c r="E2893" i="19"/>
  <c r="E2894" i="19"/>
  <c r="E2895" i="19"/>
  <c r="E2896" i="19"/>
  <c r="E2897" i="19"/>
  <c r="E2898" i="19"/>
  <c r="E2899" i="19"/>
  <c r="E2900" i="19"/>
  <c r="E2901" i="19"/>
  <c r="E2902" i="19"/>
  <c r="E2903" i="19"/>
  <c r="E2904" i="19"/>
  <c r="E2905" i="19"/>
  <c r="E2906" i="19"/>
  <c r="E2907" i="19"/>
  <c r="E2908" i="19"/>
  <c r="E2909" i="19"/>
  <c r="E2910" i="19"/>
  <c r="E2911" i="19"/>
  <c r="E2912" i="19"/>
  <c r="E2913" i="19"/>
  <c r="E2914" i="19"/>
  <c r="E2915" i="19"/>
  <c r="E2916" i="19"/>
  <c r="E2917" i="19"/>
  <c r="E2918" i="19"/>
  <c r="E2919" i="19"/>
  <c r="E2920" i="19"/>
  <c r="E2921" i="19"/>
  <c r="E2922" i="19"/>
  <c r="E2923" i="19"/>
  <c r="E2924" i="19"/>
  <c r="E2925" i="19"/>
  <c r="E2926" i="19"/>
  <c r="E2927" i="19"/>
  <c r="E2928" i="19"/>
  <c r="E2929" i="19"/>
  <c r="E2930" i="19"/>
  <c r="E2931" i="19"/>
  <c r="E2932" i="19"/>
  <c r="E2933" i="19"/>
  <c r="E2934" i="19"/>
  <c r="E2935" i="19"/>
  <c r="E2936" i="19"/>
  <c r="E2937" i="19"/>
  <c r="E2938" i="19"/>
  <c r="E2939" i="19"/>
  <c r="E2940" i="19"/>
  <c r="E2941" i="19"/>
  <c r="E2942" i="19"/>
  <c r="E2943" i="19"/>
  <c r="E2944" i="19"/>
  <c r="E2945" i="19"/>
  <c r="E2946" i="19"/>
  <c r="E2947" i="19"/>
  <c r="E2948" i="19"/>
  <c r="E2949" i="19"/>
  <c r="E2950" i="19"/>
  <c r="E2951" i="19"/>
  <c r="E2952" i="19"/>
  <c r="E2953" i="19"/>
  <c r="E2954" i="19"/>
  <c r="E2955" i="19"/>
  <c r="E2956" i="19"/>
  <c r="E2957" i="19"/>
  <c r="E2958" i="19"/>
  <c r="E2959" i="19"/>
  <c r="E2960" i="19"/>
  <c r="E2961" i="19"/>
  <c r="E2962" i="19"/>
  <c r="E2963" i="19"/>
  <c r="E2964" i="19"/>
  <c r="E2965" i="19"/>
  <c r="E2966" i="19"/>
  <c r="E2967" i="19"/>
  <c r="E2968" i="19"/>
  <c r="E2969" i="19"/>
  <c r="E2970" i="19"/>
  <c r="E2971" i="19"/>
  <c r="E2972" i="19"/>
  <c r="E2973" i="19"/>
  <c r="E2974" i="19"/>
  <c r="E2975" i="19"/>
  <c r="E2976" i="19"/>
  <c r="E2977" i="19"/>
  <c r="E2978" i="19"/>
  <c r="E2979" i="19"/>
  <c r="E2980" i="19"/>
  <c r="E2981" i="19"/>
  <c r="E2982" i="19"/>
  <c r="E2983" i="19"/>
  <c r="E2984" i="19"/>
  <c r="E2985" i="19"/>
  <c r="E2986" i="19"/>
  <c r="E2987" i="19"/>
  <c r="E2988" i="19"/>
  <c r="E2989" i="19"/>
  <c r="E2990" i="19"/>
  <c r="E2991" i="19"/>
  <c r="E2992" i="19"/>
  <c r="E2993" i="19"/>
  <c r="E2994" i="19"/>
  <c r="E2995" i="19"/>
  <c r="E2996" i="19"/>
  <c r="E2997" i="19"/>
  <c r="E2998" i="19"/>
  <c r="E2999" i="19"/>
  <c r="E3000" i="19"/>
  <c r="E3001" i="19"/>
  <c r="E3002" i="19"/>
  <c r="E3003" i="19"/>
  <c r="E3004" i="19"/>
  <c r="E3005" i="19"/>
  <c r="E3006" i="19"/>
  <c r="E3007" i="19"/>
  <c r="E3008" i="19"/>
  <c r="E3009" i="19"/>
  <c r="E3010" i="19"/>
  <c r="E3011" i="19"/>
  <c r="E3012" i="19"/>
  <c r="E3013" i="19"/>
  <c r="E3014" i="19"/>
  <c r="E3015" i="19"/>
  <c r="E3016" i="19"/>
  <c r="E3017" i="19"/>
  <c r="E3018" i="19"/>
  <c r="E3019" i="19"/>
  <c r="E3020" i="19"/>
  <c r="E3021" i="19"/>
  <c r="E3022" i="19"/>
  <c r="E3023" i="19"/>
  <c r="E3024" i="19"/>
  <c r="E3025" i="19"/>
  <c r="E3026" i="19"/>
  <c r="E3027" i="19"/>
  <c r="E3028" i="19"/>
  <c r="E3029" i="19"/>
  <c r="E3030" i="19"/>
  <c r="E3031" i="19"/>
  <c r="E3032" i="19"/>
  <c r="E3033" i="19"/>
  <c r="E3034" i="19"/>
  <c r="E3035" i="19"/>
  <c r="E3036" i="19"/>
  <c r="E3037" i="19"/>
  <c r="E3038" i="19"/>
  <c r="E3039" i="19"/>
  <c r="E3040" i="19"/>
  <c r="E3041" i="19"/>
  <c r="E3042" i="19"/>
  <c r="E3043" i="19"/>
  <c r="E3044" i="19"/>
  <c r="E3045" i="19"/>
  <c r="E3046" i="19"/>
  <c r="E3047" i="19"/>
  <c r="E3048" i="19"/>
  <c r="E3049" i="19"/>
  <c r="E3050" i="19"/>
  <c r="E3051" i="19"/>
  <c r="E3052" i="19"/>
  <c r="E3053" i="19"/>
  <c r="E3054" i="19"/>
  <c r="E3055" i="19"/>
  <c r="E3056" i="19"/>
  <c r="E3057" i="19"/>
  <c r="E3058" i="19"/>
  <c r="E3059" i="19"/>
  <c r="E3060" i="19"/>
  <c r="E3061" i="19"/>
  <c r="E3062" i="19"/>
  <c r="E3063" i="19"/>
  <c r="E3064" i="19"/>
  <c r="E3065" i="19"/>
  <c r="E3066" i="19"/>
  <c r="E3067" i="19"/>
  <c r="E3068" i="19"/>
  <c r="E3069" i="19"/>
  <c r="E3070" i="19"/>
  <c r="E3071" i="19"/>
  <c r="E3072" i="19"/>
  <c r="E3073" i="19"/>
  <c r="E3074" i="19"/>
  <c r="E3075" i="19"/>
  <c r="E3076" i="19"/>
  <c r="E3077" i="19"/>
  <c r="E3078" i="19"/>
  <c r="E3079" i="19"/>
  <c r="E3080" i="19"/>
  <c r="E3081" i="19"/>
  <c r="E3082" i="19"/>
  <c r="E3083" i="19"/>
  <c r="E3084" i="19"/>
  <c r="E3085" i="19"/>
  <c r="E3086" i="19"/>
  <c r="E3087" i="19"/>
  <c r="E3088" i="19"/>
  <c r="E3089" i="19"/>
  <c r="E3090" i="19"/>
  <c r="E3091" i="19"/>
  <c r="E3092" i="19"/>
  <c r="E3093" i="19"/>
  <c r="E3094" i="19"/>
  <c r="E3095" i="19"/>
  <c r="E3096" i="19"/>
  <c r="E3097" i="19"/>
  <c r="E3098" i="19"/>
  <c r="E3099" i="19"/>
  <c r="E3100" i="19"/>
  <c r="E3101" i="19"/>
  <c r="E3102" i="19"/>
  <c r="E3103" i="19"/>
  <c r="E3104" i="19"/>
  <c r="E3105" i="19"/>
  <c r="E3106" i="19"/>
  <c r="E3107" i="19"/>
  <c r="E3108" i="19"/>
  <c r="E3109" i="19"/>
  <c r="E3110" i="19"/>
  <c r="E3111" i="19"/>
  <c r="E3112" i="19"/>
  <c r="E3113" i="19"/>
  <c r="E3114" i="19"/>
  <c r="E3115" i="19"/>
  <c r="E3116" i="19"/>
  <c r="E3117" i="19"/>
  <c r="E3118" i="19"/>
  <c r="E3119" i="19"/>
  <c r="E3120" i="19"/>
  <c r="E3121" i="19"/>
  <c r="E3122" i="19"/>
  <c r="E3123" i="19"/>
  <c r="E3124" i="19"/>
  <c r="E3125" i="19"/>
  <c r="E3126" i="19"/>
  <c r="E3127" i="19"/>
  <c r="E3128" i="19"/>
  <c r="E3129" i="19"/>
  <c r="E3130" i="19"/>
  <c r="E3131" i="19"/>
  <c r="E3132" i="19"/>
  <c r="E3133" i="19"/>
  <c r="E3134" i="19"/>
  <c r="E3135" i="19"/>
  <c r="E3136" i="19"/>
  <c r="E3137" i="19"/>
  <c r="E3138" i="19"/>
  <c r="E3139" i="19"/>
  <c r="E3140" i="19"/>
  <c r="E3141" i="19"/>
  <c r="E3142" i="19"/>
  <c r="E3143" i="19"/>
  <c r="E3144" i="19"/>
  <c r="E3145" i="19"/>
  <c r="E3146" i="19"/>
  <c r="E3147" i="19"/>
  <c r="E3148" i="19"/>
  <c r="E3149" i="19"/>
  <c r="E3150" i="19"/>
  <c r="E3151" i="19"/>
  <c r="E3152" i="19"/>
  <c r="E3153" i="19"/>
  <c r="E3154" i="19"/>
  <c r="E3155" i="19"/>
  <c r="E3156" i="19"/>
  <c r="E3157" i="19"/>
  <c r="E3158" i="19"/>
  <c r="E3159" i="19"/>
  <c r="E3160" i="19"/>
  <c r="E3161" i="19"/>
  <c r="E3162" i="19"/>
  <c r="E3163" i="19"/>
  <c r="E3164" i="19"/>
  <c r="E3165" i="19"/>
  <c r="E3166" i="19"/>
  <c r="E3167" i="19"/>
  <c r="E3168" i="19"/>
  <c r="E3169" i="19"/>
  <c r="E3170" i="19"/>
  <c r="E3171" i="19"/>
  <c r="E3172" i="19"/>
  <c r="E3173" i="19"/>
  <c r="E3174" i="19"/>
  <c r="E3175" i="19"/>
  <c r="E3176" i="19"/>
  <c r="E3177" i="19"/>
  <c r="E3178" i="19"/>
  <c r="E3179" i="19"/>
  <c r="E3180" i="19"/>
  <c r="E3181" i="19"/>
  <c r="E3182" i="19"/>
  <c r="E3183" i="19"/>
  <c r="E3184" i="19"/>
  <c r="E3185" i="19"/>
  <c r="E3186" i="19"/>
  <c r="E3187" i="19"/>
  <c r="E3188" i="19"/>
  <c r="E3189" i="19"/>
  <c r="E3190" i="19"/>
  <c r="E3191" i="19"/>
  <c r="E3192" i="19"/>
  <c r="E3193" i="19"/>
  <c r="E3194" i="19"/>
  <c r="E3195" i="19"/>
  <c r="E3196" i="19"/>
  <c r="E3197" i="19"/>
  <c r="E3198" i="19"/>
  <c r="E3199" i="19"/>
  <c r="E3200" i="19"/>
  <c r="E3201" i="19"/>
  <c r="E3202" i="19"/>
  <c r="E3203" i="19"/>
  <c r="E3204" i="19"/>
  <c r="E3205" i="19"/>
  <c r="E3206" i="19"/>
  <c r="E3207" i="19"/>
  <c r="E3208" i="19"/>
  <c r="E3209" i="19"/>
  <c r="E3210" i="19"/>
  <c r="E3211" i="19"/>
  <c r="E3212" i="19"/>
  <c r="E3213" i="19"/>
  <c r="E3214" i="19"/>
  <c r="E3215" i="19"/>
  <c r="E3216" i="19"/>
  <c r="E3217" i="19"/>
  <c r="E3218" i="19"/>
  <c r="E3219" i="19"/>
  <c r="E3220" i="19"/>
  <c r="E3221" i="19"/>
  <c r="E3222" i="19"/>
  <c r="E3223" i="19"/>
  <c r="E3224" i="19"/>
  <c r="E3225" i="19"/>
  <c r="E3226" i="19"/>
  <c r="E3227" i="19"/>
  <c r="E3228" i="19"/>
  <c r="E3229" i="19"/>
  <c r="E3230" i="19"/>
  <c r="E3231" i="19"/>
  <c r="E3232" i="19"/>
  <c r="E3233" i="19"/>
  <c r="E3234" i="19"/>
  <c r="E3235" i="19"/>
  <c r="E3236" i="19"/>
  <c r="E3237" i="19"/>
  <c r="E3238" i="19"/>
  <c r="E3239" i="19"/>
  <c r="E3240" i="19"/>
  <c r="E3241" i="19"/>
  <c r="E3242" i="19"/>
  <c r="E3243" i="19"/>
  <c r="E3244" i="19"/>
  <c r="E3245" i="19"/>
  <c r="E3246" i="19"/>
  <c r="E3247" i="19"/>
  <c r="E3248" i="19"/>
  <c r="E3249" i="19"/>
  <c r="E3250" i="19"/>
  <c r="E3251" i="19"/>
  <c r="E3252" i="19"/>
  <c r="E3253" i="19"/>
  <c r="E3254" i="19"/>
  <c r="E3255" i="19"/>
  <c r="E3256" i="19"/>
  <c r="E3257" i="19"/>
  <c r="E3258" i="19"/>
  <c r="E3259" i="19"/>
  <c r="E3260" i="19"/>
  <c r="E3261" i="19"/>
  <c r="E3262" i="19"/>
  <c r="E3263" i="19"/>
  <c r="E3264" i="19"/>
  <c r="E3265" i="19"/>
  <c r="E3266" i="19"/>
  <c r="E3267" i="19"/>
  <c r="E3268" i="19"/>
  <c r="E3269" i="19"/>
  <c r="E3270" i="19"/>
  <c r="E3271" i="19"/>
  <c r="E3272" i="19"/>
  <c r="E3273" i="19"/>
  <c r="E3274" i="19"/>
  <c r="E3275" i="19"/>
  <c r="E3276" i="19"/>
  <c r="E3277" i="19"/>
  <c r="E3278" i="19"/>
  <c r="E3279" i="19"/>
  <c r="E3280" i="19"/>
  <c r="E3281" i="19"/>
  <c r="E3282" i="19"/>
  <c r="E3283" i="19"/>
  <c r="E3284" i="19"/>
  <c r="E3285" i="19"/>
  <c r="E3286" i="19"/>
  <c r="E3287" i="19"/>
  <c r="E3288" i="19"/>
  <c r="E3289" i="19"/>
  <c r="E3290" i="19"/>
  <c r="E3291" i="19"/>
  <c r="E3292" i="19"/>
  <c r="E3293" i="19"/>
  <c r="E3294" i="19"/>
  <c r="E3295" i="19"/>
  <c r="E3296" i="19"/>
  <c r="E3297" i="19"/>
  <c r="E3298" i="19"/>
  <c r="E3299" i="19"/>
  <c r="E3300" i="19"/>
  <c r="E3301" i="19"/>
  <c r="E3302" i="19"/>
  <c r="E3303" i="19"/>
  <c r="E3304" i="19"/>
  <c r="E3305" i="19"/>
  <c r="E3306" i="19"/>
  <c r="E3307" i="19"/>
  <c r="E3308" i="19"/>
  <c r="E3309" i="19"/>
  <c r="E3310" i="19"/>
  <c r="E3311" i="19"/>
  <c r="E3312" i="19"/>
  <c r="E3313" i="19"/>
  <c r="E3314" i="19"/>
  <c r="E3315" i="19"/>
  <c r="E3316" i="19"/>
  <c r="E3317" i="19"/>
  <c r="E3318" i="19"/>
  <c r="E3319" i="19"/>
  <c r="E3320" i="19"/>
  <c r="E3321" i="19"/>
  <c r="E3322" i="19"/>
  <c r="E3323" i="19"/>
  <c r="E3324" i="19"/>
  <c r="E3325" i="19"/>
  <c r="E3326" i="19"/>
  <c r="E3327" i="19"/>
  <c r="E3328" i="19"/>
  <c r="E3329" i="19"/>
  <c r="E3330" i="19"/>
  <c r="E3331" i="19"/>
  <c r="E3332" i="19"/>
  <c r="E3333" i="19"/>
  <c r="E3334" i="19"/>
  <c r="E3335" i="19"/>
  <c r="E3336" i="19"/>
  <c r="E3337" i="19"/>
  <c r="E3338" i="19"/>
  <c r="E3339" i="19"/>
  <c r="E3340" i="19"/>
  <c r="E3341" i="19"/>
  <c r="E3342" i="19"/>
  <c r="E3343" i="19"/>
  <c r="E3344" i="19"/>
  <c r="E3345" i="19"/>
  <c r="E3346" i="19"/>
  <c r="E3347" i="19"/>
  <c r="E3348" i="19"/>
  <c r="E3349" i="19"/>
  <c r="E3350" i="19"/>
  <c r="E3351" i="19"/>
  <c r="E3352" i="19"/>
  <c r="E3353" i="19"/>
  <c r="E3354" i="19"/>
  <c r="E3355" i="19"/>
  <c r="E3356" i="19"/>
  <c r="E3357" i="19"/>
  <c r="E3358" i="19"/>
  <c r="E3359" i="19"/>
  <c r="E3360" i="19"/>
  <c r="E3361" i="19"/>
  <c r="E3362" i="19"/>
  <c r="E3363" i="19"/>
  <c r="E3364" i="19"/>
  <c r="E3365" i="19"/>
  <c r="E3366" i="19"/>
  <c r="E3367" i="19"/>
  <c r="E3368" i="19"/>
  <c r="E3369" i="19"/>
  <c r="E3370" i="19"/>
  <c r="E3371" i="19"/>
  <c r="E3372" i="19"/>
  <c r="E3373" i="19"/>
  <c r="E3374" i="19"/>
  <c r="E3375" i="19"/>
  <c r="E3376" i="19"/>
  <c r="E3377" i="19"/>
  <c r="E3378" i="19"/>
  <c r="E3379" i="19"/>
  <c r="E3380" i="19"/>
  <c r="E3381" i="19"/>
  <c r="E3382" i="19"/>
  <c r="E3383" i="19"/>
  <c r="E3384" i="19"/>
  <c r="E3385" i="19"/>
  <c r="E3386" i="19"/>
  <c r="E3387" i="19"/>
  <c r="E3388" i="19"/>
  <c r="E3389" i="19"/>
  <c r="E3390" i="19"/>
  <c r="E3391" i="19"/>
  <c r="E3392" i="19"/>
  <c r="E3393" i="19"/>
  <c r="E3394" i="19"/>
  <c r="E3395" i="19"/>
  <c r="E3396" i="19"/>
  <c r="E3397" i="19"/>
  <c r="E3398" i="19"/>
  <c r="E3399" i="19"/>
  <c r="E3400" i="19"/>
  <c r="E3401" i="19"/>
  <c r="E3402" i="19"/>
  <c r="E3403" i="19"/>
  <c r="E3404" i="19"/>
  <c r="E3405" i="19"/>
  <c r="E3406" i="19"/>
  <c r="E3407" i="19"/>
  <c r="E3408" i="19"/>
  <c r="E3409" i="19"/>
  <c r="E3410" i="19"/>
  <c r="E3411" i="19"/>
  <c r="E3412" i="19"/>
  <c r="E3413" i="19"/>
  <c r="E3414" i="19"/>
  <c r="E3415" i="19"/>
  <c r="E3416" i="19"/>
  <c r="E3417" i="19"/>
  <c r="E3418" i="19"/>
  <c r="E3419" i="19"/>
  <c r="E3420" i="19"/>
  <c r="E3421" i="19"/>
  <c r="E3422" i="19"/>
  <c r="E3423" i="19"/>
  <c r="E3424" i="19"/>
  <c r="E3425" i="19"/>
  <c r="E3426" i="19"/>
  <c r="E3427" i="19"/>
  <c r="E3428" i="19"/>
  <c r="E3429" i="19"/>
  <c r="E3430" i="19"/>
  <c r="E3431" i="19"/>
  <c r="E3432" i="19"/>
  <c r="E3433" i="19"/>
  <c r="E3434" i="19"/>
  <c r="E3435" i="19"/>
  <c r="E3436" i="19"/>
  <c r="E3437" i="19"/>
  <c r="E3438" i="19"/>
  <c r="E3439" i="19"/>
  <c r="E3440" i="19"/>
  <c r="E3441" i="19"/>
  <c r="E3442" i="19"/>
  <c r="E3443" i="19"/>
  <c r="E3444" i="19"/>
  <c r="E3445" i="19"/>
  <c r="E3446" i="19"/>
  <c r="E3447" i="19"/>
  <c r="E3448" i="19"/>
  <c r="E3449" i="19"/>
  <c r="E3450" i="19"/>
  <c r="E3451" i="19"/>
  <c r="E3452" i="19"/>
  <c r="E3453" i="19"/>
  <c r="E3454" i="19"/>
  <c r="E3455" i="19"/>
  <c r="E3456" i="19"/>
  <c r="E3457" i="19"/>
  <c r="E3458" i="19"/>
  <c r="E3459" i="19"/>
  <c r="E3460" i="19"/>
  <c r="E3461" i="19"/>
  <c r="E3462" i="19"/>
  <c r="E3463" i="19"/>
  <c r="E3464" i="19"/>
  <c r="E3465" i="19"/>
  <c r="E3466" i="19"/>
  <c r="E3467" i="19"/>
  <c r="E3468" i="19"/>
  <c r="E3469" i="19"/>
  <c r="E3470" i="19"/>
  <c r="E3471" i="19"/>
  <c r="E3472" i="19"/>
  <c r="E3473" i="19"/>
  <c r="E3474" i="19"/>
  <c r="E3475" i="19"/>
  <c r="E3476" i="19"/>
  <c r="E3477" i="19"/>
  <c r="E3478" i="19"/>
  <c r="E3479" i="19"/>
  <c r="E3480" i="19"/>
  <c r="E3481" i="19"/>
  <c r="E3482" i="19"/>
  <c r="E3483" i="19"/>
  <c r="E3484" i="19"/>
  <c r="E3485" i="19"/>
  <c r="E3486" i="19"/>
  <c r="E3487" i="19"/>
  <c r="E3488" i="19"/>
  <c r="E3489" i="19"/>
  <c r="E3490" i="19"/>
  <c r="E3491" i="19"/>
  <c r="E3492" i="19"/>
  <c r="E3493" i="19"/>
  <c r="E3494" i="19"/>
  <c r="E3495" i="19"/>
  <c r="E3496" i="19"/>
  <c r="E3497" i="19"/>
  <c r="E3498" i="19"/>
  <c r="E3499" i="19"/>
  <c r="E3500" i="19"/>
  <c r="E3501" i="19"/>
  <c r="E3502" i="19"/>
  <c r="E3503" i="19"/>
  <c r="E3504" i="19"/>
  <c r="E3505" i="19"/>
  <c r="E3506" i="19"/>
  <c r="E3507" i="19"/>
  <c r="E3508" i="19"/>
  <c r="E3509" i="19"/>
  <c r="E3510" i="19"/>
  <c r="E3511" i="19"/>
  <c r="E3512" i="19"/>
  <c r="E3513" i="19"/>
  <c r="E3514" i="19"/>
  <c r="E3515" i="19"/>
  <c r="E3516" i="19"/>
  <c r="E3517" i="19"/>
  <c r="E3518" i="19"/>
  <c r="E3519" i="19"/>
  <c r="E3520" i="19"/>
  <c r="E3521" i="19"/>
  <c r="E3522" i="19"/>
  <c r="E3523" i="19"/>
  <c r="E3524" i="19"/>
  <c r="E3525" i="19"/>
  <c r="E3526" i="19"/>
  <c r="E3527" i="19"/>
  <c r="E3528" i="19"/>
  <c r="E3529" i="19"/>
  <c r="E3530" i="19"/>
  <c r="E3531" i="19"/>
  <c r="E3532" i="19"/>
  <c r="E3533" i="19"/>
  <c r="E3534" i="19"/>
  <c r="E3535" i="19"/>
  <c r="E3536" i="19"/>
  <c r="E3537" i="19"/>
  <c r="E3538" i="19"/>
  <c r="E3539" i="19"/>
  <c r="E3540" i="19"/>
  <c r="E3541" i="19"/>
  <c r="E3542" i="19"/>
  <c r="E3543" i="19"/>
  <c r="E3544" i="19"/>
  <c r="E3545" i="19"/>
  <c r="E3546" i="19"/>
  <c r="E3547" i="19"/>
  <c r="E3548" i="19"/>
  <c r="E3549" i="19"/>
  <c r="E3550" i="19"/>
  <c r="E3551" i="19"/>
  <c r="E3552" i="19"/>
  <c r="E3553" i="19"/>
  <c r="E3554" i="19"/>
  <c r="E3555" i="19"/>
  <c r="E3556" i="19"/>
  <c r="E3557" i="19"/>
  <c r="E3558" i="19"/>
  <c r="E3559" i="19"/>
  <c r="E3560" i="19"/>
  <c r="E3561" i="19"/>
  <c r="E3562" i="19"/>
  <c r="E3563" i="19"/>
  <c r="E3564" i="19"/>
  <c r="E3565" i="19"/>
  <c r="E3566" i="19"/>
  <c r="E3567" i="19"/>
  <c r="E3568" i="19"/>
  <c r="E3569" i="19"/>
  <c r="E3570" i="19"/>
  <c r="E3571" i="19"/>
  <c r="E3572" i="19"/>
  <c r="E3573" i="19"/>
  <c r="E3574" i="19"/>
  <c r="E3575" i="19"/>
  <c r="E3576" i="19"/>
  <c r="E3577" i="19"/>
  <c r="E3578" i="19"/>
  <c r="E3579" i="19"/>
  <c r="E3580" i="19"/>
  <c r="E3581" i="19"/>
  <c r="E3582" i="19"/>
  <c r="E3583" i="19"/>
  <c r="E3584" i="19"/>
  <c r="E3585" i="19"/>
  <c r="E3586" i="19"/>
  <c r="E3587" i="19"/>
  <c r="E3588" i="19"/>
  <c r="E3589" i="19"/>
  <c r="E3590" i="19"/>
  <c r="E3591" i="19"/>
  <c r="E3592" i="19"/>
  <c r="E3593" i="19"/>
  <c r="E3594" i="19"/>
  <c r="E3595" i="19"/>
  <c r="E3596" i="19"/>
  <c r="E3597" i="19"/>
  <c r="E3598" i="19"/>
  <c r="E3599" i="19"/>
  <c r="E3600" i="19"/>
  <c r="E3601" i="19"/>
  <c r="E3602" i="19"/>
  <c r="E3603" i="19"/>
  <c r="E3604" i="19"/>
  <c r="E3605" i="19"/>
  <c r="E3606" i="19"/>
  <c r="E3607" i="19"/>
  <c r="E3608" i="19"/>
  <c r="E3609" i="19"/>
  <c r="E3610" i="19"/>
  <c r="E3611" i="19"/>
  <c r="E3612" i="19"/>
  <c r="E3613" i="19"/>
  <c r="E3614" i="19"/>
  <c r="E3615" i="19"/>
  <c r="E3616" i="19"/>
  <c r="E3617" i="19"/>
  <c r="E3618" i="19"/>
  <c r="E3619" i="19"/>
  <c r="E3620" i="19"/>
  <c r="E3621" i="19"/>
  <c r="E3622" i="19"/>
  <c r="E3623" i="19"/>
  <c r="E3624" i="19"/>
  <c r="E3625" i="19"/>
  <c r="E3626" i="19"/>
  <c r="E3627" i="19"/>
  <c r="E3628" i="19"/>
  <c r="E3629" i="19"/>
  <c r="E3630" i="19"/>
  <c r="E3631" i="19"/>
  <c r="E3632" i="19"/>
  <c r="E3633" i="19"/>
  <c r="E3634" i="19"/>
  <c r="E3635" i="19"/>
  <c r="E3636" i="19"/>
  <c r="E3637" i="19"/>
  <c r="E3638" i="19"/>
  <c r="E3639" i="19"/>
  <c r="E3640" i="19"/>
  <c r="E3641" i="19"/>
  <c r="E3642" i="19"/>
  <c r="E3643" i="19"/>
  <c r="E3644" i="19"/>
  <c r="E3645" i="19"/>
  <c r="E3646" i="19"/>
  <c r="E3647" i="19"/>
  <c r="E3648" i="19"/>
  <c r="E3649" i="19"/>
  <c r="E3650" i="19"/>
  <c r="E3651" i="19"/>
  <c r="E3652" i="19"/>
  <c r="E3653" i="19"/>
  <c r="E3654" i="19"/>
  <c r="E3655" i="19"/>
  <c r="E3656" i="19"/>
  <c r="E3657" i="19"/>
  <c r="E3658" i="19"/>
  <c r="E3659" i="19"/>
  <c r="E3660" i="19"/>
  <c r="E3661" i="19"/>
  <c r="E3662" i="19"/>
  <c r="E3663" i="19"/>
  <c r="E3664" i="19"/>
  <c r="E3665" i="19"/>
  <c r="E3666" i="19"/>
  <c r="E3667" i="19"/>
  <c r="E3668" i="19"/>
  <c r="E3669" i="19"/>
  <c r="E3670" i="19"/>
  <c r="E3671" i="19"/>
  <c r="E3672" i="19"/>
  <c r="E3673" i="19"/>
  <c r="E3674" i="19"/>
  <c r="E3675" i="19"/>
  <c r="E3676" i="19"/>
  <c r="E3677" i="19"/>
  <c r="E3678" i="19"/>
  <c r="E3679" i="19"/>
  <c r="E3680" i="19"/>
  <c r="E3681" i="19"/>
  <c r="E3682" i="19"/>
  <c r="E3683" i="19"/>
  <c r="E3684" i="19"/>
  <c r="E3685" i="19"/>
  <c r="E3686" i="19"/>
  <c r="E3687" i="19"/>
  <c r="E3688" i="19"/>
  <c r="E3689" i="19"/>
  <c r="E3690" i="19"/>
  <c r="E3691" i="19"/>
  <c r="E3692" i="19"/>
  <c r="E3693" i="19"/>
  <c r="E3694" i="19"/>
  <c r="E3695" i="19"/>
  <c r="E3696" i="19"/>
  <c r="E3697" i="19"/>
  <c r="E3698" i="19"/>
  <c r="E3699" i="19"/>
  <c r="E3700" i="19"/>
  <c r="E3701" i="19"/>
  <c r="E3702" i="19"/>
  <c r="E3703" i="19"/>
  <c r="E3704" i="19"/>
  <c r="E3705" i="19"/>
  <c r="E3706" i="19"/>
  <c r="E3707" i="19"/>
  <c r="E3708" i="19"/>
  <c r="E3709" i="19"/>
  <c r="E3710" i="19"/>
  <c r="E3711" i="19"/>
  <c r="E3712" i="19"/>
  <c r="E3713" i="19"/>
  <c r="E3714" i="19"/>
  <c r="E3715" i="19"/>
  <c r="E3716" i="19"/>
  <c r="E3717" i="19"/>
  <c r="E3718" i="19"/>
  <c r="E3719" i="19"/>
  <c r="E3720" i="19"/>
  <c r="E3721" i="19"/>
  <c r="E3722" i="19"/>
  <c r="E3723" i="19"/>
  <c r="E3724" i="19"/>
  <c r="E3725" i="19"/>
  <c r="E3726" i="19"/>
  <c r="E3727" i="19"/>
  <c r="E3728" i="19"/>
  <c r="E3729" i="19"/>
  <c r="E3730" i="19"/>
  <c r="E3731" i="19"/>
  <c r="E3732" i="19"/>
  <c r="E3733" i="19"/>
  <c r="E3734" i="19"/>
  <c r="E3735" i="19"/>
  <c r="E3736" i="19"/>
  <c r="E3737" i="19"/>
  <c r="E3738" i="19"/>
  <c r="E3739" i="19"/>
  <c r="E3740" i="19"/>
  <c r="E3741" i="19"/>
  <c r="E3742" i="19"/>
  <c r="E3743" i="19"/>
  <c r="E3744" i="19"/>
  <c r="E3745" i="19"/>
  <c r="E3746" i="19"/>
  <c r="E3747" i="19"/>
  <c r="E3748" i="19"/>
  <c r="E3749" i="19"/>
  <c r="E3750" i="19"/>
  <c r="E3751" i="19"/>
  <c r="E3752" i="19"/>
  <c r="E3753" i="19"/>
  <c r="E3754" i="19"/>
  <c r="E3755" i="19"/>
  <c r="E3756" i="19"/>
  <c r="E3757" i="19"/>
  <c r="E3758" i="19"/>
  <c r="E3759" i="19"/>
  <c r="E3760" i="19"/>
  <c r="E3761" i="19"/>
  <c r="E3762" i="19"/>
  <c r="E3763" i="19"/>
  <c r="E3764" i="19"/>
  <c r="E3765" i="19"/>
  <c r="E3766" i="19"/>
  <c r="E3767" i="19"/>
  <c r="E3768" i="19"/>
  <c r="E3769" i="19"/>
  <c r="E3770" i="19"/>
  <c r="E3771" i="19"/>
  <c r="E3772" i="19"/>
  <c r="E3773" i="19"/>
  <c r="E3774" i="19"/>
  <c r="E3775" i="19"/>
  <c r="E3776" i="19"/>
  <c r="E3777" i="19"/>
  <c r="E3778" i="19"/>
  <c r="E3779" i="19"/>
  <c r="E3780" i="19"/>
  <c r="E3781" i="19"/>
  <c r="E3782" i="19"/>
  <c r="E3783" i="19"/>
  <c r="E3784" i="19"/>
  <c r="E3785" i="19"/>
  <c r="E3786" i="19"/>
  <c r="E3787" i="19"/>
  <c r="E3788" i="19"/>
  <c r="E3789" i="19"/>
  <c r="E3790" i="19"/>
  <c r="E3791" i="19"/>
  <c r="E3792" i="19"/>
  <c r="E3793" i="19"/>
  <c r="E3794" i="19"/>
  <c r="E3795" i="19"/>
  <c r="E3796" i="19"/>
  <c r="E3797" i="19"/>
  <c r="E3798" i="19"/>
  <c r="E3799" i="19"/>
  <c r="E3800" i="19"/>
  <c r="E3801" i="19"/>
  <c r="E3802" i="19"/>
  <c r="E3803" i="19"/>
  <c r="E3804" i="19"/>
  <c r="E3805" i="19"/>
  <c r="E3806" i="19"/>
  <c r="E3807" i="19"/>
  <c r="E3808" i="19"/>
  <c r="E3809" i="19"/>
  <c r="E3810" i="19"/>
  <c r="E3811" i="19"/>
  <c r="E3812" i="19"/>
  <c r="E3813" i="19"/>
  <c r="E3814" i="19"/>
  <c r="E3815" i="19"/>
  <c r="E3816" i="19"/>
  <c r="E3817" i="19"/>
  <c r="E3818" i="19"/>
  <c r="E3819" i="19"/>
  <c r="E3820" i="19"/>
  <c r="E3821" i="19"/>
  <c r="E3822" i="19"/>
  <c r="E3823" i="19"/>
  <c r="E3824" i="19"/>
  <c r="E3825" i="19"/>
  <c r="E3826" i="19"/>
  <c r="E3827" i="19"/>
  <c r="E3828" i="19"/>
  <c r="E3829" i="19"/>
  <c r="E3830" i="19"/>
  <c r="E3831" i="19"/>
  <c r="E3832" i="19"/>
  <c r="E3833" i="19"/>
  <c r="E3834" i="19"/>
  <c r="E3835" i="19"/>
  <c r="E3836" i="19"/>
  <c r="E3837" i="19"/>
  <c r="E3838" i="19"/>
  <c r="E3839" i="19"/>
  <c r="E3840" i="19"/>
  <c r="E3841" i="19"/>
  <c r="E3842" i="19"/>
  <c r="E3843" i="19"/>
  <c r="E3844" i="19"/>
  <c r="E3845" i="19"/>
  <c r="E3846" i="19"/>
  <c r="E3847" i="19"/>
  <c r="E3848" i="19"/>
  <c r="E3849" i="19"/>
  <c r="E3850" i="19"/>
  <c r="E3851" i="19"/>
  <c r="E3852" i="19"/>
  <c r="E3853" i="19"/>
  <c r="E3854" i="19"/>
  <c r="E3855" i="19"/>
  <c r="E3856" i="19"/>
  <c r="E3857" i="19"/>
  <c r="E3858" i="19"/>
  <c r="E3859" i="19"/>
  <c r="E3860" i="19"/>
  <c r="E3861" i="19"/>
  <c r="E3862" i="19"/>
  <c r="E3863" i="19"/>
  <c r="E3864" i="19"/>
  <c r="E3865" i="19"/>
  <c r="E3866" i="19"/>
  <c r="E3867" i="19"/>
  <c r="E3868" i="19"/>
  <c r="E3869" i="19"/>
  <c r="E3870" i="19"/>
  <c r="E3871" i="19"/>
  <c r="E3872" i="19"/>
  <c r="E3873" i="19"/>
  <c r="E3874" i="19"/>
  <c r="E3875" i="19"/>
  <c r="E3876" i="19"/>
  <c r="E3877" i="19"/>
  <c r="E3878" i="19"/>
  <c r="E3879" i="19"/>
  <c r="E3880" i="19"/>
  <c r="E3881" i="19"/>
  <c r="E3882" i="19"/>
  <c r="E3883" i="19"/>
  <c r="E3884" i="19"/>
  <c r="E3885" i="19"/>
  <c r="E3886" i="19"/>
  <c r="E3887" i="19"/>
  <c r="E3888" i="19"/>
  <c r="E3889" i="19"/>
  <c r="E3890" i="19"/>
  <c r="E3891" i="19"/>
  <c r="E3892" i="19"/>
  <c r="E3893" i="19"/>
  <c r="E3894" i="19"/>
  <c r="E3895" i="19"/>
  <c r="E3896" i="19"/>
  <c r="E3897" i="19"/>
  <c r="E3898" i="19"/>
  <c r="E3899" i="19"/>
  <c r="E3900" i="19"/>
  <c r="E3901" i="19"/>
  <c r="E3902" i="19"/>
  <c r="E3903" i="19"/>
  <c r="E3904" i="19"/>
  <c r="E3905" i="19"/>
  <c r="E3906" i="19"/>
  <c r="E3907" i="19"/>
  <c r="E3908" i="19"/>
  <c r="E3909" i="19"/>
  <c r="E3910" i="19"/>
  <c r="E3911" i="19"/>
  <c r="E3912" i="19"/>
  <c r="E3913" i="19"/>
  <c r="E3914" i="19"/>
  <c r="E3915" i="19"/>
  <c r="E3916" i="19"/>
  <c r="E3917" i="19"/>
  <c r="E3918" i="19"/>
  <c r="E3919" i="19"/>
  <c r="E3920" i="19"/>
  <c r="E3921" i="19"/>
  <c r="E3922" i="19"/>
  <c r="E3923" i="19"/>
  <c r="E3924" i="19"/>
  <c r="E3925" i="19"/>
  <c r="E3926" i="19"/>
  <c r="E3927" i="19"/>
  <c r="E3928" i="19"/>
  <c r="E3929" i="19"/>
  <c r="E3930" i="19"/>
  <c r="E3931" i="19"/>
  <c r="E3932" i="19"/>
  <c r="E3933" i="19"/>
  <c r="E3934" i="19"/>
  <c r="E3935" i="19"/>
  <c r="E3936" i="19"/>
  <c r="E3937" i="19"/>
  <c r="E3938" i="19"/>
  <c r="E3939" i="19"/>
  <c r="E3940" i="19"/>
  <c r="E3941" i="19"/>
  <c r="E3942" i="19"/>
  <c r="E3943" i="19"/>
  <c r="E3944" i="19"/>
  <c r="E3945" i="19"/>
  <c r="E3946" i="19"/>
  <c r="E3947" i="19"/>
  <c r="E3948" i="19"/>
  <c r="E3949" i="19"/>
  <c r="E3950" i="19"/>
  <c r="E3951" i="19"/>
  <c r="E3952" i="19"/>
  <c r="E3953" i="19"/>
  <c r="E3954" i="19"/>
  <c r="E3955" i="19"/>
  <c r="E3956" i="19"/>
  <c r="E3957" i="19"/>
  <c r="E3958" i="19"/>
  <c r="E3959" i="19"/>
  <c r="E3960" i="19"/>
  <c r="E3961" i="19"/>
  <c r="E3962" i="19"/>
  <c r="E3963" i="19"/>
  <c r="E3964" i="19"/>
  <c r="E3965" i="19"/>
  <c r="E3966" i="19"/>
  <c r="E3967" i="19"/>
  <c r="E3968" i="19"/>
  <c r="E3969" i="19"/>
  <c r="E3970" i="19"/>
  <c r="E3971" i="19"/>
  <c r="E3972" i="19"/>
  <c r="E3973" i="19"/>
  <c r="E3974" i="19"/>
  <c r="E3975" i="19"/>
  <c r="E3976" i="19"/>
  <c r="E3977" i="19"/>
  <c r="E3978" i="19"/>
  <c r="E3979" i="19"/>
  <c r="E3980" i="19"/>
  <c r="E3981" i="19"/>
  <c r="E3982" i="19"/>
  <c r="E3983" i="19"/>
  <c r="E3984" i="19"/>
  <c r="E3985" i="19"/>
  <c r="E3986" i="19"/>
  <c r="E3987" i="19"/>
  <c r="E3988" i="19"/>
  <c r="E3989" i="19"/>
  <c r="E3990" i="19"/>
  <c r="E3991" i="19"/>
  <c r="E3992" i="19"/>
  <c r="E3993" i="19"/>
  <c r="E3994" i="19"/>
  <c r="E3995" i="19"/>
  <c r="E3996" i="19"/>
  <c r="E3997" i="19"/>
  <c r="E3998" i="19"/>
  <c r="E3999" i="19"/>
  <c r="E4000" i="19"/>
  <c r="E4001" i="19"/>
  <c r="E4002" i="19"/>
  <c r="E4003" i="19"/>
  <c r="E4004" i="19"/>
  <c r="E4005" i="19"/>
  <c r="E4006" i="19"/>
  <c r="E4007" i="19"/>
  <c r="E4008" i="19"/>
  <c r="E4009" i="19"/>
  <c r="E4010" i="19"/>
  <c r="E4011" i="19"/>
  <c r="E4012" i="19"/>
  <c r="E4013" i="19"/>
  <c r="E4014" i="19"/>
  <c r="E4015" i="19"/>
  <c r="E4016" i="19"/>
  <c r="E4017" i="19"/>
  <c r="E4018" i="19"/>
  <c r="E4019" i="19"/>
  <c r="E4020" i="19"/>
  <c r="E4021" i="19"/>
  <c r="E4022" i="19"/>
  <c r="E4023" i="19"/>
  <c r="E4024" i="19"/>
  <c r="E4025" i="19"/>
  <c r="E4026" i="19"/>
  <c r="E4027" i="19"/>
  <c r="E4028" i="19"/>
  <c r="E4029" i="19"/>
  <c r="E4030" i="19"/>
  <c r="E4031" i="19"/>
  <c r="E4032" i="19"/>
  <c r="E4033" i="19"/>
  <c r="E4034" i="19"/>
  <c r="E4035" i="19"/>
  <c r="E4036" i="19"/>
  <c r="E4037" i="19"/>
  <c r="E4038" i="19"/>
  <c r="E4039" i="19"/>
  <c r="E4040" i="19"/>
  <c r="E4041" i="19"/>
  <c r="E4042" i="19"/>
  <c r="E4043" i="19"/>
  <c r="E4044" i="19"/>
  <c r="E4045" i="19"/>
  <c r="E4046" i="19"/>
  <c r="E4047" i="19"/>
  <c r="E4048" i="19"/>
  <c r="E4049" i="19"/>
  <c r="E4050" i="19"/>
  <c r="E4051" i="19"/>
  <c r="E4052" i="19"/>
  <c r="E4053" i="19"/>
  <c r="E4054" i="19"/>
  <c r="E4055" i="19"/>
  <c r="E4056" i="19"/>
  <c r="E4057" i="19"/>
  <c r="E4058" i="19"/>
  <c r="E4059" i="19"/>
  <c r="E4060" i="19"/>
  <c r="E4061" i="19"/>
  <c r="E4062" i="19"/>
  <c r="E4063" i="19"/>
  <c r="E4064" i="19"/>
  <c r="E4065" i="19"/>
  <c r="E4066" i="19"/>
  <c r="E4067" i="19"/>
  <c r="E4068" i="19"/>
  <c r="E4069" i="19"/>
  <c r="E4070" i="19"/>
  <c r="E4071" i="19"/>
  <c r="E4072" i="19"/>
  <c r="E4073" i="19"/>
  <c r="E4074" i="19"/>
  <c r="E4075" i="19"/>
  <c r="E4076" i="19"/>
  <c r="E4077" i="19"/>
  <c r="E4078" i="19"/>
  <c r="E4079" i="19"/>
  <c r="E4080" i="19"/>
  <c r="E4081" i="19"/>
  <c r="E4082" i="19"/>
  <c r="E4083" i="19"/>
  <c r="E4084" i="19"/>
  <c r="E4085" i="19"/>
  <c r="E4086" i="19"/>
  <c r="E4087" i="19"/>
  <c r="E4088" i="19"/>
  <c r="E4089" i="19"/>
  <c r="E4090" i="19"/>
  <c r="E4091" i="19"/>
  <c r="E4092" i="19"/>
  <c r="E4093" i="19"/>
  <c r="E4094" i="19"/>
  <c r="E4095" i="19"/>
  <c r="E4096" i="19"/>
  <c r="E4097" i="19"/>
  <c r="E4098" i="19"/>
  <c r="E4099" i="19"/>
  <c r="E4100" i="19"/>
  <c r="E4101" i="19"/>
  <c r="E4102" i="19"/>
  <c r="E4103" i="19"/>
  <c r="E4104" i="19"/>
  <c r="E4105" i="19"/>
  <c r="E4106" i="19"/>
  <c r="E4107" i="19"/>
  <c r="E4108" i="19"/>
  <c r="E4109" i="19"/>
  <c r="E4110" i="19"/>
  <c r="E4111" i="19"/>
  <c r="E4112" i="19"/>
  <c r="E4113" i="19"/>
  <c r="E4114" i="19"/>
  <c r="E4115" i="19"/>
  <c r="E4116" i="19"/>
  <c r="E4117" i="19"/>
  <c r="E4118" i="19"/>
  <c r="E4119" i="19"/>
  <c r="E4120" i="19"/>
  <c r="E4121" i="19"/>
  <c r="E4122" i="19"/>
  <c r="E4123" i="19"/>
  <c r="E4124" i="19"/>
  <c r="E4125" i="19"/>
  <c r="E4126" i="19"/>
  <c r="E4127" i="19"/>
  <c r="E4128" i="19"/>
  <c r="E4129" i="19"/>
  <c r="E4130" i="19"/>
  <c r="E4131" i="19"/>
  <c r="E4132" i="19"/>
  <c r="E4133" i="19"/>
  <c r="E4134" i="19"/>
  <c r="E4135" i="19"/>
  <c r="E4136" i="19"/>
  <c r="E4137" i="19"/>
  <c r="E4138" i="19"/>
  <c r="E4139" i="19"/>
  <c r="E4140" i="19"/>
  <c r="E4141" i="19"/>
  <c r="E4142" i="19"/>
  <c r="E4143" i="19"/>
  <c r="E4144" i="19"/>
  <c r="E4145" i="19"/>
  <c r="E4146" i="19"/>
  <c r="E4147" i="19"/>
  <c r="E4148" i="19"/>
  <c r="E4149" i="19"/>
  <c r="E4150" i="19"/>
  <c r="E4151" i="19"/>
  <c r="E4152" i="19"/>
  <c r="E4153" i="19"/>
  <c r="E4154" i="19"/>
  <c r="E4155" i="19"/>
  <c r="E4156" i="19"/>
  <c r="E4157" i="19"/>
  <c r="E4158" i="19"/>
  <c r="E4159" i="19"/>
  <c r="E4160" i="19"/>
  <c r="E4161" i="19"/>
  <c r="E4162" i="19"/>
  <c r="E4163" i="19"/>
  <c r="E4164" i="19"/>
  <c r="E4165" i="19"/>
  <c r="E4166" i="19"/>
  <c r="E4167" i="19"/>
  <c r="E4168" i="19"/>
  <c r="E4169" i="19"/>
  <c r="E4170" i="19"/>
  <c r="E4171" i="19"/>
  <c r="E4172" i="19"/>
  <c r="E4173" i="19"/>
  <c r="E4174" i="19"/>
  <c r="E4175" i="19"/>
  <c r="E4176" i="19"/>
  <c r="E4177" i="19"/>
  <c r="E4178" i="19"/>
  <c r="E4179" i="19"/>
  <c r="E4180" i="19"/>
  <c r="E4181" i="19"/>
  <c r="E4182" i="19"/>
  <c r="E4183" i="19"/>
  <c r="E4184" i="19"/>
  <c r="E4185" i="19"/>
  <c r="E4186" i="19"/>
  <c r="E4187" i="19"/>
  <c r="E4188" i="19"/>
  <c r="E4189" i="19"/>
  <c r="E4190" i="19"/>
  <c r="E4191" i="19"/>
  <c r="E4192" i="19"/>
  <c r="E4193" i="19"/>
  <c r="E4194" i="19"/>
  <c r="E4195" i="19"/>
  <c r="E4196" i="19"/>
  <c r="E4197" i="19"/>
  <c r="E4198" i="19"/>
  <c r="E4199" i="19"/>
  <c r="E4200" i="19"/>
  <c r="E4201" i="19"/>
  <c r="E4202" i="19"/>
  <c r="E4203" i="19"/>
  <c r="E4204" i="19"/>
  <c r="E4205" i="19"/>
  <c r="E4206" i="19"/>
  <c r="E4207" i="19"/>
  <c r="E4208" i="19"/>
  <c r="E4209" i="19"/>
  <c r="E4210" i="19"/>
  <c r="E4211" i="19"/>
  <c r="E4212" i="19"/>
  <c r="E4213" i="19"/>
  <c r="E4214" i="19"/>
  <c r="E4215" i="19"/>
  <c r="E4216" i="19"/>
  <c r="E4217" i="19"/>
  <c r="E4218" i="19"/>
  <c r="E4219" i="19"/>
  <c r="E4220" i="19"/>
  <c r="E4221" i="19"/>
  <c r="E4222" i="19"/>
  <c r="E4223" i="19"/>
  <c r="E4224" i="19"/>
  <c r="E4225" i="19"/>
  <c r="E4226" i="19"/>
  <c r="E4227" i="19"/>
  <c r="E4228" i="19"/>
  <c r="E4229" i="19"/>
  <c r="E4230" i="19"/>
  <c r="E4231" i="19"/>
  <c r="E4232" i="19"/>
  <c r="E4233" i="19"/>
  <c r="E4234" i="19"/>
  <c r="E4235" i="19"/>
  <c r="E4236" i="19"/>
  <c r="E4237" i="19"/>
  <c r="E4238" i="19"/>
  <c r="E4239" i="19"/>
  <c r="E4240" i="19"/>
  <c r="E4241" i="19"/>
  <c r="E4242" i="19"/>
  <c r="E4243" i="19"/>
  <c r="E4244" i="19"/>
  <c r="E4245" i="19"/>
  <c r="E4246" i="19"/>
  <c r="E4247" i="19"/>
  <c r="E4248" i="19"/>
  <c r="E4249" i="19"/>
  <c r="E4250" i="19"/>
  <c r="E4251" i="19"/>
  <c r="E4252" i="19"/>
  <c r="E4253" i="19"/>
  <c r="E4254" i="19"/>
  <c r="E4255" i="19"/>
  <c r="E4256" i="19"/>
  <c r="E4257" i="19"/>
  <c r="E4258" i="19"/>
  <c r="E4259" i="19"/>
  <c r="E4260" i="19"/>
  <c r="E4261" i="19"/>
  <c r="E4262" i="19"/>
  <c r="E4263" i="19"/>
  <c r="E4264" i="19"/>
  <c r="E4265" i="19"/>
  <c r="E4266" i="19"/>
  <c r="E4267" i="19"/>
  <c r="E4268" i="19"/>
  <c r="E4269" i="19"/>
  <c r="E4270" i="19"/>
  <c r="E4271" i="19"/>
  <c r="E4272" i="19"/>
  <c r="E4273" i="19"/>
  <c r="E4274" i="19"/>
  <c r="E4275" i="19"/>
  <c r="E4276" i="19"/>
  <c r="E4277" i="19"/>
  <c r="E4278" i="19"/>
  <c r="E4279" i="19"/>
  <c r="E4280" i="19"/>
  <c r="E4281" i="19"/>
  <c r="E4282" i="19"/>
  <c r="E4283" i="19"/>
  <c r="E4284" i="19"/>
  <c r="E4285" i="19"/>
  <c r="E4286" i="19"/>
  <c r="E4287" i="19"/>
  <c r="E4288" i="19"/>
  <c r="E4289" i="19"/>
  <c r="E4290" i="19"/>
  <c r="E4291" i="19"/>
  <c r="E4292" i="19"/>
  <c r="E4293" i="19"/>
  <c r="E4294" i="19"/>
  <c r="E4295" i="19"/>
  <c r="E4296" i="19"/>
  <c r="E4297" i="19"/>
  <c r="E4298" i="19"/>
  <c r="E4299" i="19"/>
  <c r="E4300" i="19"/>
  <c r="E4301" i="19"/>
  <c r="E4302" i="19"/>
  <c r="E4303" i="19"/>
  <c r="E4304" i="19"/>
  <c r="E4305" i="19"/>
  <c r="E4306" i="19"/>
  <c r="E4307" i="19"/>
  <c r="E4308" i="19"/>
  <c r="E4309" i="19"/>
  <c r="E4310" i="19"/>
  <c r="E4311" i="19"/>
  <c r="E4312" i="19"/>
  <c r="E4313" i="19"/>
  <c r="E4314" i="19"/>
  <c r="E4315" i="19"/>
  <c r="E4316" i="19"/>
  <c r="E4317" i="19"/>
  <c r="E4318" i="19"/>
  <c r="E4319" i="19"/>
  <c r="E4320" i="19"/>
  <c r="E4321" i="19"/>
  <c r="E4322" i="19"/>
  <c r="E4323" i="19"/>
  <c r="E4324" i="19"/>
  <c r="E4325" i="19"/>
  <c r="E4326" i="19"/>
  <c r="E4327" i="19"/>
  <c r="E4328" i="19"/>
  <c r="E4329" i="19"/>
  <c r="E4330" i="19"/>
  <c r="E4331" i="19"/>
  <c r="E4332" i="19"/>
  <c r="E4333" i="19"/>
  <c r="E4334" i="19"/>
  <c r="E4335" i="19"/>
  <c r="E4336" i="19"/>
  <c r="E4337" i="19"/>
  <c r="E4338" i="19"/>
  <c r="E4339" i="19"/>
  <c r="E4340" i="19"/>
  <c r="E4341" i="19"/>
  <c r="E4342" i="19"/>
  <c r="E4343" i="19"/>
  <c r="E4344" i="19"/>
  <c r="E4345" i="19"/>
  <c r="E4346" i="19"/>
  <c r="E4347" i="19"/>
  <c r="E4348" i="19"/>
  <c r="E4349" i="19"/>
  <c r="E4350" i="19"/>
  <c r="E4351" i="19"/>
  <c r="E4352" i="19"/>
  <c r="E4353" i="19"/>
  <c r="E4354" i="19"/>
  <c r="E4355" i="19"/>
  <c r="E4356" i="19"/>
  <c r="E4357" i="19"/>
  <c r="E4358" i="19"/>
  <c r="E4359" i="19"/>
  <c r="E4360" i="19"/>
  <c r="E4361" i="19"/>
  <c r="E4362" i="19"/>
  <c r="E4363" i="19"/>
  <c r="E4364" i="19"/>
  <c r="E4365" i="19"/>
  <c r="E4366" i="19"/>
  <c r="E4367" i="19"/>
  <c r="E4368" i="19"/>
  <c r="E4369" i="19"/>
  <c r="E4370" i="19"/>
  <c r="E4371" i="19"/>
  <c r="E4372" i="19"/>
  <c r="E4373" i="19"/>
  <c r="E4374" i="19"/>
  <c r="E4375" i="19"/>
  <c r="E4376" i="19"/>
  <c r="E4377" i="19"/>
  <c r="E4378" i="19"/>
  <c r="E4379" i="19"/>
  <c r="E4380" i="19"/>
  <c r="E4381" i="19"/>
  <c r="E4382" i="19"/>
  <c r="E4383" i="19"/>
  <c r="E4384" i="19"/>
  <c r="E4385" i="19"/>
  <c r="E4386" i="19"/>
  <c r="E4387" i="19"/>
  <c r="E4388" i="19"/>
  <c r="E4389" i="19"/>
  <c r="E4390" i="19"/>
  <c r="E4391" i="19"/>
  <c r="E4392" i="19"/>
  <c r="E4393" i="19"/>
  <c r="E4394" i="19"/>
  <c r="E4395" i="19"/>
  <c r="E4396" i="19"/>
  <c r="E4397" i="19"/>
  <c r="E4398" i="19"/>
  <c r="E4399" i="19"/>
  <c r="E4400" i="19"/>
  <c r="E4401" i="19"/>
  <c r="E4402" i="19"/>
  <c r="E4403" i="19"/>
  <c r="E4404" i="19"/>
  <c r="E4405" i="19"/>
  <c r="E4406" i="19"/>
  <c r="E4407" i="19"/>
  <c r="E4408" i="19"/>
  <c r="E4409" i="19"/>
  <c r="E4410" i="19"/>
  <c r="E4411" i="19"/>
  <c r="E4412" i="19"/>
  <c r="E4413" i="19"/>
  <c r="E4414" i="19"/>
  <c r="E4415" i="19"/>
  <c r="E4416" i="19"/>
  <c r="E4417" i="19"/>
  <c r="E4418" i="19"/>
  <c r="E4419" i="19"/>
  <c r="E4420" i="19"/>
  <c r="E4421" i="19"/>
  <c r="E4422" i="19"/>
  <c r="E4423" i="19"/>
  <c r="E4424" i="19"/>
  <c r="E4425" i="19"/>
  <c r="E4426" i="19"/>
  <c r="E4427" i="19"/>
  <c r="E4428" i="19"/>
  <c r="E4429" i="19"/>
  <c r="E4430" i="19"/>
  <c r="E4431" i="19"/>
  <c r="E4432" i="19"/>
  <c r="E4433" i="19"/>
  <c r="E4434" i="19"/>
  <c r="E4435" i="19"/>
  <c r="E4436" i="19"/>
  <c r="E4437" i="19"/>
  <c r="E4438" i="19"/>
  <c r="E4439" i="19"/>
  <c r="E4440" i="19"/>
  <c r="E4441" i="19"/>
  <c r="E4442" i="19"/>
  <c r="E4443" i="19"/>
  <c r="E4444" i="19"/>
  <c r="E4445" i="19"/>
  <c r="E4446" i="19"/>
  <c r="E4447" i="19"/>
  <c r="E4448" i="19"/>
  <c r="E4449" i="19"/>
  <c r="E4450" i="19"/>
  <c r="E4451" i="19"/>
  <c r="E4452" i="19"/>
  <c r="E4453" i="19"/>
  <c r="E4454" i="19"/>
  <c r="E4455" i="19"/>
  <c r="E4456" i="19"/>
  <c r="E4457" i="19"/>
  <c r="E4458" i="19"/>
  <c r="E4459" i="19"/>
  <c r="E4460" i="19"/>
  <c r="E4461" i="19"/>
  <c r="E4462" i="19"/>
  <c r="E4463" i="19"/>
  <c r="E4464" i="19"/>
  <c r="E4465" i="19"/>
  <c r="E4466" i="19"/>
  <c r="E4467" i="19"/>
  <c r="E4468" i="19"/>
  <c r="E4469" i="19"/>
  <c r="E4470" i="19"/>
  <c r="E4471" i="19"/>
  <c r="E4472" i="19"/>
  <c r="E4473" i="19"/>
  <c r="E4474" i="19"/>
  <c r="E4475" i="19"/>
  <c r="E4476" i="19"/>
  <c r="E4477" i="19"/>
  <c r="E4478" i="19"/>
  <c r="E4479" i="19"/>
  <c r="E4480" i="19"/>
  <c r="E4481" i="19"/>
  <c r="E4482" i="19"/>
  <c r="E4483" i="19"/>
  <c r="E4484" i="19"/>
  <c r="E4485" i="19"/>
  <c r="E4486" i="19"/>
  <c r="E4487" i="19"/>
  <c r="E4488" i="19"/>
  <c r="E4489" i="19"/>
  <c r="E4490" i="19"/>
  <c r="E4491" i="19"/>
  <c r="E4492" i="19"/>
  <c r="E4493" i="19"/>
  <c r="E4494" i="19"/>
  <c r="E4495" i="19"/>
  <c r="E4496" i="19"/>
  <c r="E4497" i="19"/>
  <c r="E4498" i="19"/>
  <c r="E4499" i="19"/>
  <c r="E4500" i="19"/>
  <c r="E4501" i="19"/>
  <c r="E4502" i="19"/>
  <c r="E4503" i="19"/>
  <c r="E4504" i="19"/>
  <c r="E4505" i="19"/>
  <c r="E4506" i="19"/>
  <c r="E4507" i="19"/>
  <c r="E4508" i="19"/>
  <c r="E4509" i="19"/>
  <c r="E4510" i="19"/>
  <c r="E4511" i="19"/>
  <c r="E4512" i="19"/>
  <c r="E4513" i="19"/>
  <c r="E4514" i="19"/>
  <c r="E4515" i="19"/>
  <c r="E4516" i="19"/>
  <c r="E4517" i="19"/>
  <c r="E4518" i="19"/>
  <c r="E4519" i="19"/>
  <c r="E4520" i="19"/>
  <c r="E4521" i="19"/>
  <c r="E4522" i="19"/>
  <c r="E4523" i="19"/>
  <c r="E4524" i="19"/>
  <c r="E4525" i="19"/>
  <c r="E4526" i="19"/>
  <c r="E4527" i="19"/>
  <c r="E4528" i="19"/>
  <c r="E4529" i="19"/>
  <c r="E4530" i="19"/>
  <c r="E4531" i="19"/>
  <c r="E4532" i="19"/>
  <c r="E4533" i="19"/>
  <c r="E4534" i="19"/>
  <c r="E4535" i="19"/>
  <c r="E4536" i="19"/>
  <c r="E4537" i="19"/>
  <c r="E4538" i="19"/>
  <c r="E4539" i="19"/>
  <c r="E4540" i="19"/>
  <c r="E4541" i="19"/>
  <c r="E4542" i="19"/>
  <c r="E4543" i="19"/>
  <c r="E4544" i="19"/>
  <c r="E4545" i="19"/>
  <c r="E4546" i="19"/>
  <c r="E4547" i="19"/>
  <c r="E4548" i="19"/>
  <c r="E4549" i="19"/>
  <c r="E4550" i="19"/>
  <c r="E4551" i="19"/>
  <c r="E4552" i="19"/>
  <c r="E4553" i="19"/>
  <c r="E4554" i="19"/>
  <c r="E4555" i="19"/>
  <c r="E4556" i="19"/>
  <c r="E4557" i="19"/>
  <c r="E4558" i="19"/>
  <c r="E4559" i="19"/>
  <c r="E4560" i="19"/>
  <c r="E4561" i="19"/>
  <c r="E4562" i="19"/>
  <c r="E2" i="19"/>
  <c r="D3" i="19"/>
  <c r="F3" i="19" s="1"/>
  <c r="D4" i="19"/>
  <c r="F4" i="19" s="1"/>
  <c r="D5" i="19"/>
  <c r="F5" i="19" s="1"/>
  <c r="D6" i="19"/>
  <c r="F6" i="19" s="1"/>
  <c r="D7" i="19"/>
  <c r="F7" i="19" s="1"/>
  <c r="D8" i="19"/>
  <c r="F8" i="19" s="1"/>
  <c r="D9" i="19"/>
  <c r="F9" i="19" s="1"/>
  <c r="D10" i="19"/>
  <c r="F10" i="19" s="1"/>
  <c r="D11" i="19"/>
  <c r="F11" i="19" s="1"/>
  <c r="D12" i="19"/>
  <c r="F12" i="19" s="1"/>
  <c r="D13" i="19"/>
  <c r="F13" i="19" s="1"/>
  <c r="D14" i="19"/>
  <c r="F14" i="19" s="1"/>
  <c r="D15" i="19"/>
  <c r="F15" i="19" s="1"/>
  <c r="D16" i="19"/>
  <c r="F16" i="19" s="1"/>
  <c r="D17" i="19"/>
  <c r="F17" i="19" s="1"/>
  <c r="D18" i="19"/>
  <c r="F18" i="19" s="1"/>
  <c r="D19" i="19"/>
  <c r="F19" i="19" s="1"/>
  <c r="D20" i="19"/>
  <c r="F20" i="19" s="1"/>
  <c r="D21" i="19"/>
  <c r="F21" i="19" s="1"/>
  <c r="D22" i="19"/>
  <c r="F22" i="19" s="1"/>
  <c r="D23" i="19"/>
  <c r="F23" i="19" s="1"/>
  <c r="D24" i="19"/>
  <c r="F24" i="19" s="1"/>
  <c r="D25" i="19"/>
  <c r="F25" i="19" s="1"/>
  <c r="D26" i="19"/>
  <c r="F26" i="19" s="1"/>
  <c r="D27" i="19"/>
  <c r="F27" i="19" s="1"/>
  <c r="D28" i="19"/>
  <c r="F28" i="19" s="1"/>
  <c r="D29" i="19"/>
  <c r="F29" i="19" s="1"/>
  <c r="D30" i="19"/>
  <c r="F30" i="19" s="1"/>
  <c r="D31" i="19"/>
  <c r="F31" i="19" s="1"/>
  <c r="D32" i="19"/>
  <c r="F32" i="19" s="1"/>
  <c r="D33" i="19"/>
  <c r="F33" i="19" s="1"/>
  <c r="D34" i="19"/>
  <c r="F34" i="19" s="1"/>
  <c r="D35" i="19"/>
  <c r="F35" i="19" s="1"/>
  <c r="D36" i="19"/>
  <c r="F36" i="19" s="1"/>
  <c r="D37" i="19"/>
  <c r="F37" i="19" s="1"/>
  <c r="D38" i="19"/>
  <c r="F38" i="19" s="1"/>
  <c r="D39" i="19"/>
  <c r="F39" i="19" s="1"/>
  <c r="D40" i="19"/>
  <c r="F40" i="19" s="1"/>
  <c r="D41" i="19"/>
  <c r="F41" i="19" s="1"/>
  <c r="D42" i="19"/>
  <c r="F42" i="19" s="1"/>
  <c r="D43" i="19"/>
  <c r="F43" i="19" s="1"/>
  <c r="D44" i="19"/>
  <c r="F44" i="19" s="1"/>
  <c r="D45" i="19"/>
  <c r="F45" i="19" s="1"/>
  <c r="D46" i="19"/>
  <c r="F46" i="19" s="1"/>
  <c r="D47" i="19"/>
  <c r="F47" i="19" s="1"/>
  <c r="D48" i="19"/>
  <c r="F48" i="19" s="1"/>
  <c r="D49" i="19"/>
  <c r="F49" i="19" s="1"/>
  <c r="D50" i="19"/>
  <c r="F50" i="19" s="1"/>
  <c r="D51" i="19"/>
  <c r="F51" i="19" s="1"/>
  <c r="D52" i="19"/>
  <c r="F52" i="19" s="1"/>
  <c r="D53" i="19"/>
  <c r="F53" i="19" s="1"/>
  <c r="D54" i="19"/>
  <c r="F54" i="19" s="1"/>
  <c r="D55" i="19"/>
  <c r="F55" i="19" s="1"/>
  <c r="D56" i="19"/>
  <c r="F56" i="19" s="1"/>
  <c r="D57" i="19"/>
  <c r="F57" i="19" s="1"/>
  <c r="D58" i="19"/>
  <c r="F58" i="19" s="1"/>
  <c r="D59" i="19"/>
  <c r="F59" i="19" s="1"/>
  <c r="D60" i="19"/>
  <c r="F60" i="19" s="1"/>
  <c r="D61" i="19"/>
  <c r="F61" i="19" s="1"/>
  <c r="D62" i="19"/>
  <c r="F62" i="19" s="1"/>
  <c r="D63" i="19"/>
  <c r="F63" i="19" s="1"/>
  <c r="D64" i="19"/>
  <c r="F64" i="19" s="1"/>
  <c r="D65" i="19"/>
  <c r="F65" i="19" s="1"/>
  <c r="D66" i="19"/>
  <c r="F66" i="19" s="1"/>
  <c r="D67" i="19"/>
  <c r="F67" i="19" s="1"/>
  <c r="D68" i="19"/>
  <c r="F68" i="19" s="1"/>
  <c r="D69" i="19"/>
  <c r="F69" i="19" s="1"/>
  <c r="D70" i="19"/>
  <c r="F70" i="19" s="1"/>
  <c r="D71" i="19"/>
  <c r="F71" i="19" s="1"/>
  <c r="D72" i="19"/>
  <c r="F72" i="19" s="1"/>
  <c r="D73" i="19"/>
  <c r="F73" i="19" s="1"/>
  <c r="D74" i="19"/>
  <c r="F74" i="19" s="1"/>
  <c r="D75" i="19"/>
  <c r="F75" i="19" s="1"/>
  <c r="D76" i="19"/>
  <c r="F76" i="19" s="1"/>
  <c r="D77" i="19"/>
  <c r="F77" i="19" s="1"/>
  <c r="D78" i="19"/>
  <c r="F78" i="19" s="1"/>
  <c r="D79" i="19"/>
  <c r="F79" i="19" s="1"/>
  <c r="D80" i="19"/>
  <c r="F80" i="19" s="1"/>
  <c r="D81" i="19"/>
  <c r="F81" i="19" s="1"/>
  <c r="D82" i="19"/>
  <c r="F82" i="19" s="1"/>
  <c r="D83" i="19"/>
  <c r="F83" i="19" s="1"/>
  <c r="D84" i="19"/>
  <c r="F84" i="19" s="1"/>
  <c r="D85" i="19"/>
  <c r="F85" i="19" s="1"/>
  <c r="D86" i="19"/>
  <c r="F86" i="19" s="1"/>
  <c r="D87" i="19"/>
  <c r="F87" i="19" s="1"/>
  <c r="D88" i="19"/>
  <c r="F88" i="19" s="1"/>
  <c r="D89" i="19"/>
  <c r="F89" i="19" s="1"/>
  <c r="D90" i="19"/>
  <c r="F90" i="19" s="1"/>
  <c r="D91" i="19"/>
  <c r="F91" i="19" s="1"/>
  <c r="D92" i="19"/>
  <c r="F92" i="19" s="1"/>
  <c r="D93" i="19"/>
  <c r="F93" i="19" s="1"/>
  <c r="D94" i="19"/>
  <c r="F94" i="19" s="1"/>
  <c r="D95" i="19"/>
  <c r="F95" i="19" s="1"/>
  <c r="D96" i="19"/>
  <c r="F96" i="19" s="1"/>
  <c r="D97" i="19"/>
  <c r="F97" i="19" s="1"/>
  <c r="D98" i="19"/>
  <c r="F98" i="19" s="1"/>
  <c r="D99" i="19"/>
  <c r="F99" i="19" s="1"/>
  <c r="D100" i="19"/>
  <c r="F100" i="19" s="1"/>
  <c r="D101" i="19"/>
  <c r="F101" i="19" s="1"/>
  <c r="D102" i="19"/>
  <c r="F102" i="19" s="1"/>
  <c r="D103" i="19"/>
  <c r="F103" i="19" s="1"/>
  <c r="D104" i="19"/>
  <c r="F104" i="19" s="1"/>
  <c r="D105" i="19"/>
  <c r="F105" i="19" s="1"/>
  <c r="D106" i="19"/>
  <c r="F106" i="19" s="1"/>
  <c r="D107" i="19"/>
  <c r="F107" i="19" s="1"/>
  <c r="D108" i="19"/>
  <c r="F108" i="19" s="1"/>
  <c r="D109" i="19"/>
  <c r="F109" i="19" s="1"/>
  <c r="D110" i="19"/>
  <c r="F110" i="19" s="1"/>
  <c r="D111" i="19"/>
  <c r="F111" i="19" s="1"/>
  <c r="D112" i="19"/>
  <c r="F112" i="19" s="1"/>
  <c r="D113" i="19"/>
  <c r="F113" i="19" s="1"/>
  <c r="D114" i="19"/>
  <c r="F114" i="19" s="1"/>
  <c r="D115" i="19"/>
  <c r="F115" i="19" s="1"/>
  <c r="D116" i="19"/>
  <c r="F116" i="19" s="1"/>
  <c r="D117" i="19"/>
  <c r="F117" i="19" s="1"/>
  <c r="D118" i="19"/>
  <c r="F118" i="19" s="1"/>
  <c r="D119" i="19"/>
  <c r="F119" i="19" s="1"/>
  <c r="D120" i="19"/>
  <c r="F120" i="19" s="1"/>
  <c r="D121" i="19"/>
  <c r="F121" i="19" s="1"/>
  <c r="D122" i="19"/>
  <c r="F122" i="19" s="1"/>
  <c r="D123" i="19"/>
  <c r="F123" i="19" s="1"/>
  <c r="D124" i="19"/>
  <c r="F124" i="19" s="1"/>
  <c r="D125" i="19"/>
  <c r="F125" i="19" s="1"/>
  <c r="D126" i="19"/>
  <c r="F126" i="19" s="1"/>
  <c r="D127" i="19"/>
  <c r="F127" i="19" s="1"/>
  <c r="D128" i="19"/>
  <c r="F128" i="19" s="1"/>
  <c r="D129" i="19"/>
  <c r="F129" i="19" s="1"/>
  <c r="D130" i="19"/>
  <c r="F130" i="19" s="1"/>
  <c r="D131" i="19"/>
  <c r="F131" i="19" s="1"/>
  <c r="D132" i="19"/>
  <c r="F132" i="19" s="1"/>
  <c r="D133" i="19"/>
  <c r="F133" i="19" s="1"/>
  <c r="D134" i="19"/>
  <c r="F134" i="19" s="1"/>
  <c r="D135" i="19"/>
  <c r="F135" i="19" s="1"/>
  <c r="D136" i="19"/>
  <c r="F136" i="19" s="1"/>
  <c r="D137" i="19"/>
  <c r="F137" i="19" s="1"/>
  <c r="D138" i="19"/>
  <c r="F138" i="19" s="1"/>
  <c r="D139" i="19"/>
  <c r="F139" i="19" s="1"/>
  <c r="D140" i="19"/>
  <c r="F140" i="19" s="1"/>
  <c r="D141" i="19"/>
  <c r="F141" i="19" s="1"/>
  <c r="D142" i="19"/>
  <c r="F142" i="19" s="1"/>
  <c r="D143" i="19"/>
  <c r="F143" i="19" s="1"/>
  <c r="D144" i="19"/>
  <c r="F144" i="19" s="1"/>
  <c r="D145" i="19"/>
  <c r="F145" i="19" s="1"/>
  <c r="D146" i="19"/>
  <c r="F146" i="19" s="1"/>
  <c r="D147" i="19"/>
  <c r="F147" i="19" s="1"/>
  <c r="D148" i="19"/>
  <c r="F148" i="19" s="1"/>
  <c r="D149" i="19"/>
  <c r="F149" i="19" s="1"/>
  <c r="D150" i="19"/>
  <c r="F150" i="19" s="1"/>
  <c r="D151" i="19"/>
  <c r="F151" i="19" s="1"/>
  <c r="D152" i="19"/>
  <c r="F152" i="19" s="1"/>
  <c r="D153" i="19"/>
  <c r="F153" i="19" s="1"/>
  <c r="D154" i="19"/>
  <c r="F154" i="19" s="1"/>
  <c r="D155" i="19"/>
  <c r="F155" i="19" s="1"/>
  <c r="D156" i="19"/>
  <c r="F156" i="19" s="1"/>
  <c r="D157" i="19"/>
  <c r="F157" i="19" s="1"/>
  <c r="D158" i="19"/>
  <c r="F158" i="19" s="1"/>
  <c r="D159" i="19"/>
  <c r="F159" i="19" s="1"/>
  <c r="D160" i="19"/>
  <c r="F160" i="19" s="1"/>
  <c r="D161" i="19"/>
  <c r="F161" i="19" s="1"/>
  <c r="D162" i="19"/>
  <c r="F162" i="19" s="1"/>
  <c r="D163" i="19"/>
  <c r="F163" i="19" s="1"/>
  <c r="D164" i="19"/>
  <c r="F164" i="19" s="1"/>
  <c r="D165" i="19"/>
  <c r="F165" i="19" s="1"/>
  <c r="D166" i="19"/>
  <c r="F166" i="19" s="1"/>
  <c r="D167" i="19"/>
  <c r="F167" i="19" s="1"/>
  <c r="D168" i="19"/>
  <c r="F168" i="19" s="1"/>
  <c r="D169" i="19"/>
  <c r="F169" i="19" s="1"/>
  <c r="D170" i="19"/>
  <c r="F170" i="19" s="1"/>
  <c r="D171" i="19"/>
  <c r="F171" i="19" s="1"/>
  <c r="D172" i="19"/>
  <c r="F172" i="19" s="1"/>
  <c r="D173" i="19"/>
  <c r="F173" i="19" s="1"/>
  <c r="D174" i="19"/>
  <c r="F174" i="19" s="1"/>
  <c r="D175" i="19"/>
  <c r="F175" i="19" s="1"/>
  <c r="D176" i="19"/>
  <c r="F176" i="19" s="1"/>
  <c r="D177" i="19"/>
  <c r="F177" i="19" s="1"/>
  <c r="D178" i="19"/>
  <c r="F178" i="19" s="1"/>
  <c r="D179" i="19"/>
  <c r="F179" i="19" s="1"/>
  <c r="D180" i="19"/>
  <c r="F180" i="19" s="1"/>
  <c r="D181" i="19"/>
  <c r="F181" i="19" s="1"/>
  <c r="D182" i="19"/>
  <c r="F182" i="19" s="1"/>
  <c r="D183" i="19"/>
  <c r="F183" i="19" s="1"/>
  <c r="D184" i="19"/>
  <c r="F184" i="19" s="1"/>
  <c r="D185" i="19"/>
  <c r="F185" i="19" s="1"/>
  <c r="D186" i="19"/>
  <c r="F186" i="19" s="1"/>
  <c r="D187" i="19"/>
  <c r="F187" i="19" s="1"/>
  <c r="D188" i="19"/>
  <c r="F188" i="19" s="1"/>
  <c r="D189" i="19"/>
  <c r="F189" i="19" s="1"/>
  <c r="D190" i="19"/>
  <c r="F190" i="19" s="1"/>
  <c r="D191" i="19"/>
  <c r="F191" i="19" s="1"/>
  <c r="D192" i="19"/>
  <c r="F192" i="19" s="1"/>
  <c r="D193" i="19"/>
  <c r="F193" i="19" s="1"/>
  <c r="D194" i="19"/>
  <c r="F194" i="19" s="1"/>
  <c r="D195" i="19"/>
  <c r="F195" i="19" s="1"/>
  <c r="D196" i="19"/>
  <c r="F196" i="19" s="1"/>
  <c r="D197" i="19"/>
  <c r="F197" i="19" s="1"/>
  <c r="D198" i="19"/>
  <c r="F198" i="19" s="1"/>
  <c r="D199" i="19"/>
  <c r="F199" i="19" s="1"/>
  <c r="D200" i="19"/>
  <c r="F200" i="19" s="1"/>
  <c r="D201" i="19"/>
  <c r="F201" i="19" s="1"/>
  <c r="D202" i="19"/>
  <c r="F202" i="19" s="1"/>
  <c r="D203" i="19"/>
  <c r="F203" i="19" s="1"/>
  <c r="D204" i="19"/>
  <c r="F204" i="19" s="1"/>
  <c r="D205" i="19"/>
  <c r="F205" i="19" s="1"/>
  <c r="D206" i="19"/>
  <c r="F206" i="19" s="1"/>
  <c r="D207" i="19"/>
  <c r="F207" i="19" s="1"/>
  <c r="D208" i="19"/>
  <c r="F208" i="19" s="1"/>
  <c r="D209" i="19"/>
  <c r="F209" i="19" s="1"/>
  <c r="D210" i="19"/>
  <c r="F210" i="19" s="1"/>
  <c r="D211" i="19"/>
  <c r="F211" i="19" s="1"/>
  <c r="D212" i="19"/>
  <c r="F212" i="19" s="1"/>
  <c r="D213" i="19"/>
  <c r="F213" i="19" s="1"/>
  <c r="D214" i="19"/>
  <c r="F214" i="19" s="1"/>
  <c r="D215" i="19"/>
  <c r="F215" i="19" s="1"/>
  <c r="D216" i="19"/>
  <c r="F216" i="19" s="1"/>
  <c r="D217" i="19"/>
  <c r="F217" i="19" s="1"/>
  <c r="D218" i="19"/>
  <c r="F218" i="19" s="1"/>
  <c r="D219" i="19"/>
  <c r="F219" i="19" s="1"/>
  <c r="D220" i="19"/>
  <c r="F220" i="19" s="1"/>
  <c r="D221" i="19"/>
  <c r="F221" i="19" s="1"/>
  <c r="D222" i="19"/>
  <c r="F222" i="19" s="1"/>
  <c r="D223" i="19"/>
  <c r="F223" i="19" s="1"/>
  <c r="D224" i="19"/>
  <c r="F224" i="19" s="1"/>
  <c r="D225" i="19"/>
  <c r="F225" i="19" s="1"/>
  <c r="D226" i="19"/>
  <c r="F226" i="19" s="1"/>
  <c r="D227" i="19"/>
  <c r="F227" i="19" s="1"/>
  <c r="D228" i="19"/>
  <c r="F228" i="19" s="1"/>
  <c r="D229" i="19"/>
  <c r="F229" i="19" s="1"/>
  <c r="D230" i="19"/>
  <c r="F230" i="19" s="1"/>
  <c r="D231" i="19"/>
  <c r="F231" i="19" s="1"/>
  <c r="D232" i="19"/>
  <c r="F232" i="19" s="1"/>
  <c r="D233" i="19"/>
  <c r="F233" i="19" s="1"/>
  <c r="D234" i="19"/>
  <c r="F234" i="19" s="1"/>
  <c r="D235" i="19"/>
  <c r="F235" i="19" s="1"/>
  <c r="D236" i="19"/>
  <c r="F236" i="19" s="1"/>
  <c r="D237" i="19"/>
  <c r="F237" i="19" s="1"/>
  <c r="D238" i="19"/>
  <c r="F238" i="19" s="1"/>
  <c r="D239" i="19"/>
  <c r="F239" i="19" s="1"/>
  <c r="D240" i="19"/>
  <c r="F240" i="19" s="1"/>
  <c r="D241" i="19"/>
  <c r="F241" i="19" s="1"/>
  <c r="D242" i="19"/>
  <c r="F242" i="19" s="1"/>
  <c r="D243" i="19"/>
  <c r="F243" i="19" s="1"/>
  <c r="D244" i="19"/>
  <c r="F244" i="19" s="1"/>
  <c r="D245" i="19"/>
  <c r="F245" i="19" s="1"/>
  <c r="D246" i="19"/>
  <c r="F246" i="19" s="1"/>
  <c r="D247" i="19"/>
  <c r="F247" i="19" s="1"/>
  <c r="D248" i="19"/>
  <c r="F248" i="19" s="1"/>
  <c r="D249" i="19"/>
  <c r="F249" i="19" s="1"/>
  <c r="D250" i="19"/>
  <c r="F250" i="19" s="1"/>
  <c r="D251" i="19"/>
  <c r="F251" i="19" s="1"/>
  <c r="D252" i="19"/>
  <c r="F252" i="19" s="1"/>
  <c r="D253" i="19"/>
  <c r="F253" i="19" s="1"/>
  <c r="D254" i="19"/>
  <c r="F254" i="19" s="1"/>
  <c r="D255" i="19"/>
  <c r="F255" i="19" s="1"/>
  <c r="D256" i="19"/>
  <c r="F256" i="19" s="1"/>
  <c r="D257" i="19"/>
  <c r="F257" i="19" s="1"/>
  <c r="D258" i="19"/>
  <c r="F258" i="19" s="1"/>
  <c r="D259" i="19"/>
  <c r="F259" i="19" s="1"/>
  <c r="D260" i="19"/>
  <c r="F260" i="19" s="1"/>
  <c r="D261" i="19"/>
  <c r="F261" i="19" s="1"/>
  <c r="D262" i="19"/>
  <c r="F262" i="19" s="1"/>
  <c r="D263" i="19"/>
  <c r="F263" i="19" s="1"/>
  <c r="D264" i="19"/>
  <c r="F264" i="19" s="1"/>
  <c r="D265" i="19"/>
  <c r="F265" i="19" s="1"/>
  <c r="D266" i="19"/>
  <c r="F266" i="19" s="1"/>
  <c r="D267" i="19"/>
  <c r="F267" i="19" s="1"/>
  <c r="D268" i="19"/>
  <c r="F268" i="19" s="1"/>
  <c r="D269" i="19"/>
  <c r="F269" i="19" s="1"/>
  <c r="D270" i="19"/>
  <c r="F270" i="19" s="1"/>
  <c r="D271" i="19"/>
  <c r="F271" i="19" s="1"/>
  <c r="D272" i="19"/>
  <c r="F272" i="19" s="1"/>
  <c r="D273" i="19"/>
  <c r="F273" i="19" s="1"/>
  <c r="D274" i="19"/>
  <c r="F274" i="19" s="1"/>
  <c r="D275" i="19"/>
  <c r="F275" i="19" s="1"/>
  <c r="D276" i="19"/>
  <c r="F276" i="19" s="1"/>
  <c r="D277" i="19"/>
  <c r="F277" i="19" s="1"/>
  <c r="D278" i="19"/>
  <c r="F278" i="19" s="1"/>
  <c r="D279" i="19"/>
  <c r="F279" i="19" s="1"/>
  <c r="D280" i="19"/>
  <c r="F280" i="19" s="1"/>
  <c r="D281" i="19"/>
  <c r="F281" i="19" s="1"/>
  <c r="D282" i="19"/>
  <c r="F282" i="19" s="1"/>
  <c r="D283" i="19"/>
  <c r="F283" i="19" s="1"/>
  <c r="D284" i="19"/>
  <c r="F284" i="19" s="1"/>
  <c r="D285" i="19"/>
  <c r="F285" i="19" s="1"/>
  <c r="D286" i="19"/>
  <c r="F286" i="19" s="1"/>
  <c r="D287" i="19"/>
  <c r="F287" i="19" s="1"/>
  <c r="D288" i="19"/>
  <c r="F288" i="19" s="1"/>
  <c r="D289" i="19"/>
  <c r="F289" i="19" s="1"/>
  <c r="D290" i="19"/>
  <c r="F290" i="19" s="1"/>
  <c r="D291" i="19"/>
  <c r="F291" i="19" s="1"/>
  <c r="D292" i="19"/>
  <c r="F292" i="19" s="1"/>
  <c r="D293" i="19"/>
  <c r="F293" i="19" s="1"/>
  <c r="D294" i="19"/>
  <c r="F294" i="19" s="1"/>
  <c r="D295" i="19"/>
  <c r="F295" i="19" s="1"/>
  <c r="D296" i="19"/>
  <c r="F296" i="19" s="1"/>
  <c r="D297" i="19"/>
  <c r="F297" i="19" s="1"/>
  <c r="D298" i="19"/>
  <c r="F298" i="19" s="1"/>
  <c r="D299" i="19"/>
  <c r="F299" i="19" s="1"/>
  <c r="D300" i="19"/>
  <c r="F300" i="19" s="1"/>
  <c r="D301" i="19"/>
  <c r="F301" i="19" s="1"/>
  <c r="D302" i="19"/>
  <c r="F302" i="19" s="1"/>
  <c r="D303" i="19"/>
  <c r="F303" i="19" s="1"/>
  <c r="D304" i="19"/>
  <c r="F304" i="19" s="1"/>
  <c r="D305" i="19"/>
  <c r="F305" i="19" s="1"/>
  <c r="D306" i="19"/>
  <c r="F306" i="19" s="1"/>
  <c r="D307" i="19"/>
  <c r="F307" i="19" s="1"/>
  <c r="D308" i="19"/>
  <c r="F308" i="19" s="1"/>
  <c r="D309" i="19"/>
  <c r="F309" i="19" s="1"/>
  <c r="D310" i="19"/>
  <c r="F310" i="19" s="1"/>
  <c r="D311" i="19"/>
  <c r="F311" i="19" s="1"/>
  <c r="D312" i="19"/>
  <c r="F312" i="19" s="1"/>
  <c r="D313" i="19"/>
  <c r="F313" i="19" s="1"/>
  <c r="D314" i="19"/>
  <c r="F314" i="19" s="1"/>
  <c r="D315" i="19"/>
  <c r="F315" i="19" s="1"/>
  <c r="D316" i="19"/>
  <c r="F316" i="19" s="1"/>
  <c r="D317" i="19"/>
  <c r="F317" i="19" s="1"/>
  <c r="D318" i="19"/>
  <c r="F318" i="19" s="1"/>
  <c r="D319" i="19"/>
  <c r="F319" i="19" s="1"/>
  <c r="D320" i="19"/>
  <c r="F320" i="19" s="1"/>
  <c r="D321" i="19"/>
  <c r="F321" i="19" s="1"/>
  <c r="D322" i="19"/>
  <c r="F322" i="19" s="1"/>
  <c r="D323" i="19"/>
  <c r="F323" i="19" s="1"/>
  <c r="D324" i="19"/>
  <c r="F324" i="19" s="1"/>
  <c r="D325" i="19"/>
  <c r="F325" i="19" s="1"/>
  <c r="D326" i="19"/>
  <c r="F326" i="19" s="1"/>
  <c r="D327" i="19"/>
  <c r="F327" i="19" s="1"/>
  <c r="D328" i="19"/>
  <c r="F328" i="19" s="1"/>
  <c r="D329" i="19"/>
  <c r="F329" i="19" s="1"/>
  <c r="D330" i="19"/>
  <c r="F330" i="19" s="1"/>
  <c r="D331" i="19"/>
  <c r="F331" i="19" s="1"/>
  <c r="D332" i="19"/>
  <c r="F332" i="19" s="1"/>
  <c r="D333" i="19"/>
  <c r="F333" i="19" s="1"/>
  <c r="D334" i="19"/>
  <c r="F334" i="19" s="1"/>
  <c r="D335" i="19"/>
  <c r="F335" i="19" s="1"/>
  <c r="D336" i="19"/>
  <c r="F336" i="19" s="1"/>
  <c r="D337" i="19"/>
  <c r="F337" i="19" s="1"/>
  <c r="D338" i="19"/>
  <c r="F338" i="19" s="1"/>
  <c r="D339" i="19"/>
  <c r="F339" i="19" s="1"/>
  <c r="D340" i="19"/>
  <c r="F340" i="19" s="1"/>
  <c r="D341" i="19"/>
  <c r="F341" i="19" s="1"/>
  <c r="D342" i="19"/>
  <c r="F342" i="19" s="1"/>
  <c r="D343" i="19"/>
  <c r="F343" i="19" s="1"/>
  <c r="D344" i="19"/>
  <c r="F344" i="19" s="1"/>
  <c r="D345" i="19"/>
  <c r="F345" i="19" s="1"/>
  <c r="D346" i="19"/>
  <c r="F346" i="19" s="1"/>
  <c r="D347" i="19"/>
  <c r="F347" i="19" s="1"/>
  <c r="D348" i="19"/>
  <c r="F348" i="19" s="1"/>
  <c r="D349" i="19"/>
  <c r="F349" i="19" s="1"/>
  <c r="D350" i="19"/>
  <c r="F350" i="19" s="1"/>
  <c r="D351" i="19"/>
  <c r="F351" i="19" s="1"/>
  <c r="D352" i="19"/>
  <c r="F352" i="19" s="1"/>
  <c r="D353" i="19"/>
  <c r="F353" i="19" s="1"/>
  <c r="D354" i="19"/>
  <c r="F354" i="19" s="1"/>
  <c r="D355" i="19"/>
  <c r="F355" i="19" s="1"/>
  <c r="D356" i="19"/>
  <c r="F356" i="19" s="1"/>
  <c r="D357" i="19"/>
  <c r="F357" i="19" s="1"/>
  <c r="D358" i="19"/>
  <c r="F358" i="19" s="1"/>
  <c r="D359" i="19"/>
  <c r="F359" i="19" s="1"/>
  <c r="D360" i="19"/>
  <c r="F360" i="19" s="1"/>
  <c r="D361" i="19"/>
  <c r="F361" i="19" s="1"/>
  <c r="D362" i="19"/>
  <c r="F362" i="19" s="1"/>
  <c r="D363" i="19"/>
  <c r="F363" i="19" s="1"/>
  <c r="D364" i="19"/>
  <c r="F364" i="19" s="1"/>
  <c r="D365" i="19"/>
  <c r="F365" i="19" s="1"/>
  <c r="D366" i="19"/>
  <c r="F366" i="19" s="1"/>
  <c r="D367" i="19"/>
  <c r="F367" i="19" s="1"/>
  <c r="D368" i="19"/>
  <c r="F368" i="19" s="1"/>
  <c r="D369" i="19"/>
  <c r="F369" i="19" s="1"/>
  <c r="D370" i="19"/>
  <c r="F370" i="19" s="1"/>
  <c r="D371" i="19"/>
  <c r="F371" i="19" s="1"/>
  <c r="D372" i="19"/>
  <c r="F372" i="19" s="1"/>
  <c r="D373" i="19"/>
  <c r="F373" i="19" s="1"/>
  <c r="D374" i="19"/>
  <c r="F374" i="19" s="1"/>
  <c r="D375" i="19"/>
  <c r="F375" i="19" s="1"/>
  <c r="D376" i="19"/>
  <c r="F376" i="19" s="1"/>
  <c r="D377" i="19"/>
  <c r="F377" i="19" s="1"/>
  <c r="D378" i="19"/>
  <c r="F378" i="19" s="1"/>
  <c r="D379" i="19"/>
  <c r="F379" i="19" s="1"/>
  <c r="D380" i="19"/>
  <c r="F380" i="19" s="1"/>
  <c r="D381" i="19"/>
  <c r="F381" i="19" s="1"/>
  <c r="D382" i="19"/>
  <c r="F382" i="19" s="1"/>
  <c r="D383" i="19"/>
  <c r="F383" i="19" s="1"/>
  <c r="D384" i="19"/>
  <c r="F384" i="19" s="1"/>
  <c r="D385" i="19"/>
  <c r="F385" i="19" s="1"/>
  <c r="D386" i="19"/>
  <c r="F386" i="19" s="1"/>
  <c r="D387" i="19"/>
  <c r="F387" i="19" s="1"/>
  <c r="D388" i="19"/>
  <c r="F388" i="19" s="1"/>
  <c r="D389" i="19"/>
  <c r="F389" i="19" s="1"/>
  <c r="D390" i="19"/>
  <c r="F390" i="19" s="1"/>
  <c r="D391" i="19"/>
  <c r="F391" i="19" s="1"/>
  <c r="D392" i="19"/>
  <c r="F392" i="19" s="1"/>
  <c r="D393" i="19"/>
  <c r="F393" i="19" s="1"/>
  <c r="D394" i="19"/>
  <c r="F394" i="19" s="1"/>
  <c r="D395" i="19"/>
  <c r="F395" i="19" s="1"/>
  <c r="D396" i="19"/>
  <c r="F396" i="19" s="1"/>
  <c r="D397" i="19"/>
  <c r="F397" i="19" s="1"/>
  <c r="D398" i="19"/>
  <c r="F398" i="19" s="1"/>
  <c r="D399" i="19"/>
  <c r="F399" i="19" s="1"/>
  <c r="D400" i="19"/>
  <c r="F400" i="19" s="1"/>
  <c r="D401" i="19"/>
  <c r="F401" i="19" s="1"/>
  <c r="D402" i="19"/>
  <c r="F402" i="19" s="1"/>
  <c r="D403" i="19"/>
  <c r="F403" i="19" s="1"/>
  <c r="D404" i="19"/>
  <c r="F404" i="19" s="1"/>
  <c r="D405" i="19"/>
  <c r="F405" i="19" s="1"/>
  <c r="D406" i="19"/>
  <c r="F406" i="19" s="1"/>
  <c r="D407" i="19"/>
  <c r="F407" i="19" s="1"/>
  <c r="D408" i="19"/>
  <c r="F408" i="19" s="1"/>
  <c r="D409" i="19"/>
  <c r="F409" i="19" s="1"/>
  <c r="D410" i="19"/>
  <c r="F410" i="19" s="1"/>
  <c r="D411" i="19"/>
  <c r="F411" i="19" s="1"/>
  <c r="D412" i="19"/>
  <c r="F412" i="19" s="1"/>
  <c r="D413" i="19"/>
  <c r="F413" i="19" s="1"/>
  <c r="D414" i="19"/>
  <c r="F414" i="19" s="1"/>
  <c r="D415" i="19"/>
  <c r="F415" i="19" s="1"/>
  <c r="D416" i="19"/>
  <c r="F416" i="19" s="1"/>
  <c r="D417" i="19"/>
  <c r="F417" i="19" s="1"/>
  <c r="D418" i="19"/>
  <c r="F418" i="19" s="1"/>
  <c r="D419" i="19"/>
  <c r="F419" i="19" s="1"/>
  <c r="D420" i="19"/>
  <c r="F420" i="19" s="1"/>
  <c r="D421" i="19"/>
  <c r="F421" i="19" s="1"/>
  <c r="D422" i="19"/>
  <c r="F422" i="19" s="1"/>
  <c r="D423" i="19"/>
  <c r="F423" i="19" s="1"/>
  <c r="D424" i="19"/>
  <c r="F424" i="19" s="1"/>
  <c r="D425" i="19"/>
  <c r="F425" i="19" s="1"/>
  <c r="D426" i="19"/>
  <c r="F426" i="19" s="1"/>
  <c r="D427" i="19"/>
  <c r="F427" i="19" s="1"/>
  <c r="D428" i="19"/>
  <c r="F428" i="19" s="1"/>
  <c r="D429" i="19"/>
  <c r="F429" i="19" s="1"/>
  <c r="D430" i="19"/>
  <c r="F430" i="19" s="1"/>
  <c r="D431" i="19"/>
  <c r="F431" i="19" s="1"/>
  <c r="D432" i="19"/>
  <c r="F432" i="19" s="1"/>
  <c r="D433" i="19"/>
  <c r="F433" i="19" s="1"/>
  <c r="D434" i="19"/>
  <c r="F434" i="19" s="1"/>
  <c r="D435" i="19"/>
  <c r="F435" i="19" s="1"/>
  <c r="D436" i="19"/>
  <c r="F436" i="19" s="1"/>
  <c r="D437" i="19"/>
  <c r="F437" i="19" s="1"/>
  <c r="D438" i="19"/>
  <c r="F438" i="19" s="1"/>
  <c r="D439" i="19"/>
  <c r="F439" i="19" s="1"/>
  <c r="D440" i="19"/>
  <c r="F440" i="19" s="1"/>
  <c r="D441" i="19"/>
  <c r="F441" i="19" s="1"/>
  <c r="D442" i="19"/>
  <c r="F442" i="19" s="1"/>
  <c r="D443" i="19"/>
  <c r="F443" i="19" s="1"/>
  <c r="D444" i="19"/>
  <c r="F444" i="19" s="1"/>
  <c r="D445" i="19"/>
  <c r="F445" i="19" s="1"/>
  <c r="D446" i="19"/>
  <c r="F446" i="19" s="1"/>
  <c r="D447" i="19"/>
  <c r="F447" i="19" s="1"/>
  <c r="D448" i="19"/>
  <c r="F448" i="19" s="1"/>
  <c r="D449" i="19"/>
  <c r="F449" i="19" s="1"/>
  <c r="D450" i="19"/>
  <c r="F450" i="19" s="1"/>
  <c r="D451" i="19"/>
  <c r="F451" i="19" s="1"/>
  <c r="D452" i="19"/>
  <c r="F452" i="19" s="1"/>
  <c r="D453" i="19"/>
  <c r="F453" i="19" s="1"/>
  <c r="D454" i="19"/>
  <c r="F454" i="19" s="1"/>
  <c r="D455" i="19"/>
  <c r="F455" i="19" s="1"/>
  <c r="D456" i="19"/>
  <c r="F456" i="19" s="1"/>
  <c r="D457" i="19"/>
  <c r="F457" i="19" s="1"/>
  <c r="D458" i="19"/>
  <c r="F458" i="19" s="1"/>
  <c r="D459" i="19"/>
  <c r="F459" i="19" s="1"/>
  <c r="D460" i="19"/>
  <c r="F460" i="19" s="1"/>
  <c r="D461" i="19"/>
  <c r="F461" i="19" s="1"/>
  <c r="D462" i="19"/>
  <c r="F462" i="19" s="1"/>
  <c r="D463" i="19"/>
  <c r="F463" i="19" s="1"/>
  <c r="D464" i="19"/>
  <c r="F464" i="19" s="1"/>
  <c r="D465" i="19"/>
  <c r="F465" i="19" s="1"/>
  <c r="D466" i="19"/>
  <c r="F466" i="19" s="1"/>
  <c r="D467" i="19"/>
  <c r="F467" i="19" s="1"/>
  <c r="D468" i="19"/>
  <c r="F468" i="19" s="1"/>
  <c r="D469" i="19"/>
  <c r="F469" i="19" s="1"/>
  <c r="D470" i="19"/>
  <c r="F470" i="19" s="1"/>
  <c r="D471" i="19"/>
  <c r="F471" i="19" s="1"/>
  <c r="D472" i="19"/>
  <c r="F472" i="19" s="1"/>
  <c r="D473" i="19"/>
  <c r="F473" i="19" s="1"/>
  <c r="D474" i="19"/>
  <c r="F474" i="19" s="1"/>
  <c r="D475" i="19"/>
  <c r="F475" i="19" s="1"/>
  <c r="D476" i="19"/>
  <c r="F476" i="19" s="1"/>
  <c r="D477" i="19"/>
  <c r="F477" i="19" s="1"/>
  <c r="D478" i="19"/>
  <c r="F478" i="19" s="1"/>
  <c r="D479" i="19"/>
  <c r="F479" i="19" s="1"/>
  <c r="D480" i="19"/>
  <c r="F480" i="19" s="1"/>
  <c r="D481" i="19"/>
  <c r="F481" i="19" s="1"/>
  <c r="D482" i="19"/>
  <c r="F482" i="19" s="1"/>
  <c r="D483" i="19"/>
  <c r="F483" i="19" s="1"/>
  <c r="D484" i="19"/>
  <c r="F484" i="19" s="1"/>
  <c r="D485" i="19"/>
  <c r="F485" i="19" s="1"/>
  <c r="D486" i="19"/>
  <c r="F486" i="19" s="1"/>
  <c r="D487" i="19"/>
  <c r="F487" i="19" s="1"/>
  <c r="D488" i="19"/>
  <c r="F488" i="19" s="1"/>
  <c r="D489" i="19"/>
  <c r="F489" i="19" s="1"/>
  <c r="D490" i="19"/>
  <c r="F490" i="19" s="1"/>
  <c r="D491" i="19"/>
  <c r="F491" i="19" s="1"/>
  <c r="D492" i="19"/>
  <c r="F492" i="19" s="1"/>
  <c r="D493" i="19"/>
  <c r="F493" i="19" s="1"/>
  <c r="D494" i="19"/>
  <c r="F494" i="19" s="1"/>
  <c r="D495" i="19"/>
  <c r="F495" i="19" s="1"/>
  <c r="D496" i="19"/>
  <c r="F496" i="19" s="1"/>
  <c r="D497" i="19"/>
  <c r="F497" i="19" s="1"/>
  <c r="D498" i="19"/>
  <c r="F498" i="19" s="1"/>
  <c r="D499" i="19"/>
  <c r="F499" i="19" s="1"/>
  <c r="D500" i="19"/>
  <c r="F500" i="19" s="1"/>
  <c r="D501" i="19"/>
  <c r="F501" i="19" s="1"/>
  <c r="D502" i="19"/>
  <c r="F502" i="19" s="1"/>
  <c r="D503" i="19"/>
  <c r="F503" i="19" s="1"/>
  <c r="D504" i="19"/>
  <c r="F504" i="19" s="1"/>
  <c r="D505" i="19"/>
  <c r="F505" i="19" s="1"/>
  <c r="D506" i="19"/>
  <c r="F506" i="19" s="1"/>
  <c r="D507" i="19"/>
  <c r="F507" i="19" s="1"/>
  <c r="D508" i="19"/>
  <c r="F508" i="19" s="1"/>
  <c r="D509" i="19"/>
  <c r="F509" i="19" s="1"/>
  <c r="D510" i="19"/>
  <c r="F510" i="19" s="1"/>
  <c r="D511" i="19"/>
  <c r="F511" i="19" s="1"/>
  <c r="D512" i="19"/>
  <c r="F512" i="19" s="1"/>
  <c r="D513" i="19"/>
  <c r="F513" i="19" s="1"/>
  <c r="D514" i="19"/>
  <c r="F514" i="19" s="1"/>
  <c r="D515" i="19"/>
  <c r="F515" i="19" s="1"/>
  <c r="D516" i="19"/>
  <c r="F516" i="19" s="1"/>
  <c r="D517" i="19"/>
  <c r="F517" i="19" s="1"/>
  <c r="D518" i="19"/>
  <c r="F518" i="19" s="1"/>
  <c r="D519" i="19"/>
  <c r="F519" i="19" s="1"/>
  <c r="D520" i="19"/>
  <c r="F520" i="19" s="1"/>
  <c r="D521" i="19"/>
  <c r="F521" i="19" s="1"/>
  <c r="D522" i="19"/>
  <c r="F522" i="19" s="1"/>
  <c r="D523" i="19"/>
  <c r="F523" i="19" s="1"/>
  <c r="D524" i="19"/>
  <c r="F524" i="19" s="1"/>
  <c r="D525" i="19"/>
  <c r="F525" i="19" s="1"/>
  <c r="D526" i="19"/>
  <c r="F526" i="19" s="1"/>
  <c r="D527" i="19"/>
  <c r="F527" i="19" s="1"/>
  <c r="D528" i="19"/>
  <c r="F528" i="19" s="1"/>
  <c r="D529" i="19"/>
  <c r="F529" i="19" s="1"/>
  <c r="D530" i="19"/>
  <c r="F530" i="19" s="1"/>
  <c r="D531" i="19"/>
  <c r="F531" i="19" s="1"/>
  <c r="D532" i="19"/>
  <c r="F532" i="19" s="1"/>
  <c r="D533" i="19"/>
  <c r="F533" i="19" s="1"/>
  <c r="D534" i="19"/>
  <c r="F534" i="19" s="1"/>
  <c r="D535" i="19"/>
  <c r="F535" i="19" s="1"/>
  <c r="D536" i="19"/>
  <c r="F536" i="19" s="1"/>
  <c r="D537" i="19"/>
  <c r="F537" i="19" s="1"/>
  <c r="D538" i="19"/>
  <c r="F538" i="19" s="1"/>
  <c r="D539" i="19"/>
  <c r="F539" i="19" s="1"/>
  <c r="D540" i="19"/>
  <c r="F540" i="19" s="1"/>
  <c r="D541" i="19"/>
  <c r="F541" i="19" s="1"/>
  <c r="D542" i="19"/>
  <c r="F542" i="19" s="1"/>
  <c r="D543" i="19"/>
  <c r="F543" i="19" s="1"/>
  <c r="D544" i="19"/>
  <c r="F544" i="19" s="1"/>
  <c r="D545" i="19"/>
  <c r="F545" i="19" s="1"/>
  <c r="D546" i="19"/>
  <c r="F546" i="19" s="1"/>
  <c r="D547" i="19"/>
  <c r="F547" i="19" s="1"/>
  <c r="D548" i="19"/>
  <c r="F548" i="19" s="1"/>
  <c r="D549" i="19"/>
  <c r="F549" i="19" s="1"/>
  <c r="D550" i="19"/>
  <c r="F550" i="19" s="1"/>
  <c r="D551" i="19"/>
  <c r="F551" i="19" s="1"/>
  <c r="D552" i="19"/>
  <c r="F552" i="19" s="1"/>
  <c r="D553" i="19"/>
  <c r="F553" i="19" s="1"/>
  <c r="D554" i="19"/>
  <c r="F554" i="19" s="1"/>
  <c r="D555" i="19"/>
  <c r="F555" i="19" s="1"/>
  <c r="D556" i="19"/>
  <c r="F556" i="19" s="1"/>
  <c r="D557" i="19"/>
  <c r="F557" i="19" s="1"/>
  <c r="D558" i="19"/>
  <c r="F558" i="19" s="1"/>
  <c r="D559" i="19"/>
  <c r="F559" i="19" s="1"/>
  <c r="D560" i="19"/>
  <c r="F560" i="19" s="1"/>
  <c r="D561" i="19"/>
  <c r="F561" i="19" s="1"/>
  <c r="D562" i="19"/>
  <c r="F562" i="19" s="1"/>
  <c r="D563" i="19"/>
  <c r="F563" i="19" s="1"/>
  <c r="D564" i="19"/>
  <c r="F564" i="19" s="1"/>
  <c r="D565" i="19"/>
  <c r="F565" i="19" s="1"/>
  <c r="D566" i="19"/>
  <c r="F566" i="19" s="1"/>
  <c r="D567" i="19"/>
  <c r="F567" i="19" s="1"/>
  <c r="D568" i="19"/>
  <c r="F568" i="19" s="1"/>
  <c r="D569" i="19"/>
  <c r="F569" i="19" s="1"/>
  <c r="D570" i="19"/>
  <c r="F570" i="19" s="1"/>
  <c r="D571" i="19"/>
  <c r="F571" i="19" s="1"/>
  <c r="D572" i="19"/>
  <c r="F572" i="19" s="1"/>
  <c r="D573" i="19"/>
  <c r="F573" i="19" s="1"/>
  <c r="D574" i="19"/>
  <c r="F574" i="19" s="1"/>
  <c r="D575" i="19"/>
  <c r="F575" i="19" s="1"/>
  <c r="D576" i="19"/>
  <c r="F576" i="19" s="1"/>
  <c r="D577" i="19"/>
  <c r="F577" i="19" s="1"/>
  <c r="D578" i="19"/>
  <c r="F578" i="19" s="1"/>
  <c r="D579" i="19"/>
  <c r="F579" i="19" s="1"/>
  <c r="D580" i="19"/>
  <c r="F580" i="19" s="1"/>
  <c r="D581" i="19"/>
  <c r="F581" i="19" s="1"/>
  <c r="D582" i="19"/>
  <c r="F582" i="19" s="1"/>
  <c r="D583" i="19"/>
  <c r="F583" i="19" s="1"/>
  <c r="D584" i="19"/>
  <c r="F584" i="19" s="1"/>
  <c r="D585" i="19"/>
  <c r="F585" i="19" s="1"/>
  <c r="D586" i="19"/>
  <c r="F586" i="19" s="1"/>
  <c r="D587" i="19"/>
  <c r="F587" i="19" s="1"/>
  <c r="D588" i="19"/>
  <c r="F588" i="19" s="1"/>
  <c r="D589" i="19"/>
  <c r="F589" i="19" s="1"/>
  <c r="D590" i="19"/>
  <c r="F590" i="19" s="1"/>
  <c r="D591" i="19"/>
  <c r="F591" i="19" s="1"/>
  <c r="D592" i="19"/>
  <c r="F592" i="19" s="1"/>
  <c r="D593" i="19"/>
  <c r="F593" i="19" s="1"/>
  <c r="D594" i="19"/>
  <c r="F594" i="19" s="1"/>
  <c r="D595" i="19"/>
  <c r="F595" i="19" s="1"/>
  <c r="D596" i="19"/>
  <c r="F596" i="19" s="1"/>
  <c r="D597" i="19"/>
  <c r="F597" i="19" s="1"/>
  <c r="D598" i="19"/>
  <c r="F598" i="19" s="1"/>
  <c r="D599" i="19"/>
  <c r="F599" i="19" s="1"/>
  <c r="D600" i="19"/>
  <c r="F600" i="19" s="1"/>
  <c r="D601" i="19"/>
  <c r="F601" i="19" s="1"/>
  <c r="D602" i="19"/>
  <c r="F602" i="19" s="1"/>
  <c r="D603" i="19"/>
  <c r="F603" i="19" s="1"/>
  <c r="D604" i="19"/>
  <c r="F604" i="19" s="1"/>
  <c r="D605" i="19"/>
  <c r="F605" i="19" s="1"/>
  <c r="D606" i="19"/>
  <c r="F606" i="19" s="1"/>
  <c r="D607" i="19"/>
  <c r="F607" i="19" s="1"/>
  <c r="D608" i="19"/>
  <c r="F608" i="19" s="1"/>
  <c r="D609" i="19"/>
  <c r="F609" i="19" s="1"/>
  <c r="D610" i="19"/>
  <c r="F610" i="19" s="1"/>
  <c r="D611" i="19"/>
  <c r="F611" i="19" s="1"/>
  <c r="D612" i="19"/>
  <c r="F612" i="19" s="1"/>
  <c r="D613" i="19"/>
  <c r="F613" i="19" s="1"/>
  <c r="D614" i="19"/>
  <c r="F614" i="19" s="1"/>
  <c r="D615" i="19"/>
  <c r="F615" i="19" s="1"/>
  <c r="D616" i="19"/>
  <c r="F616" i="19" s="1"/>
  <c r="D617" i="19"/>
  <c r="F617" i="19" s="1"/>
  <c r="D618" i="19"/>
  <c r="F618" i="19" s="1"/>
  <c r="D619" i="19"/>
  <c r="F619" i="19" s="1"/>
  <c r="D620" i="19"/>
  <c r="F620" i="19" s="1"/>
  <c r="D621" i="19"/>
  <c r="F621" i="19" s="1"/>
  <c r="D622" i="19"/>
  <c r="F622" i="19" s="1"/>
  <c r="D623" i="19"/>
  <c r="F623" i="19" s="1"/>
  <c r="D624" i="19"/>
  <c r="F624" i="19" s="1"/>
  <c r="D625" i="19"/>
  <c r="F625" i="19" s="1"/>
  <c r="D626" i="19"/>
  <c r="F626" i="19" s="1"/>
  <c r="D627" i="19"/>
  <c r="F627" i="19" s="1"/>
  <c r="D628" i="19"/>
  <c r="F628" i="19" s="1"/>
  <c r="D629" i="19"/>
  <c r="F629" i="19" s="1"/>
  <c r="D630" i="19"/>
  <c r="F630" i="19" s="1"/>
  <c r="D631" i="19"/>
  <c r="F631" i="19" s="1"/>
  <c r="D632" i="19"/>
  <c r="F632" i="19" s="1"/>
  <c r="D633" i="19"/>
  <c r="F633" i="19" s="1"/>
  <c r="D634" i="19"/>
  <c r="F634" i="19" s="1"/>
  <c r="D635" i="19"/>
  <c r="F635" i="19" s="1"/>
  <c r="D636" i="19"/>
  <c r="F636" i="19" s="1"/>
  <c r="D637" i="19"/>
  <c r="F637" i="19" s="1"/>
  <c r="D638" i="19"/>
  <c r="F638" i="19" s="1"/>
  <c r="D639" i="19"/>
  <c r="F639" i="19" s="1"/>
  <c r="D640" i="19"/>
  <c r="F640" i="19" s="1"/>
  <c r="D641" i="19"/>
  <c r="F641" i="19" s="1"/>
  <c r="D642" i="19"/>
  <c r="F642" i="19" s="1"/>
  <c r="D643" i="19"/>
  <c r="F643" i="19" s="1"/>
  <c r="D644" i="19"/>
  <c r="F644" i="19" s="1"/>
  <c r="D645" i="19"/>
  <c r="F645" i="19" s="1"/>
  <c r="D646" i="19"/>
  <c r="F646" i="19" s="1"/>
  <c r="D647" i="19"/>
  <c r="F647" i="19" s="1"/>
  <c r="D648" i="19"/>
  <c r="F648" i="19" s="1"/>
  <c r="D649" i="19"/>
  <c r="F649" i="19" s="1"/>
  <c r="D650" i="19"/>
  <c r="F650" i="19" s="1"/>
  <c r="D651" i="19"/>
  <c r="F651" i="19" s="1"/>
  <c r="D652" i="19"/>
  <c r="F652" i="19" s="1"/>
  <c r="D653" i="19"/>
  <c r="F653" i="19" s="1"/>
  <c r="D654" i="19"/>
  <c r="F654" i="19" s="1"/>
  <c r="D655" i="19"/>
  <c r="F655" i="19" s="1"/>
  <c r="D656" i="19"/>
  <c r="F656" i="19" s="1"/>
  <c r="D657" i="19"/>
  <c r="F657" i="19" s="1"/>
  <c r="D658" i="19"/>
  <c r="F658" i="19" s="1"/>
  <c r="D659" i="19"/>
  <c r="F659" i="19" s="1"/>
  <c r="D660" i="19"/>
  <c r="F660" i="19" s="1"/>
  <c r="D661" i="19"/>
  <c r="F661" i="19" s="1"/>
  <c r="D662" i="19"/>
  <c r="F662" i="19" s="1"/>
  <c r="D663" i="19"/>
  <c r="F663" i="19" s="1"/>
  <c r="D664" i="19"/>
  <c r="F664" i="19" s="1"/>
  <c r="D665" i="19"/>
  <c r="F665" i="19" s="1"/>
  <c r="D666" i="19"/>
  <c r="F666" i="19" s="1"/>
  <c r="D667" i="19"/>
  <c r="F667" i="19" s="1"/>
  <c r="D668" i="19"/>
  <c r="F668" i="19" s="1"/>
  <c r="D669" i="19"/>
  <c r="F669" i="19" s="1"/>
  <c r="D670" i="19"/>
  <c r="F670" i="19" s="1"/>
  <c r="D671" i="19"/>
  <c r="F671" i="19" s="1"/>
  <c r="D672" i="19"/>
  <c r="F672" i="19" s="1"/>
  <c r="D673" i="19"/>
  <c r="F673" i="19" s="1"/>
  <c r="D674" i="19"/>
  <c r="F674" i="19" s="1"/>
  <c r="D675" i="19"/>
  <c r="F675" i="19" s="1"/>
  <c r="D676" i="19"/>
  <c r="F676" i="19" s="1"/>
  <c r="D677" i="19"/>
  <c r="F677" i="19" s="1"/>
  <c r="D678" i="19"/>
  <c r="F678" i="19" s="1"/>
  <c r="D679" i="19"/>
  <c r="F679" i="19" s="1"/>
  <c r="D680" i="19"/>
  <c r="F680" i="19" s="1"/>
  <c r="D681" i="19"/>
  <c r="F681" i="19" s="1"/>
  <c r="D682" i="19"/>
  <c r="F682" i="19" s="1"/>
  <c r="D683" i="19"/>
  <c r="F683" i="19" s="1"/>
  <c r="D684" i="19"/>
  <c r="F684" i="19" s="1"/>
  <c r="D685" i="19"/>
  <c r="F685" i="19" s="1"/>
  <c r="D686" i="19"/>
  <c r="F686" i="19" s="1"/>
  <c r="D687" i="19"/>
  <c r="F687" i="19" s="1"/>
  <c r="D688" i="19"/>
  <c r="F688" i="19" s="1"/>
  <c r="D689" i="19"/>
  <c r="F689" i="19" s="1"/>
  <c r="D690" i="19"/>
  <c r="F690" i="19" s="1"/>
  <c r="D691" i="19"/>
  <c r="F691" i="19" s="1"/>
  <c r="D692" i="19"/>
  <c r="F692" i="19" s="1"/>
  <c r="D693" i="19"/>
  <c r="F693" i="19" s="1"/>
  <c r="D694" i="19"/>
  <c r="F694" i="19" s="1"/>
  <c r="D695" i="19"/>
  <c r="F695" i="19" s="1"/>
  <c r="D696" i="19"/>
  <c r="F696" i="19" s="1"/>
  <c r="D697" i="19"/>
  <c r="F697" i="19" s="1"/>
  <c r="D698" i="19"/>
  <c r="F698" i="19" s="1"/>
  <c r="D699" i="19"/>
  <c r="F699" i="19" s="1"/>
  <c r="D700" i="19"/>
  <c r="F700" i="19" s="1"/>
  <c r="D701" i="19"/>
  <c r="F701" i="19" s="1"/>
  <c r="D702" i="19"/>
  <c r="F702" i="19" s="1"/>
  <c r="D703" i="19"/>
  <c r="F703" i="19" s="1"/>
  <c r="D704" i="19"/>
  <c r="F704" i="19" s="1"/>
  <c r="D705" i="19"/>
  <c r="F705" i="19" s="1"/>
  <c r="D706" i="19"/>
  <c r="F706" i="19" s="1"/>
  <c r="D707" i="19"/>
  <c r="F707" i="19" s="1"/>
  <c r="D708" i="19"/>
  <c r="F708" i="19" s="1"/>
  <c r="D709" i="19"/>
  <c r="F709" i="19" s="1"/>
  <c r="D710" i="19"/>
  <c r="F710" i="19" s="1"/>
  <c r="D711" i="19"/>
  <c r="F711" i="19" s="1"/>
  <c r="D712" i="19"/>
  <c r="F712" i="19" s="1"/>
  <c r="D713" i="19"/>
  <c r="F713" i="19" s="1"/>
  <c r="D714" i="19"/>
  <c r="F714" i="19" s="1"/>
  <c r="D715" i="19"/>
  <c r="F715" i="19" s="1"/>
  <c r="D716" i="19"/>
  <c r="F716" i="19" s="1"/>
  <c r="D717" i="19"/>
  <c r="F717" i="19" s="1"/>
  <c r="D718" i="19"/>
  <c r="F718" i="19" s="1"/>
  <c r="D719" i="19"/>
  <c r="F719" i="19" s="1"/>
  <c r="D720" i="19"/>
  <c r="F720" i="19" s="1"/>
  <c r="D721" i="19"/>
  <c r="F721" i="19" s="1"/>
  <c r="D722" i="19"/>
  <c r="F722" i="19" s="1"/>
  <c r="D723" i="19"/>
  <c r="F723" i="19" s="1"/>
  <c r="D724" i="19"/>
  <c r="F724" i="19" s="1"/>
  <c r="D725" i="19"/>
  <c r="F725" i="19" s="1"/>
  <c r="D726" i="19"/>
  <c r="F726" i="19" s="1"/>
  <c r="D727" i="19"/>
  <c r="F727" i="19" s="1"/>
  <c r="D728" i="19"/>
  <c r="F728" i="19" s="1"/>
  <c r="D729" i="19"/>
  <c r="F729" i="19" s="1"/>
  <c r="D730" i="19"/>
  <c r="F730" i="19" s="1"/>
  <c r="D731" i="19"/>
  <c r="F731" i="19" s="1"/>
  <c r="D732" i="19"/>
  <c r="F732" i="19" s="1"/>
  <c r="D733" i="19"/>
  <c r="F733" i="19" s="1"/>
  <c r="D734" i="19"/>
  <c r="F734" i="19" s="1"/>
  <c r="D735" i="19"/>
  <c r="F735" i="19" s="1"/>
  <c r="D736" i="19"/>
  <c r="F736" i="19" s="1"/>
  <c r="D737" i="19"/>
  <c r="F737" i="19" s="1"/>
  <c r="D738" i="19"/>
  <c r="F738" i="19" s="1"/>
  <c r="D739" i="19"/>
  <c r="F739" i="19" s="1"/>
  <c r="D740" i="19"/>
  <c r="F740" i="19" s="1"/>
  <c r="D741" i="19"/>
  <c r="F741" i="19" s="1"/>
  <c r="D742" i="19"/>
  <c r="F742" i="19" s="1"/>
  <c r="D743" i="19"/>
  <c r="F743" i="19" s="1"/>
  <c r="D744" i="19"/>
  <c r="F744" i="19" s="1"/>
  <c r="D745" i="19"/>
  <c r="F745" i="19" s="1"/>
  <c r="D746" i="19"/>
  <c r="F746" i="19" s="1"/>
  <c r="D747" i="19"/>
  <c r="F747" i="19" s="1"/>
  <c r="D748" i="19"/>
  <c r="F748" i="19" s="1"/>
  <c r="D749" i="19"/>
  <c r="F749" i="19" s="1"/>
  <c r="D750" i="19"/>
  <c r="F750" i="19" s="1"/>
  <c r="D751" i="19"/>
  <c r="F751" i="19" s="1"/>
  <c r="D752" i="19"/>
  <c r="F752" i="19" s="1"/>
  <c r="D753" i="19"/>
  <c r="F753" i="19" s="1"/>
  <c r="D754" i="19"/>
  <c r="F754" i="19" s="1"/>
  <c r="D755" i="19"/>
  <c r="F755" i="19" s="1"/>
  <c r="D756" i="19"/>
  <c r="F756" i="19" s="1"/>
  <c r="D757" i="19"/>
  <c r="F757" i="19" s="1"/>
  <c r="D758" i="19"/>
  <c r="F758" i="19" s="1"/>
  <c r="D759" i="19"/>
  <c r="F759" i="19" s="1"/>
  <c r="D760" i="19"/>
  <c r="F760" i="19" s="1"/>
  <c r="D761" i="19"/>
  <c r="F761" i="19" s="1"/>
  <c r="D762" i="19"/>
  <c r="F762" i="19" s="1"/>
  <c r="D763" i="19"/>
  <c r="F763" i="19" s="1"/>
  <c r="D764" i="19"/>
  <c r="F764" i="19" s="1"/>
  <c r="D765" i="19"/>
  <c r="F765" i="19" s="1"/>
  <c r="D766" i="19"/>
  <c r="F766" i="19" s="1"/>
  <c r="D767" i="19"/>
  <c r="F767" i="19" s="1"/>
  <c r="D768" i="19"/>
  <c r="F768" i="19" s="1"/>
  <c r="D769" i="19"/>
  <c r="F769" i="19" s="1"/>
  <c r="D770" i="19"/>
  <c r="F770" i="19" s="1"/>
  <c r="D771" i="19"/>
  <c r="F771" i="19" s="1"/>
  <c r="D772" i="19"/>
  <c r="F772" i="19" s="1"/>
  <c r="D773" i="19"/>
  <c r="F773" i="19" s="1"/>
  <c r="D774" i="19"/>
  <c r="F774" i="19" s="1"/>
  <c r="D775" i="19"/>
  <c r="F775" i="19" s="1"/>
  <c r="D776" i="19"/>
  <c r="F776" i="19" s="1"/>
  <c r="D777" i="19"/>
  <c r="F777" i="19" s="1"/>
  <c r="D778" i="19"/>
  <c r="F778" i="19" s="1"/>
  <c r="D779" i="19"/>
  <c r="F779" i="19" s="1"/>
  <c r="D780" i="19"/>
  <c r="F780" i="19" s="1"/>
  <c r="D781" i="19"/>
  <c r="F781" i="19" s="1"/>
  <c r="D782" i="19"/>
  <c r="F782" i="19" s="1"/>
  <c r="D783" i="19"/>
  <c r="F783" i="19" s="1"/>
  <c r="D784" i="19"/>
  <c r="F784" i="19" s="1"/>
  <c r="D785" i="19"/>
  <c r="F785" i="19" s="1"/>
  <c r="D786" i="19"/>
  <c r="F786" i="19" s="1"/>
  <c r="D787" i="19"/>
  <c r="F787" i="19" s="1"/>
  <c r="D788" i="19"/>
  <c r="F788" i="19" s="1"/>
  <c r="D789" i="19"/>
  <c r="F789" i="19" s="1"/>
  <c r="D790" i="19"/>
  <c r="F790" i="19" s="1"/>
  <c r="D791" i="19"/>
  <c r="F791" i="19" s="1"/>
  <c r="D792" i="19"/>
  <c r="F792" i="19" s="1"/>
  <c r="D793" i="19"/>
  <c r="F793" i="19" s="1"/>
  <c r="D794" i="19"/>
  <c r="F794" i="19" s="1"/>
  <c r="D795" i="19"/>
  <c r="F795" i="19" s="1"/>
  <c r="D796" i="19"/>
  <c r="F796" i="19" s="1"/>
  <c r="D797" i="19"/>
  <c r="F797" i="19" s="1"/>
  <c r="D798" i="19"/>
  <c r="F798" i="19" s="1"/>
  <c r="D799" i="19"/>
  <c r="F799" i="19" s="1"/>
  <c r="D800" i="19"/>
  <c r="F800" i="19" s="1"/>
  <c r="D801" i="19"/>
  <c r="F801" i="19" s="1"/>
  <c r="D802" i="19"/>
  <c r="F802" i="19" s="1"/>
  <c r="D803" i="19"/>
  <c r="F803" i="19" s="1"/>
  <c r="D804" i="19"/>
  <c r="F804" i="19" s="1"/>
  <c r="D805" i="19"/>
  <c r="F805" i="19" s="1"/>
  <c r="D806" i="19"/>
  <c r="F806" i="19" s="1"/>
  <c r="D807" i="19"/>
  <c r="F807" i="19" s="1"/>
  <c r="D808" i="19"/>
  <c r="F808" i="19" s="1"/>
  <c r="D809" i="19"/>
  <c r="F809" i="19" s="1"/>
  <c r="D810" i="19"/>
  <c r="F810" i="19" s="1"/>
  <c r="D811" i="19"/>
  <c r="F811" i="19" s="1"/>
  <c r="D812" i="19"/>
  <c r="F812" i="19" s="1"/>
  <c r="D813" i="19"/>
  <c r="F813" i="19" s="1"/>
  <c r="D814" i="19"/>
  <c r="F814" i="19" s="1"/>
  <c r="D815" i="19"/>
  <c r="F815" i="19" s="1"/>
  <c r="D816" i="19"/>
  <c r="F816" i="19" s="1"/>
  <c r="D817" i="19"/>
  <c r="F817" i="19" s="1"/>
  <c r="D818" i="19"/>
  <c r="F818" i="19" s="1"/>
  <c r="D819" i="19"/>
  <c r="F819" i="19" s="1"/>
  <c r="D820" i="19"/>
  <c r="F820" i="19" s="1"/>
  <c r="D821" i="19"/>
  <c r="F821" i="19" s="1"/>
  <c r="D822" i="19"/>
  <c r="F822" i="19" s="1"/>
  <c r="D823" i="19"/>
  <c r="F823" i="19" s="1"/>
  <c r="D824" i="19"/>
  <c r="F824" i="19" s="1"/>
  <c r="D825" i="19"/>
  <c r="F825" i="19" s="1"/>
  <c r="D826" i="19"/>
  <c r="F826" i="19" s="1"/>
  <c r="D827" i="19"/>
  <c r="F827" i="19" s="1"/>
  <c r="D828" i="19"/>
  <c r="F828" i="19" s="1"/>
  <c r="D829" i="19"/>
  <c r="F829" i="19" s="1"/>
  <c r="D830" i="19"/>
  <c r="F830" i="19" s="1"/>
  <c r="D831" i="19"/>
  <c r="F831" i="19" s="1"/>
  <c r="D832" i="19"/>
  <c r="F832" i="19" s="1"/>
  <c r="D833" i="19"/>
  <c r="F833" i="19" s="1"/>
  <c r="D834" i="19"/>
  <c r="F834" i="19" s="1"/>
  <c r="D835" i="19"/>
  <c r="F835" i="19" s="1"/>
  <c r="D836" i="19"/>
  <c r="F836" i="19" s="1"/>
  <c r="D837" i="19"/>
  <c r="F837" i="19" s="1"/>
  <c r="D838" i="19"/>
  <c r="F838" i="19" s="1"/>
  <c r="D839" i="19"/>
  <c r="F839" i="19" s="1"/>
  <c r="D840" i="19"/>
  <c r="F840" i="19" s="1"/>
  <c r="D841" i="19"/>
  <c r="F841" i="19" s="1"/>
  <c r="D842" i="19"/>
  <c r="F842" i="19" s="1"/>
  <c r="D843" i="19"/>
  <c r="F843" i="19" s="1"/>
  <c r="D844" i="19"/>
  <c r="F844" i="19" s="1"/>
  <c r="D845" i="19"/>
  <c r="F845" i="19" s="1"/>
  <c r="D846" i="19"/>
  <c r="F846" i="19" s="1"/>
  <c r="D847" i="19"/>
  <c r="F847" i="19" s="1"/>
  <c r="D848" i="19"/>
  <c r="F848" i="19" s="1"/>
  <c r="D849" i="19"/>
  <c r="F849" i="19" s="1"/>
  <c r="D850" i="19"/>
  <c r="F850" i="19" s="1"/>
  <c r="D851" i="19"/>
  <c r="F851" i="19" s="1"/>
  <c r="D852" i="19"/>
  <c r="F852" i="19" s="1"/>
  <c r="D853" i="19"/>
  <c r="F853" i="19" s="1"/>
  <c r="D854" i="19"/>
  <c r="F854" i="19" s="1"/>
  <c r="D855" i="19"/>
  <c r="F855" i="19" s="1"/>
  <c r="D856" i="19"/>
  <c r="F856" i="19" s="1"/>
  <c r="D857" i="19"/>
  <c r="F857" i="19" s="1"/>
  <c r="D858" i="19"/>
  <c r="F858" i="19" s="1"/>
  <c r="D859" i="19"/>
  <c r="F859" i="19" s="1"/>
  <c r="D860" i="19"/>
  <c r="F860" i="19" s="1"/>
  <c r="D861" i="19"/>
  <c r="F861" i="19" s="1"/>
  <c r="D862" i="19"/>
  <c r="F862" i="19" s="1"/>
  <c r="D863" i="19"/>
  <c r="F863" i="19" s="1"/>
  <c r="D864" i="19"/>
  <c r="F864" i="19" s="1"/>
  <c r="D865" i="19"/>
  <c r="F865" i="19" s="1"/>
  <c r="D866" i="19"/>
  <c r="F866" i="19" s="1"/>
  <c r="D867" i="19"/>
  <c r="F867" i="19" s="1"/>
  <c r="D868" i="19"/>
  <c r="F868" i="19" s="1"/>
  <c r="D869" i="19"/>
  <c r="F869" i="19" s="1"/>
  <c r="D870" i="19"/>
  <c r="F870" i="19" s="1"/>
  <c r="D871" i="19"/>
  <c r="F871" i="19" s="1"/>
  <c r="D872" i="19"/>
  <c r="F872" i="19" s="1"/>
  <c r="D873" i="19"/>
  <c r="F873" i="19" s="1"/>
  <c r="D874" i="19"/>
  <c r="F874" i="19" s="1"/>
  <c r="D875" i="19"/>
  <c r="F875" i="19" s="1"/>
  <c r="D876" i="19"/>
  <c r="F876" i="19" s="1"/>
  <c r="D877" i="19"/>
  <c r="F877" i="19" s="1"/>
  <c r="D878" i="19"/>
  <c r="F878" i="19" s="1"/>
  <c r="D879" i="19"/>
  <c r="F879" i="19" s="1"/>
  <c r="D880" i="19"/>
  <c r="F880" i="19" s="1"/>
  <c r="D881" i="19"/>
  <c r="F881" i="19" s="1"/>
  <c r="D882" i="19"/>
  <c r="F882" i="19" s="1"/>
  <c r="D883" i="19"/>
  <c r="F883" i="19" s="1"/>
  <c r="D884" i="19"/>
  <c r="F884" i="19" s="1"/>
  <c r="D885" i="19"/>
  <c r="F885" i="19" s="1"/>
  <c r="D886" i="19"/>
  <c r="F886" i="19" s="1"/>
  <c r="D887" i="19"/>
  <c r="F887" i="19" s="1"/>
  <c r="D888" i="19"/>
  <c r="F888" i="19" s="1"/>
  <c r="D889" i="19"/>
  <c r="F889" i="19" s="1"/>
  <c r="D890" i="19"/>
  <c r="F890" i="19" s="1"/>
  <c r="D891" i="19"/>
  <c r="F891" i="19" s="1"/>
  <c r="D892" i="19"/>
  <c r="F892" i="19" s="1"/>
  <c r="D893" i="19"/>
  <c r="F893" i="19" s="1"/>
  <c r="D894" i="19"/>
  <c r="F894" i="19" s="1"/>
  <c r="D895" i="19"/>
  <c r="F895" i="19" s="1"/>
  <c r="D896" i="19"/>
  <c r="F896" i="19" s="1"/>
  <c r="D897" i="19"/>
  <c r="F897" i="19" s="1"/>
  <c r="D898" i="19"/>
  <c r="F898" i="19" s="1"/>
  <c r="D899" i="19"/>
  <c r="F899" i="19" s="1"/>
  <c r="D900" i="19"/>
  <c r="F900" i="19" s="1"/>
  <c r="D901" i="19"/>
  <c r="F901" i="19" s="1"/>
  <c r="D902" i="19"/>
  <c r="F902" i="19" s="1"/>
  <c r="D903" i="19"/>
  <c r="F903" i="19" s="1"/>
  <c r="D904" i="19"/>
  <c r="F904" i="19" s="1"/>
  <c r="D905" i="19"/>
  <c r="F905" i="19" s="1"/>
  <c r="D906" i="19"/>
  <c r="F906" i="19" s="1"/>
  <c r="D907" i="19"/>
  <c r="F907" i="19" s="1"/>
  <c r="D908" i="19"/>
  <c r="F908" i="19" s="1"/>
  <c r="D909" i="19"/>
  <c r="F909" i="19" s="1"/>
  <c r="D910" i="19"/>
  <c r="F910" i="19" s="1"/>
  <c r="D911" i="19"/>
  <c r="F911" i="19" s="1"/>
  <c r="D912" i="19"/>
  <c r="F912" i="19" s="1"/>
  <c r="D913" i="19"/>
  <c r="F913" i="19" s="1"/>
  <c r="D914" i="19"/>
  <c r="F914" i="19" s="1"/>
  <c r="D915" i="19"/>
  <c r="F915" i="19" s="1"/>
  <c r="D916" i="19"/>
  <c r="F916" i="19" s="1"/>
  <c r="D917" i="19"/>
  <c r="F917" i="19" s="1"/>
  <c r="D918" i="19"/>
  <c r="F918" i="19" s="1"/>
  <c r="D919" i="19"/>
  <c r="F919" i="19" s="1"/>
  <c r="D920" i="19"/>
  <c r="F920" i="19" s="1"/>
  <c r="D921" i="19"/>
  <c r="F921" i="19" s="1"/>
  <c r="D922" i="19"/>
  <c r="F922" i="19" s="1"/>
  <c r="D923" i="19"/>
  <c r="F923" i="19" s="1"/>
  <c r="D924" i="19"/>
  <c r="F924" i="19" s="1"/>
  <c r="D925" i="19"/>
  <c r="F925" i="19" s="1"/>
  <c r="D926" i="19"/>
  <c r="F926" i="19" s="1"/>
  <c r="D927" i="19"/>
  <c r="F927" i="19" s="1"/>
  <c r="D928" i="19"/>
  <c r="F928" i="19" s="1"/>
  <c r="D929" i="19"/>
  <c r="F929" i="19" s="1"/>
  <c r="D930" i="19"/>
  <c r="F930" i="19" s="1"/>
  <c r="D931" i="19"/>
  <c r="F931" i="19" s="1"/>
  <c r="D932" i="19"/>
  <c r="F932" i="19" s="1"/>
  <c r="D933" i="19"/>
  <c r="F933" i="19" s="1"/>
  <c r="D934" i="19"/>
  <c r="F934" i="19" s="1"/>
  <c r="D935" i="19"/>
  <c r="F935" i="19" s="1"/>
  <c r="D936" i="19"/>
  <c r="F936" i="19" s="1"/>
  <c r="D937" i="19"/>
  <c r="F937" i="19" s="1"/>
  <c r="D938" i="19"/>
  <c r="F938" i="19" s="1"/>
  <c r="D939" i="19"/>
  <c r="F939" i="19" s="1"/>
  <c r="D940" i="19"/>
  <c r="F940" i="19" s="1"/>
  <c r="D941" i="19"/>
  <c r="F941" i="19" s="1"/>
  <c r="D942" i="19"/>
  <c r="F942" i="19" s="1"/>
  <c r="D943" i="19"/>
  <c r="F943" i="19" s="1"/>
  <c r="D944" i="19"/>
  <c r="F944" i="19" s="1"/>
  <c r="D945" i="19"/>
  <c r="F945" i="19" s="1"/>
  <c r="D946" i="19"/>
  <c r="F946" i="19" s="1"/>
  <c r="D947" i="19"/>
  <c r="F947" i="19" s="1"/>
  <c r="D948" i="19"/>
  <c r="F948" i="19" s="1"/>
  <c r="D949" i="19"/>
  <c r="F949" i="19" s="1"/>
  <c r="D950" i="19"/>
  <c r="F950" i="19" s="1"/>
  <c r="D951" i="19"/>
  <c r="F951" i="19" s="1"/>
  <c r="D952" i="19"/>
  <c r="F952" i="19" s="1"/>
  <c r="D953" i="19"/>
  <c r="F953" i="19" s="1"/>
  <c r="D954" i="19"/>
  <c r="F954" i="19" s="1"/>
  <c r="D955" i="19"/>
  <c r="F955" i="19" s="1"/>
  <c r="D956" i="19"/>
  <c r="F956" i="19" s="1"/>
  <c r="D957" i="19"/>
  <c r="F957" i="19" s="1"/>
  <c r="D958" i="19"/>
  <c r="F958" i="19" s="1"/>
  <c r="D959" i="19"/>
  <c r="F959" i="19" s="1"/>
  <c r="D960" i="19"/>
  <c r="F960" i="19" s="1"/>
  <c r="D961" i="19"/>
  <c r="F961" i="19" s="1"/>
  <c r="D962" i="19"/>
  <c r="F962" i="19" s="1"/>
  <c r="D963" i="19"/>
  <c r="F963" i="19" s="1"/>
  <c r="D964" i="19"/>
  <c r="F964" i="19" s="1"/>
  <c r="D965" i="19"/>
  <c r="F965" i="19" s="1"/>
  <c r="D966" i="19"/>
  <c r="F966" i="19" s="1"/>
  <c r="D967" i="19"/>
  <c r="F967" i="19" s="1"/>
  <c r="D968" i="19"/>
  <c r="F968" i="19" s="1"/>
  <c r="D969" i="19"/>
  <c r="F969" i="19" s="1"/>
  <c r="D970" i="19"/>
  <c r="F970" i="19" s="1"/>
  <c r="D971" i="19"/>
  <c r="F971" i="19" s="1"/>
  <c r="D972" i="19"/>
  <c r="F972" i="19" s="1"/>
  <c r="D973" i="19"/>
  <c r="F973" i="19" s="1"/>
  <c r="D974" i="19"/>
  <c r="F974" i="19" s="1"/>
  <c r="D975" i="19"/>
  <c r="F975" i="19" s="1"/>
  <c r="D976" i="19"/>
  <c r="F976" i="19" s="1"/>
  <c r="D977" i="19"/>
  <c r="F977" i="19" s="1"/>
  <c r="D978" i="19"/>
  <c r="F978" i="19" s="1"/>
  <c r="D979" i="19"/>
  <c r="F979" i="19" s="1"/>
  <c r="D980" i="19"/>
  <c r="F980" i="19" s="1"/>
  <c r="D981" i="19"/>
  <c r="F981" i="19" s="1"/>
  <c r="D982" i="19"/>
  <c r="F982" i="19" s="1"/>
  <c r="D983" i="19"/>
  <c r="F983" i="19" s="1"/>
  <c r="D984" i="19"/>
  <c r="F984" i="19" s="1"/>
  <c r="D985" i="19"/>
  <c r="F985" i="19" s="1"/>
  <c r="D986" i="19"/>
  <c r="F986" i="19" s="1"/>
  <c r="D987" i="19"/>
  <c r="F987" i="19" s="1"/>
  <c r="D988" i="19"/>
  <c r="F988" i="19" s="1"/>
  <c r="D989" i="19"/>
  <c r="F989" i="19" s="1"/>
  <c r="D990" i="19"/>
  <c r="F990" i="19" s="1"/>
  <c r="D991" i="19"/>
  <c r="F991" i="19" s="1"/>
  <c r="D992" i="19"/>
  <c r="F992" i="19" s="1"/>
  <c r="D993" i="19"/>
  <c r="F993" i="19" s="1"/>
  <c r="D994" i="19"/>
  <c r="F994" i="19" s="1"/>
  <c r="D995" i="19"/>
  <c r="F995" i="19" s="1"/>
  <c r="D996" i="19"/>
  <c r="F996" i="19" s="1"/>
  <c r="D997" i="19"/>
  <c r="F997" i="19" s="1"/>
  <c r="D998" i="19"/>
  <c r="F998" i="19" s="1"/>
  <c r="D999" i="19"/>
  <c r="F999" i="19" s="1"/>
  <c r="D1000" i="19"/>
  <c r="F1000" i="19" s="1"/>
  <c r="D1001" i="19"/>
  <c r="F1001" i="19" s="1"/>
  <c r="D1002" i="19"/>
  <c r="F1002" i="19" s="1"/>
  <c r="D1003" i="19"/>
  <c r="F1003" i="19" s="1"/>
  <c r="D1004" i="19"/>
  <c r="F1004" i="19" s="1"/>
  <c r="D1005" i="19"/>
  <c r="F1005" i="19" s="1"/>
  <c r="D1006" i="19"/>
  <c r="F1006" i="19" s="1"/>
  <c r="D1007" i="19"/>
  <c r="F1007" i="19" s="1"/>
  <c r="D1008" i="19"/>
  <c r="F1008" i="19" s="1"/>
  <c r="D1009" i="19"/>
  <c r="F1009" i="19" s="1"/>
  <c r="D1010" i="19"/>
  <c r="F1010" i="19" s="1"/>
  <c r="D1011" i="19"/>
  <c r="F1011" i="19" s="1"/>
  <c r="D1012" i="19"/>
  <c r="F1012" i="19" s="1"/>
  <c r="D1013" i="19"/>
  <c r="F1013" i="19" s="1"/>
  <c r="D1014" i="19"/>
  <c r="F1014" i="19" s="1"/>
  <c r="D1015" i="19"/>
  <c r="F1015" i="19" s="1"/>
  <c r="D1016" i="19"/>
  <c r="F1016" i="19" s="1"/>
  <c r="D1017" i="19"/>
  <c r="F1017" i="19" s="1"/>
  <c r="D1018" i="19"/>
  <c r="F1018" i="19" s="1"/>
  <c r="D1019" i="19"/>
  <c r="F1019" i="19" s="1"/>
  <c r="D1020" i="19"/>
  <c r="F1020" i="19" s="1"/>
  <c r="D1021" i="19"/>
  <c r="F1021" i="19" s="1"/>
  <c r="D1022" i="19"/>
  <c r="F1022" i="19" s="1"/>
  <c r="D1023" i="19"/>
  <c r="F1023" i="19" s="1"/>
  <c r="D1024" i="19"/>
  <c r="F1024" i="19" s="1"/>
  <c r="D1025" i="19"/>
  <c r="F1025" i="19" s="1"/>
  <c r="D1026" i="19"/>
  <c r="F1026" i="19" s="1"/>
  <c r="D1027" i="19"/>
  <c r="F1027" i="19" s="1"/>
  <c r="D1028" i="19"/>
  <c r="F1028" i="19" s="1"/>
  <c r="D1029" i="19"/>
  <c r="F1029" i="19" s="1"/>
  <c r="D1030" i="19"/>
  <c r="F1030" i="19" s="1"/>
  <c r="D1031" i="19"/>
  <c r="F1031" i="19" s="1"/>
  <c r="D1032" i="19"/>
  <c r="F1032" i="19" s="1"/>
  <c r="D1033" i="19"/>
  <c r="F1033" i="19" s="1"/>
  <c r="D1034" i="19"/>
  <c r="F1034" i="19" s="1"/>
  <c r="D1035" i="19"/>
  <c r="F1035" i="19" s="1"/>
  <c r="D1036" i="19"/>
  <c r="F1036" i="19" s="1"/>
  <c r="D1037" i="19"/>
  <c r="F1037" i="19" s="1"/>
  <c r="D1038" i="19"/>
  <c r="F1038" i="19" s="1"/>
  <c r="D1039" i="19"/>
  <c r="F1039" i="19" s="1"/>
  <c r="D1040" i="19"/>
  <c r="F1040" i="19" s="1"/>
  <c r="D1041" i="19"/>
  <c r="F1041" i="19" s="1"/>
  <c r="D1042" i="19"/>
  <c r="F1042" i="19" s="1"/>
  <c r="D1043" i="19"/>
  <c r="F1043" i="19" s="1"/>
  <c r="D1044" i="19"/>
  <c r="F1044" i="19" s="1"/>
  <c r="D1045" i="19"/>
  <c r="F1045" i="19" s="1"/>
  <c r="D1046" i="19"/>
  <c r="F1046" i="19" s="1"/>
  <c r="D1047" i="19"/>
  <c r="F1047" i="19" s="1"/>
  <c r="D1048" i="19"/>
  <c r="F1048" i="19" s="1"/>
  <c r="D1049" i="19"/>
  <c r="F1049" i="19" s="1"/>
  <c r="D1050" i="19"/>
  <c r="F1050" i="19" s="1"/>
  <c r="D1051" i="19"/>
  <c r="F1051" i="19" s="1"/>
  <c r="D1052" i="19"/>
  <c r="F1052" i="19" s="1"/>
  <c r="D1053" i="19"/>
  <c r="F1053" i="19" s="1"/>
  <c r="D1054" i="19"/>
  <c r="F1054" i="19" s="1"/>
  <c r="D1055" i="19"/>
  <c r="F1055" i="19" s="1"/>
  <c r="D1056" i="19"/>
  <c r="F1056" i="19" s="1"/>
  <c r="D1057" i="19"/>
  <c r="F1057" i="19" s="1"/>
  <c r="D1058" i="19"/>
  <c r="F1058" i="19" s="1"/>
  <c r="D1059" i="19"/>
  <c r="F1059" i="19" s="1"/>
  <c r="D1060" i="19"/>
  <c r="F1060" i="19" s="1"/>
  <c r="D1061" i="19"/>
  <c r="F1061" i="19" s="1"/>
  <c r="D1062" i="19"/>
  <c r="F1062" i="19" s="1"/>
  <c r="D1063" i="19"/>
  <c r="F1063" i="19" s="1"/>
  <c r="D1064" i="19"/>
  <c r="F1064" i="19" s="1"/>
  <c r="D1065" i="19"/>
  <c r="F1065" i="19" s="1"/>
  <c r="D1066" i="19"/>
  <c r="F1066" i="19" s="1"/>
  <c r="D1067" i="19"/>
  <c r="F1067" i="19" s="1"/>
  <c r="D1068" i="19"/>
  <c r="F1068" i="19" s="1"/>
  <c r="D1069" i="19"/>
  <c r="F1069" i="19" s="1"/>
  <c r="D1070" i="19"/>
  <c r="F1070" i="19" s="1"/>
  <c r="D1071" i="19"/>
  <c r="F1071" i="19" s="1"/>
  <c r="D1072" i="19"/>
  <c r="F1072" i="19" s="1"/>
  <c r="D1073" i="19"/>
  <c r="F1073" i="19" s="1"/>
  <c r="D1074" i="19"/>
  <c r="F1074" i="19" s="1"/>
  <c r="D1075" i="19"/>
  <c r="F1075" i="19" s="1"/>
  <c r="D1076" i="19"/>
  <c r="F1076" i="19" s="1"/>
  <c r="D1077" i="19"/>
  <c r="F1077" i="19" s="1"/>
  <c r="D1078" i="19"/>
  <c r="F1078" i="19" s="1"/>
  <c r="D1079" i="19"/>
  <c r="F1079" i="19" s="1"/>
  <c r="D1080" i="19"/>
  <c r="F1080" i="19" s="1"/>
  <c r="D1081" i="19"/>
  <c r="F1081" i="19" s="1"/>
  <c r="D1082" i="19"/>
  <c r="F1082" i="19" s="1"/>
  <c r="D1083" i="19"/>
  <c r="F1083" i="19" s="1"/>
  <c r="D1084" i="19"/>
  <c r="F1084" i="19" s="1"/>
  <c r="D1085" i="19"/>
  <c r="F1085" i="19" s="1"/>
  <c r="D1086" i="19"/>
  <c r="F1086" i="19" s="1"/>
  <c r="D1087" i="19"/>
  <c r="F1087" i="19" s="1"/>
  <c r="D1088" i="19"/>
  <c r="F1088" i="19" s="1"/>
  <c r="D1089" i="19"/>
  <c r="F1089" i="19" s="1"/>
  <c r="D1090" i="19"/>
  <c r="F1090" i="19" s="1"/>
  <c r="D1091" i="19"/>
  <c r="F1091" i="19" s="1"/>
  <c r="D1092" i="19"/>
  <c r="F1092" i="19" s="1"/>
  <c r="D1093" i="19"/>
  <c r="F1093" i="19" s="1"/>
  <c r="D1094" i="19"/>
  <c r="F1094" i="19" s="1"/>
  <c r="D1095" i="19"/>
  <c r="F1095" i="19" s="1"/>
  <c r="D1096" i="19"/>
  <c r="F1096" i="19" s="1"/>
  <c r="D1097" i="19"/>
  <c r="F1097" i="19" s="1"/>
  <c r="D1098" i="19"/>
  <c r="F1098" i="19" s="1"/>
  <c r="D1099" i="19"/>
  <c r="F1099" i="19" s="1"/>
  <c r="D1100" i="19"/>
  <c r="F1100" i="19" s="1"/>
  <c r="D1101" i="19"/>
  <c r="F1101" i="19" s="1"/>
  <c r="D1102" i="19"/>
  <c r="F1102" i="19" s="1"/>
  <c r="D1103" i="19"/>
  <c r="F1103" i="19" s="1"/>
  <c r="D1104" i="19"/>
  <c r="F1104" i="19" s="1"/>
  <c r="D1105" i="19"/>
  <c r="F1105" i="19" s="1"/>
  <c r="D1106" i="19"/>
  <c r="F1106" i="19" s="1"/>
  <c r="D1107" i="19"/>
  <c r="F1107" i="19" s="1"/>
  <c r="D1108" i="19"/>
  <c r="F1108" i="19" s="1"/>
  <c r="D1109" i="19"/>
  <c r="F1109" i="19" s="1"/>
  <c r="D1110" i="19"/>
  <c r="F1110" i="19" s="1"/>
  <c r="D1111" i="19"/>
  <c r="F1111" i="19" s="1"/>
  <c r="D1112" i="19"/>
  <c r="F1112" i="19" s="1"/>
  <c r="D1113" i="19"/>
  <c r="F1113" i="19" s="1"/>
  <c r="D1114" i="19"/>
  <c r="F1114" i="19" s="1"/>
  <c r="D1115" i="19"/>
  <c r="F1115" i="19" s="1"/>
  <c r="D1116" i="19"/>
  <c r="F1116" i="19" s="1"/>
  <c r="D1117" i="19"/>
  <c r="F1117" i="19" s="1"/>
  <c r="D1118" i="19"/>
  <c r="F1118" i="19" s="1"/>
  <c r="D1119" i="19"/>
  <c r="F1119" i="19" s="1"/>
  <c r="D1120" i="19"/>
  <c r="F1120" i="19" s="1"/>
  <c r="D1121" i="19"/>
  <c r="F1121" i="19" s="1"/>
  <c r="D1122" i="19"/>
  <c r="F1122" i="19" s="1"/>
  <c r="D1123" i="19"/>
  <c r="F1123" i="19" s="1"/>
  <c r="D1124" i="19"/>
  <c r="F1124" i="19" s="1"/>
  <c r="D1125" i="19"/>
  <c r="F1125" i="19" s="1"/>
  <c r="D1126" i="19"/>
  <c r="F1126" i="19" s="1"/>
  <c r="D1127" i="19"/>
  <c r="F1127" i="19" s="1"/>
  <c r="D1128" i="19"/>
  <c r="F1128" i="19" s="1"/>
  <c r="D1129" i="19"/>
  <c r="F1129" i="19" s="1"/>
  <c r="D1130" i="19"/>
  <c r="F1130" i="19" s="1"/>
  <c r="D1131" i="19"/>
  <c r="F1131" i="19" s="1"/>
  <c r="D1132" i="19"/>
  <c r="F1132" i="19" s="1"/>
  <c r="D1133" i="19"/>
  <c r="F1133" i="19" s="1"/>
  <c r="D1134" i="19"/>
  <c r="F1134" i="19" s="1"/>
  <c r="D1135" i="19"/>
  <c r="F1135" i="19" s="1"/>
  <c r="D1136" i="19"/>
  <c r="F1136" i="19" s="1"/>
  <c r="D1137" i="19"/>
  <c r="F1137" i="19" s="1"/>
  <c r="D1138" i="19"/>
  <c r="F1138" i="19" s="1"/>
  <c r="D1139" i="19"/>
  <c r="F1139" i="19" s="1"/>
  <c r="D1140" i="19"/>
  <c r="F1140" i="19" s="1"/>
  <c r="D1141" i="19"/>
  <c r="F1141" i="19" s="1"/>
  <c r="D1142" i="19"/>
  <c r="F1142" i="19" s="1"/>
  <c r="D1143" i="19"/>
  <c r="F1143" i="19" s="1"/>
  <c r="D1144" i="19"/>
  <c r="F1144" i="19" s="1"/>
  <c r="D1145" i="19"/>
  <c r="F1145" i="19" s="1"/>
  <c r="D1146" i="19"/>
  <c r="F1146" i="19" s="1"/>
  <c r="D1147" i="19"/>
  <c r="F1147" i="19" s="1"/>
  <c r="D1148" i="19"/>
  <c r="F1148" i="19" s="1"/>
  <c r="D1149" i="19"/>
  <c r="F1149" i="19" s="1"/>
  <c r="D1150" i="19"/>
  <c r="F1150" i="19" s="1"/>
  <c r="D1151" i="19"/>
  <c r="F1151" i="19" s="1"/>
  <c r="D1152" i="19"/>
  <c r="F1152" i="19" s="1"/>
  <c r="D1153" i="19"/>
  <c r="F1153" i="19" s="1"/>
  <c r="D1154" i="19"/>
  <c r="F1154" i="19" s="1"/>
  <c r="D1155" i="19"/>
  <c r="F1155" i="19" s="1"/>
  <c r="D1156" i="19"/>
  <c r="F1156" i="19" s="1"/>
  <c r="D1157" i="19"/>
  <c r="F1157" i="19" s="1"/>
  <c r="D1158" i="19"/>
  <c r="F1158" i="19" s="1"/>
  <c r="D1159" i="19"/>
  <c r="F1159" i="19" s="1"/>
  <c r="D1160" i="19"/>
  <c r="F1160" i="19" s="1"/>
  <c r="D1161" i="19"/>
  <c r="F1161" i="19" s="1"/>
  <c r="D1162" i="19"/>
  <c r="F1162" i="19" s="1"/>
  <c r="D1163" i="19"/>
  <c r="F1163" i="19" s="1"/>
  <c r="D1164" i="19"/>
  <c r="F1164" i="19" s="1"/>
  <c r="D1165" i="19"/>
  <c r="F1165" i="19" s="1"/>
  <c r="D1166" i="19"/>
  <c r="F1166" i="19" s="1"/>
  <c r="D1167" i="19"/>
  <c r="F1167" i="19" s="1"/>
  <c r="D1168" i="19"/>
  <c r="F1168" i="19" s="1"/>
  <c r="D1169" i="19"/>
  <c r="F1169" i="19" s="1"/>
  <c r="D1170" i="19"/>
  <c r="F1170" i="19" s="1"/>
  <c r="D1171" i="19"/>
  <c r="F1171" i="19" s="1"/>
  <c r="D1172" i="19"/>
  <c r="F1172" i="19" s="1"/>
  <c r="D1173" i="19"/>
  <c r="F1173" i="19" s="1"/>
  <c r="D1174" i="19"/>
  <c r="F1174" i="19" s="1"/>
  <c r="D1175" i="19"/>
  <c r="F1175" i="19" s="1"/>
  <c r="D1176" i="19"/>
  <c r="F1176" i="19" s="1"/>
  <c r="D1177" i="19"/>
  <c r="F1177" i="19" s="1"/>
  <c r="D1178" i="19"/>
  <c r="F1178" i="19" s="1"/>
  <c r="D1179" i="19"/>
  <c r="F1179" i="19" s="1"/>
  <c r="D1180" i="19"/>
  <c r="F1180" i="19" s="1"/>
  <c r="D1181" i="19"/>
  <c r="F1181" i="19" s="1"/>
  <c r="D1182" i="19"/>
  <c r="F1182" i="19" s="1"/>
  <c r="D1183" i="19"/>
  <c r="F1183" i="19" s="1"/>
  <c r="D1184" i="19"/>
  <c r="F1184" i="19" s="1"/>
  <c r="D1185" i="19"/>
  <c r="F1185" i="19" s="1"/>
  <c r="D1186" i="19"/>
  <c r="F1186" i="19" s="1"/>
  <c r="D1187" i="19"/>
  <c r="F1187" i="19" s="1"/>
  <c r="D1188" i="19"/>
  <c r="F1188" i="19" s="1"/>
  <c r="D1189" i="19"/>
  <c r="F1189" i="19" s="1"/>
  <c r="D1190" i="19"/>
  <c r="F1190" i="19" s="1"/>
  <c r="D1191" i="19"/>
  <c r="F1191" i="19" s="1"/>
  <c r="D1192" i="19"/>
  <c r="F1192" i="19" s="1"/>
  <c r="D1193" i="19"/>
  <c r="F1193" i="19" s="1"/>
  <c r="D1194" i="19"/>
  <c r="F1194" i="19" s="1"/>
  <c r="D1195" i="19"/>
  <c r="F1195" i="19" s="1"/>
  <c r="D1196" i="19"/>
  <c r="F1196" i="19" s="1"/>
  <c r="D1197" i="19"/>
  <c r="F1197" i="19" s="1"/>
  <c r="D1198" i="19"/>
  <c r="F1198" i="19" s="1"/>
  <c r="D1199" i="19"/>
  <c r="F1199" i="19" s="1"/>
  <c r="D1200" i="19"/>
  <c r="F1200" i="19" s="1"/>
  <c r="D1201" i="19"/>
  <c r="F1201" i="19" s="1"/>
  <c r="D1202" i="19"/>
  <c r="F1202" i="19" s="1"/>
  <c r="D1203" i="19"/>
  <c r="F1203" i="19" s="1"/>
  <c r="D1204" i="19"/>
  <c r="F1204" i="19" s="1"/>
  <c r="D1205" i="19"/>
  <c r="F1205" i="19" s="1"/>
  <c r="D1206" i="19"/>
  <c r="F1206" i="19" s="1"/>
  <c r="D1207" i="19"/>
  <c r="F1207" i="19" s="1"/>
  <c r="D1208" i="19"/>
  <c r="F1208" i="19" s="1"/>
  <c r="D1209" i="19"/>
  <c r="F1209" i="19" s="1"/>
  <c r="D1210" i="19"/>
  <c r="F1210" i="19" s="1"/>
  <c r="D1211" i="19"/>
  <c r="F1211" i="19" s="1"/>
  <c r="D1212" i="19"/>
  <c r="F1212" i="19" s="1"/>
  <c r="D1213" i="19"/>
  <c r="F1213" i="19" s="1"/>
  <c r="D1214" i="19"/>
  <c r="F1214" i="19" s="1"/>
  <c r="D1215" i="19"/>
  <c r="F1215" i="19" s="1"/>
  <c r="D1216" i="19"/>
  <c r="F1216" i="19" s="1"/>
  <c r="D1217" i="19"/>
  <c r="F1217" i="19" s="1"/>
  <c r="D1218" i="19"/>
  <c r="F1218" i="19" s="1"/>
  <c r="D1219" i="19"/>
  <c r="F1219" i="19" s="1"/>
  <c r="D1220" i="19"/>
  <c r="F1220" i="19" s="1"/>
  <c r="D1221" i="19"/>
  <c r="F1221" i="19" s="1"/>
  <c r="D1222" i="19"/>
  <c r="F1222" i="19" s="1"/>
  <c r="D1223" i="19"/>
  <c r="F1223" i="19" s="1"/>
  <c r="D1224" i="19"/>
  <c r="F1224" i="19" s="1"/>
  <c r="D1225" i="19"/>
  <c r="F1225" i="19" s="1"/>
  <c r="D1226" i="19"/>
  <c r="F1226" i="19" s="1"/>
  <c r="D1227" i="19"/>
  <c r="F1227" i="19" s="1"/>
  <c r="D1228" i="19"/>
  <c r="F1228" i="19" s="1"/>
  <c r="D1229" i="19"/>
  <c r="F1229" i="19" s="1"/>
  <c r="D1230" i="19"/>
  <c r="F1230" i="19" s="1"/>
  <c r="D1231" i="19"/>
  <c r="F1231" i="19" s="1"/>
  <c r="D1232" i="19"/>
  <c r="F1232" i="19" s="1"/>
  <c r="D1233" i="19"/>
  <c r="F1233" i="19" s="1"/>
  <c r="D1234" i="19"/>
  <c r="F1234" i="19" s="1"/>
  <c r="D1235" i="19"/>
  <c r="F1235" i="19" s="1"/>
  <c r="D1236" i="19"/>
  <c r="F1236" i="19" s="1"/>
  <c r="D1237" i="19"/>
  <c r="F1237" i="19" s="1"/>
  <c r="D1238" i="19"/>
  <c r="F1238" i="19" s="1"/>
  <c r="D1239" i="19"/>
  <c r="F1239" i="19" s="1"/>
  <c r="D1240" i="19"/>
  <c r="F1240" i="19" s="1"/>
  <c r="D1241" i="19"/>
  <c r="F1241" i="19" s="1"/>
  <c r="D1242" i="19"/>
  <c r="F1242" i="19" s="1"/>
  <c r="D1243" i="19"/>
  <c r="F1243" i="19" s="1"/>
  <c r="D1244" i="19"/>
  <c r="F1244" i="19" s="1"/>
  <c r="D1245" i="19"/>
  <c r="F1245" i="19" s="1"/>
  <c r="D1246" i="19"/>
  <c r="F1246" i="19" s="1"/>
  <c r="D1247" i="19"/>
  <c r="F1247" i="19" s="1"/>
  <c r="D1248" i="19"/>
  <c r="F1248" i="19" s="1"/>
  <c r="D1249" i="19"/>
  <c r="F1249" i="19" s="1"/>
  <c r="D1250" i="19"/>
  <c r="F1250" i="19" s="1"/>
  <c r="D1251" i="19"/>
  <c r="F1251" i="19" s="1"/>
  <c r="D1252" i="19"/>
  <c r="F1252" i="19" s="1"/>
  <c r="D1253" i="19"/>
  <c r="F1253" i="19" s="1"/>
  <c r="D1254" i="19"/>
  <c r="F1254" i="19" s="1"/>
  <c r="D1255" i="19"/>
  <c r="F1255" i="19" s="1"/>
  <c r="D1256" i="19"/>
  <c r="F1256" i="19" s="1"/>
  <c r="D1257" i="19"/>
  <c r="F1257" i="19" s="1"/>
  <c r="D1258" i="19"/>
  <c r="F1258" i="19" s="1"/>
  <c r="D1259" i="19"/>
  <c r="F1259" i="19" s="1"/>
  <c r="D1260" i="19"/>
  <c r="F1260" i="19" s="1"/>
  <c r="D1261" i="19"/>
  <c r="F1261" i="19" s="1"/>
  <c r="D1262" i="19"/>
  <c r="F1262" i="19" s="1"/>
  <c r="D1263" i="19"/>
  <c r="F1263" i="19" s="1"/>
  <c r="D1264" i="19"/>
  <c r="F1264" i="19" s="1"/>
  <c r="D1265" i="19"/>
  <c r="F1265" i="19" s="1"/>
  <c r="D1266" i="19"/>
  <c r="F1266" i="19" s="1"/>
  <c r="D1267" i="19"/>
  <c r="F1267" i="19" s="1"/>
  <c r="D1268" i="19"/>
  <c r="F1268" i="19" s="1"/>
  <c r="D1269" i="19"/>
  <c r="F1269" i="19" s="1"/>
  <c r="D1270" i="19"/>
  <c r="F1270" i="19" s="1"/>
  <c r="D1271" i="19"/>
  <c r="F1271" i="19" s="1"/>
  <c r="D1272" i="19"/>
  <c r="F1272" i="19" s="1"/>
  <c r="D1273" i="19"/>
  <c r="F1273" i="19" s="1"/>
  <c r="D1274" i="19"/>
  <c r="F1274" i="19" s="1"/>
  <c r="D1275" i="19"/>
  <c r="F1275" i="19" s="1"/>
  <c r="D1276" i="19"/>
  <c r="F1276" i="19" s="1"/>
  <c r="D1277" i="19"/>
  <c r="F1277" i="19" s="1"/>
  <c r="D1278" i="19"/>
  <c r="F1278" i="19" s="1"/>
  <c r="D1279" i="19"/>
  <c r="F1279" i="19" s="1"/>
  <c r="D1280" i="19"/>
  <c r="F1280" i="19" s="1"/>
  <c r="D1281" i="19"/>
  <c r="F1281" i="19" s="1"/>
  <c r="D1282" i="19"/>
  <c r="F1282" i="19" s="1"/>
  <c r="D1283" i="19"/>
  <c r="F1283" i="19" s="1"/>
  <c r="D1284" i="19"/>
  <c r="F1284" i="19" s="1"/>
  <c r="D1285" i="19"/>
  <c r="F1285" i="19" s="1"/>
  <c r="D1286" i="19"/>
  <c r="F1286" i="19" s="1"/>
  <c r="D1287" i="19"/>
  <c r="F1287" i="19" s="1"/>
  <c r="D1288" i="19"/>
  <c r="F1288" i="19" s="1"/>
  <c r="D1289" i="19"/>
  <c r="F1289" i="19" s="1"/>
  <c r="D1290" i="19"/>
  <c r="F1290" i="19" s="1"/>
  <c r="D1291" i="19"/>
  <c r="F1291" i="19" s="1"/>
  <c r="D1292" i="19"/>
  <c r="F1292" i="19" s="1"/>
  <c r="D1293" i="19"/>
  <c r="F1293" i="19" s="1"/>
  <c r="D1294" i="19"/>
  <c r="F1294" i="19" s="1"/>
  <c r="D1295" i="19"/>
  <c r="F1295" i="19" s="1"/>
  <c r="D1296" i="19"/>
  <c r="F1296" i="19" s="1"/>
  <c r="D1297" i="19"/>
  <c r="F1297" i="19" s="1"/>
  <c r="D1298" i="19"/>
  <c r="F1298" i="19" s="1"/>
  <c r="D1299" i="19"/>
  <c r="F1299" i="19" s="1"/>
  <c r="D1300" i="19"/>
  <c r="F1300" i="19" s="1"/>
  <c r="D1301" i="19"/>
  <c r="F1301" i="19" s="1"/>
  <c r="D1302" i="19"/>
  <c r="F1302" i="19" s="1"/>
  <c r="D1303" i="19"/>
  <c r="F1303" i="19" s="1"/>
  <c r="D1304" i="19"/>
  <c r="F1304" i="19" s="1"/>
  <c r="D1305" i="19"/>
  <c r="F1305" i="19" s="1"/>
  <c r="D1306" i="19"/>
  <c r="F1306" i="19" s="1"/>
  <c r="D1307" i="19"/>
  <c r="F1307" i="19" s="1"/>
  <c r="D1308" i="19"/>
  <c r="F1308" i="19" s="1"/>
  <c r="D1309" i="19"/>
  <c r="F1309" i="19" s="1"/>
  <c r="D1310" i="19"/>
  <c r="F1310" i="19" s="1"/>
  <c r="D1311" i="19"/>
  <c r="F1311" i="19" s="1"/>
  <c r="D1312" i="19"/>
  <c r="F1312" i="19" s="1"/>
  <c r="D1313" i="19"/>
  <c r="F1313" i="19" s="1"/>
  <c r="D1314" i="19"/>
  <c r="F1314" i="19" s="1"/>
  <c r="D1315" i="19"/>
  <c r="F1315" i="19" s="1"/>
  <c r="D1316" i="19"/>
  <c r="F1316" i="19" s="1"/>
  <c r="D1317" i="19"/>
  <c r="F1317" i="19" s="1"/>
  <c r="D1318" i="19"/>
  <c r="F1318" i="19" s="1"/>
  <c r="D1319" i="19"/>
  <c r="F1319" i="19" s="1"/>
  <c r="D1320" i="19"/>
  <c r="F1320" i="19" s="1"/>
  <c r="D1321" i="19"/>
  <c r="F1321" i="19" s="1"/>
  <c r="D1322" i="19"/>
  <c r="F1322" i="19" s="1"/>
  <c r="D1323" i="19"/>
  <c r="F1323" i="19" s="1"/>
  <c r="D1324" i="19"/>
  <c r="F1324" i="19" s="1"/>
  <c r="D1325" i="19"/>
  <c r="F1325" i="19" s="1"/>
  <c r="D1326" i="19"/>
  <c r="F1326" i="19" s="1"/>
  <c r="D1327" i="19"/>
  <c r="F1327" i="19" s="1"/>
  <c r="D1328" i="19"/>
  <c r="F1328" i="19" s="1"/>
  <c r="D1329" i="19"/>
  <c r="F1329" i="19" s="1"/>
  <c r="D1330" i="19"/>
  <c r="F1330" i="19" s="1"/>
  <c r="D1331" i="19"/>
  <c r="F1331" i="19" s="1"/>
  <c r="D1332" i="19"/>
  <c r="F1332" i="19" s="1"/>
  <c r="D1333" i="19"/>
  <c r="F1333" i="19" s="1"/>
  <c r="D1334" i="19"/>
  <c r="F1334" i="19" s="1"/>
  <c r="D1335" i="19"/>
  <c r="F1335" i="19" s="1"/>
  <c r="D1336" i="19"/>
  <c r="F1336" i="19" s="1"/>
  <c r="D1337" i="19"/>
  <c r="F1337" i="19" s="1"/>
  <c r="D1338" i="19"/>
  <c r="F1338" i="19" s="1"/>
  <c r="D1339" i="19"/>
  <c r="F1339" i="19" s="1"/>
  <c r="D1340" i="19"/>
  <c r="F1340" i="19" s="1"/>
  <c r="D1341" i="19"/>
  <c r="F1341" i="19" s="1"/>
  <c r="D1342" i="19"/>
  <c r="F1342" i="19" s="1"/>
  <c r="D1343" i="19"/>
  <c r="F1343" i="19" s="1"/>
  <c r="D1344" i="19"/>
  <c r="F1344" i="19" s="1"/>
  <c r="D1345" i="19"/>
  <c r="F1345" i="19" s="1"/>
  <c r="D1346" i="19"/>
  <c r="F1346" i="19" s="1"/>
  <c r="D1347" i="19"/>
  <c r="F1347" i="19" s="1"/>
  <c r="D1348" i="19"/>
  <c r="F1348" i="19" s="1"/>
  <c r="D1349" i="19"/>
  <c r="F1349" i="19" s="1"/>
  <c r="D1350" i="19"/>
  <c r="F1350" i="19" s="1"/>
  <c r="D1351" i="19"/>
  <c r="F1351" i="19" s="1"/>
  <c r="D1352" i="19"/>
  <c r="F1352" i="19" s="1"/>
  <c r="D1353" i="19"/>
  <c r="F1353" i="19" s="1"/>
  <c r="D1354" i="19"/>
  <c r="F1354" i="19" s="1"/>
  <c r="D1355" i="19"/>
  <c r="F1355" i="19" s="1"/>
  <c r="D1356" i="19"/>
  <c r="F1356" i="19" s="1"/>
  <c r="D1357" i="19"/>
  <c r="F1357" i="19" s="1"/>
  <c r="D1358" i="19"/>
  <c r="F1358" i="19" s="1"/>
  <c r="D1359" i="19"/>
  <c r="F1359" i="19" s="1"/>
  <c r="D1360" i="19"/>
  <c r="F1360" i="19" s="1"/>
  <c r="D1361" i="19"/>
  <c r="F1361" i="19" s="1"/>
  <c r="D1362" i="19"/>
  <c r="F1362" i="19" s="1"/>
  <c r="D1363" i="19"/>
  <c r="F1363" i="19" s="1"/>
  <c r="D1364" i="19"/>
  <c r="F1364" i="19" s="1"/>
  <c r="D1365" i="19"/>
  <c r="F1365" i="19" s="1"/>
  <c r="D1366" i="19"/>
  <c r="F1366" i="19" s="1"/>
  <c r="D1367" i="19"/>
  <c r="F1367" i="19" s="1"/>
  <c r="D1368" i="19"/>
  <c r="F1368" i="19" s="1"/>
  <c r="D1369" i="19"/>
  <c r="F1369" i="19" s="1"/>
  <c r="D1370" i="19"/>
  <c r="F1370" i="19" s="1"/>
  <c r="D1371" i="19"/>
  <c r="F1371" i="19" s="1"/>
  <c r="D1372" i="19"/>
  <c r="F1372" i="19" s="1"/>
  <c r="D1373" i="19"/>
  <c r="F1373" i="19" s="1"/>
  <c r="D1374" i="19"/>
  <c r="F1374" i="19" s="1"/>
  <c r="D1375" i="19"/>
  <c r="F1375" i="19" s="1"/>
  <c r="D1376" i="19"/>
  <c r="F1376" i="19" s="1"/>
  <c r="D1377" i="19"/>
  <c r="F1377" i="19" s="1"/>
  <c r="D1378" i="19"/>
  <c r="F1378" i="19" s="1"/>
  <c r="D1379" i="19"/>
  <c r="F1379" i="19" s="1"/>
  <c r="D1380" i="19"/>
  <c r="F1380" i="19" s="1"/>
  <c r="D1381" i="19"/>
  <c r="F1381" i="19" s="1"/>
  <c r="D1382" i="19"/>
  <c r="F1382" i="19" s="1"/>
  <c r="D1383" i="19"/>
  <c r="F1383" i="19" s="1"/>
  <c r="D1384" i="19"/>
  <c r="F1384" i="19" s="1"/>
  <c r="D1385" i="19"/>
  <c r="F1385" i="19" s="1"/>
  <c r="D1386" i="19"/>
  <c r="F1386" i="19" s="1"/>
  <c r="D1387" i="19"/>
  <c r="F1387" i="19" s="1"/>
  <c r="D1388" i="19"/>
  <c r="F1388" i="19" s="1"/>
  <c r="D1389" i="19"/>
  <c r="F1389" i="19" s="1"/>
  <c r="D1390" i="19"/>
  <c r="F1390" i="19" s="1"/>
  <c r="D1391" i="19"/>
  <c r="F1391" i="19" s="1"/>
  <c r="D1392" i="19"/>
  <c r="F1392" i="19" s="1"/>
  <c r="D1393" i="19"/>
  <c r="F1393" i="19" s="1"/>
  <c r="D1394" i="19"/>
  <c r="F1394" i="19" s="1"/>
  <c r="D1395" i="19"/>
  <c r="F1395" i="19" s="1"/>
  <c r="D1396" i="19"/>
  <c r="F1396" i="19" s="1"/>
  <c r="D1397" i="19"/>
  <c r="F1397" i="19" s="1"/>
  <c r="D1398" i="19"/>
  <c r="F1398" i="19" s="1"/>
  <c r="D1399" i="19"/>
  <c r="F1399" i="19" s="1"/>
  <c r="D1400" i="19"/>
  <c r="F1400" i="19" s="1"/>
  <c r="D1401" i="19"/>
  <c r="F1401" i="19" s="1"/>
  <c r="D1402" i="19"/>
  <c r="F1402" i="19" s="1"/>
  <c r="D1403" i="19"/>
  <c r="F1403" i="19" s="1"/>
  <c r="D1404" i="19"/>
  <c r="F1404" i="19" s="1"/>
  <c r="D1405" i="19"/>
  <c r="F1405" i="19" s="1"/>
  <c r="D1406" i="19"/>
  <c r="F1406" i="19" s="1"/>
  <c r="D1407" i="19"/>
  <c r="F1407" i="19" s="1"/>
  <c r="D1408" i="19"/>
  <c r="F1408" i="19" s="1"/>
  <c r="D1409" i="19"/>
  <c r="F1409" i="19" s="1"/>
  <c r="D1410" i="19"/>
  <c r="F1410" i="19" s="1"/>
  <c r="D1411" i="19"/>
  <c r="F1411" i="19" s="1"/>
  <c r="D1412" i="19"/>
  <c r="F1412" i="19" s="1"/>
  <c r="D1413" i="19"/>
  <c r="F1413" i="19" s="1"/>
  <c r="D1414" i="19"/>
  <c r="F1414" i="19" s="1"/>
  <c r="D1415" i="19"/>
  <c r="F1415" i="19" s="1"/>
  <c r="D1416" i="19"/>
  <c r="F1416" i="19" s="1"/>
  <c r="D1417" i="19"/>
  <c r="F1417" i="19" s="1"/>
  <c r="D1418" i="19"/>
  <c r="F1418" i="19" s="1"/>
  <c r="D1419" i="19"/>
  <c r="F1419" i="19" s="1"/>
  <c r="D1420" i="19"/>
  <c r="F1420" i="19" s="1"/>
  <c r="D1421" i="19"/>
  <c r="F1421" i="19" s="1"/>
  <c r="D1422" i="19"/>
  <c r="F1422" i="19" s="1"/>
  <c r="D1423" i="19"/>
  <c r="F1423" i="19" s="1"/>
  <c r="D1424" i="19"/>
  <c r="F1424" i="19" s="1"/>
  <c r="D1425" i="19"/>
  <c r="F1425" i="19" s="1"/>
  <c r="D1426" i="19"/>
  <c r="F1426" i="19" s="1"/>
  <c r="D1427" i="19"/>
  <c r="F1427" i="19" s="1"/>
  <c r="D1428" i="19"/>
  <c r="F1428" i="19" s="1"/>
  <c r="D1429" i="19"/>
  <c r="F1429" i="19" s="1"/>
  <c r="D1430" i="19"/>
  <c r="F1430" i="19" s="1"/>
  <c r="D1431" i="19"/>
  <c r="F1431" i="19" s="1"/>
  <c r="D1432" i="19"/>
  <c r="F1432" i="19" s="1"/>
  <c r="D1433" i="19"/>
  <c r="F1433" i="19" s="1"/>
  <c r="D1434" i="19"/>
  <c r="F1434" i="19" s="1"/>
  <c r="D1435" i="19"/>
  <c r="F1435" i="19" s="1"/>
  <c r="D1436" i="19"/>
  <c r="F1436" i="19" s="1"/>
  <c r="D1437" i="19"/>
  <c r="F1437" i="19" s="1"/>
  <c r="D1438" i="19"/>
  <c r="F1438" i="19" s="1"/>
  <c r="D1439" i="19"/>
  <c r="F1439" i="19" s="1"/>
  <c r="D1440" i="19"/>
  <c r="F1440" i="19" s="1"/>
  <c r="D1441" i="19"/>
  <c r="F1441" i="19" s="1"/>
  <c r="D1442" i="19"/>
  <c r="F1442" i="19" s="1"/>
  <c r="D1443" i="19"/>
  <c r="F1443" i="19" s="1"/>
  <c r="D1444" i="19"/>
  <c r="F1444" i="19" s="1"/>
  <c r="D1445" i="19"/>
  <c r="F1445" i="19" s="1"/>
  <c r="D1446" i="19"/>
  <c r="F1446" i="19" s="1"/>
  <c r="D1447" i="19"/>
  <c r="F1447" i="19" s="1"/>
  <c r="D1448" i="19"/>
  <c r="F1448" i="19" s="1"/>
  <c r="D1449" i="19"/>
  <c r="F1449" i="19" s="1"/>
  <c r="D1450" i="19"/>
  <c r="F1450" i="19" s="1"/>
  <c r="D1451" i="19"/>
  <c r="F1451" i="19" s="1"/>
  <c r="D1452" i="19"/>
  <c r="F1452" i="19" s="1"/>
  <c r="D1453" i="19"/>
  <c r="F1453" i="19" s="1"/>
  <c r="D1454" i="19"/>
  <c r="F1454" i="19" s="1"/>
  <c r="D1455" i="19"/>
  <c r="F1455" i="19" s="1"/>
  <c r="D1456" i="19"/>
  <c r="F1456" i="19" s="1"/>
  <c r="D1457" i="19"/>
  <c r="F1457" i="19" s="1"/>
  <c r="D1458" i="19"/>
  <c r="F1458" i="19" s="1"/>
  <c r="D1459" i="19"/>
  <c r="F1459" i="19" s="1"/>
  <c r="D1460" i="19"/>
  <c r="F1460" i="19" s="1"/>
  <c r="D1461" i="19"/>
  <c r="F1461" i="19" s="1"/>
  <c r="D1462" i="19"/>
  <c r="F1462" i="19" s="1"/>
  <c r="D1463" i="19"/>
  <c r="F1463" i="19" s="1"/>
  <c r="D1464" i="19"/>
  <c r="F1464" i="19" s="1"/>
  <c r="D1465" i="19"/>
  <c r="F1465" i="19" s="1"/>
  <c r="D1466" i="19"/>
  <c r="F1466" i="19" s="1"/>
  <c r="D1467" i="19"/>
  <c r="F1467" i="19" s="1"/>
  <c r="D1468" i="19"/>
  <c r="F1468" i="19" s="1"/>
  <c r="D1469" i="19"/>
  <c r="F1469" i="19" s="1"/>
  <c r="D1470" i="19"/>
  <c r="F1470" i="19" s="1"/>
  <c r="D1471" i="19"/>
  <c r="F1471" i="19" s="1"/>
  <c r="D1472" i="19"/>
  <c r="F1472" i="19" s="1"/>
  <c r="D1473" i="19"/>
  <c r="F1473" i="19" s="1"/>
  <c r="D1474" i="19"/>
  <c r="F1474" i="19" s="1"/>
  <c r="D1475" i="19"/>
  <c r="F1475" i="19" s="1"/>
  <c r="D1476" i="19"/>
  <c r="F1476" i="19" s="1"/>
  <c r="D1477" i="19"/>
  <c r="F1477" i="19" s="1"/>
  <c r="D1478" i="19"/>
  <c r="F1478" i="19" s="1"/>
  <c r="D1479" i="19"/>
  <c r="F1479" i="19" s="1"/>
  <c r="D1480" i="19"/>
  <c r="F1480" i="19" s="1"/>
  <c r="D1481" i="19"/>
  <c r="F1481" i="19" s="1"/>
  <c r="D1482" i="19"/>
  <c r="F1482" i="19" s="1"/>
  <c r="D1483" i="19"/>
  <c r="F1483" i="19" s="1"/>
  <c r="D1484" i="19"/>
  <c r="F1484" i="19" s="1"/>
  <c r="D1485" i="19"/>
  <c r="F1485" i="19" s="1"/>
  <c r="D1486" i="19"/>
  <c r="F1486" i="19" s="1"/>
  <c r="D1487" i="19"/>
  <c r="F1487" i="19" s="1"/>
  <c r="D1488" i="19"/>
  <c r="F1488" i="19" s="1"/>
  <c r="D1489" i="19"/>
  <c r="F1489" i="19" s="1"/>
  <c r="D1490" i="19"/>
  <c r="F1490" i="19" s="1"/>
  <c r="D1491" i="19"/>
  <c r="F1491" i="19" s="1"/>
  <c r="D1492" i="19"/>
  <c r="F1492" i="19" s="1"/>
  <c r="D1493" i="19"/>
  <c r="F1493" i="19" s="1"/>
  <c r="D1494" i="19"/>
  <c r="F1494" i="19" s="1"/>
  <c r="D1495" i="19"/>
  <c r="F1495" i="19" s="1"/>
  <c r="D1496" i="19"/>
  <c r="F1496" i="19" s="1"/>
  <c r="D1497" i="19"/>
  <c r="F1497" i="19" s="1"/>
  <c r="D1498" i="19"/>
  <c r="F1498" i="19" s="1"/>
  <c r="D1499" i="19"/>
  <c r="F1499" i="19" s="1"/>
  <c r="D1500" i="19"/>
  <c r="F1500" i="19" s="1"/>
  <c r="D1501" i="19"/>
  <c r="F1501" i="19" s="1"/>
  <c r="D1502" i="19"/>
  <c r="F1502" i="19" s="1"/>
  <c r="D1503" i="19"/>
  <c r="F1503" i="19" s="1"/>
  <c r="D1504" i="19"/>
  <c r="F1504" i="19" s="1"/>
  <c r="D1505" i="19"/>
  <c r="F1505" i="19" s="1"/>
  <c r="D1506" i="19"/>
  <c r="F1506" i="19" s="1"/>
  <c r="D1507" i="19"/>
  <c r="F1507" i="19" s="1"/>
  <c r="D1508" i="19"/>
  <c r="F1508" i="19" s="1"/>
  <c r="D1509" i="19"/>
  <c r="F1509" i="19" s="1"/>
  <c r="D1510" i="19"/>
  <c r="F1510" i="19" s="1"/>
  <c r="D1511" i="19"/>
  <c r="F1511" i="19" s="1"/>
  <c r="D1512" i="19"/>
  <c r="F1512" i="19" s="1"/>
  <c r="D1513" i="19"/>
  <c r="F1513" i="19" s="1"/>
  <c r="D1514" i="19"/>
  <c r="F1514" i="19" s="1"/>
  <c r="D1515" i="19"/>
  <c r="F1515" i="19" s="1"/>
  <c r="D1516" i="19"/>
  <c r="F1516" i="19" s="1"/>
  <c r="D1517" i="19"/>
  <c r="F1517" i="19" s="1"/>
  <c r="D1518" i="19"/>
  <c r="F1518" i="19" s="1"/>
  <c r="D1519" i="19"/>
  <c r="F1519" i="19" s="1"/>
  <c r="D1520" i="19"/>
  <c r="F1520" i="19" s="1"/>
  <c r="D1521" i="19"/>
  <c r="F1521" i="19" s="1"/>
  <c r="D1522" i="19"/>
  <c r="F1522" i="19" s="1"/>
  <c r="D1523" i="19"/>
  <c r="F1523" i="19" s="1"/>
  <c r="D1524" i="19"/>
  <c r="F1524" i="19" s="1"/>
  <c r="D1525" i="19"/>
  <c r="F1525" i="19" s="1"/>
  <c r="D1526" i="19"/>
  <c r="F1526" i="19" s="1"/>
  <c r="D1527" i="19"/>
  <c r="F1527" i="19" s="1"/>
  <c r="D1528" i="19"/>
  <c r="F1528" i="19" s="1"/>
  <c r="D1529" i="19"/>
  <c r="F1529" i="19" s="1"/>
  <c r="D1530" i="19"/>
  <c r="F1530" i="19" s="1"/>
  <c r="D1531" i="19"/>
  <c r="F1531" i="19" s="1"/>
  <c r="D1532" i="19"/>
  <c r="F1532" i="19" s="1"/>
  <c r="D1533" i="19"/>
  <c r="F1533" i="19" s="1"/>
  <c r="D1534" i="19"/>
  <c r="F1534" i="19" s="1"/>
  <c r="D1535" i="19"/>
  <c r="F1535" i="19" s="1"/>
  <c r="D1536" i="19"/>
  <c r="F1536" i="19" s="1"/>
  <c r="D1537" i="19"/>
  <c r="F1537" i="19" s="1"/>
  <c r="D1538" i="19"/>
  <c r="F1538" i="19" s="1"/>
  <c r="D1539" i="19"/>
  <c r="F1539" i="19" s="1"/>
  <c r="D1540" i="19"/>
  <c r="F1540" i="19" s="1"/>
  <c r="D1541" i="19"/>
  <c r="F1541" i="19" s="1"/>
  <c r="D1542" i="19"/>
  <c r="F1542" i="19" s="1"/>
  <c r="D1543" i="19"/>
  <c r="F1543" i="19" s="1"/>
  <c r="D1544" i="19"/>
  <c r="F1544" i="19" s="1"/>
  <c r="D1545" i="19"/>
  <c r="F1545" i="19" s="1"/>
  <c r="D1546" i="19"/>
  <c r="F1546" i="19" s="1"/>
  <c r="D1547" i="19"/>
  <c r="F1547" i="19" s="1"/>
  <c r="D1548" i="19"/>
  <c r="F1548" i="19" s="1"/>
  <c r="D1549" i="19"/>
  <c r="F1549" i="19" s="1"/>
  <c r="D1550" i="19"/>
  <c r="F1550" i="19" s="1"/>
  <c r="D1551" i="19"/>
  <c r="F1551" i="19" s="1"/>
  <c r="D1552" i="19"/>
  <c r="F1552" i="19" s="1"/>
  <c r="D1553" i="19"/>
  <c r="F1553" i="19" s="1"/>
  <c r="D1554" i="19"/>
  <c r="F1554" i="19" s="1"/>
  <c r="D1555" i="19"/>
  <c r="F1555" i="19" s="1"/>
  <c r="D1556" i="19"/>
  <c r="F1556" i="19" s="1"/>
  <c r="D1557" i="19"/>
  <c r="F1557" i="19" s="1"/>
  <c r="D1558" i="19"/>
  <c r="F1558" i="19" s="1"/>
  <c r="D1559" i="19"/>
  <c r="F1559" i="19" s="1"/>
  <c r="D1560" i="19"/>
  <c r="F1560" i="19" s="1"/>
  <c r="D1561" i="19"/>
  <c r="F1561" i="19" s="1"/>
  <c r="D1562" i="19"/>
  <c r="F1562" i="19" s="1"/>
  <c r="D1563" i="19"/>
  <c r="F1563" i="19" s="1"/>
  <c r="D1564" i="19"/>
  <c r="F1564" i="19" s="1"/>
  <c r="D1565" i="19"/>
  <c r="F1565" i="19" s="1"/>
  <c r="D1566" i="19"/>
  <c r="F1566" i="19" s="1"/>
  <c r="D1567" i="19"/>
  <c r="F1567" i="19" s="1"/>
  <c r="D1568" i="19"/>
  <c r="F1568" i="19" s="1"/>
  <c r="D1569" i="19"/>
  <c r="F1569" i="19" s="1"/>
  <c r="D1570" i="19"/>
  <c r="F1570" i="19" s="1"/>
  <c r="D1571" i="19"/>
  <c r="F1571" i="19" s="1"/>
  <c r="D1572" i="19"/>
  <c r="F1572" i="19" s="1"/>
  <c r="D1573" i="19"/>
  <c r="F1573" i="19" s="1"/>
  <c r="D1574" i="19"/>
  <c r="F1574" i="19" s="1"/>
  <c r="D1575" i="19"/>
  <c r="F1575" i="19" s="1"/>
  <c r="D1576" i="19"/>
  <c r="F1576" i="19" s="1"/>
  <c r="D1577" i="19"/>
  <c r="F1577" i="19" s="1"/>
  <c r="D1578" i="19"/>
  <c r="F1578" i="19" s="1"/>
  <c r="D1579" i="19"/>
  <c r="F1579" i="19" s="1"/>
  <c r="D1580" i="19"/>
  <c r="F1580" i="19" s="1"/>
  <c r="D1581" i="19"/>
  <c r="F1581" i="19" s="1"/>
  <c r="D1582" i="19"/>
  <c r="F1582" i="19" s="1"/>
  <c r="D1583" i="19"/>
  <c r="F1583" i="19" s="1"/>
  <c r="D1584" i="19"/>
  <c r="F1584" i="19" s="1"/>
  <c r="D1585" i="19"/>
  <c r="F1585" i="19" s="1"/>
  <c r="D1586" i="19"/>
  <c r="F1586" i="19" s="1"/>
  <c r="D1587" i="19"/>
  <c r="F1587" i="19" s="1"/>
  <c r="D1588" i="19"/>
  <c r="F1588" i="19" s="1"/>
  <c r="D1589" i="19"/>
  <c r="F1589" i="19" s="1"/>
  <c r="D1590" i="19"/>
  <c r="F1590" i="19" s="1"/>
  <c r="D1591" i="19"/>
  <c r="F1591" i="19" s="1"/>
  <c r="D1592" i="19"/>
  <c r="F1592" i="19" s="1"/>
  <c r="D1593" i="19"/>
  <c r="F1593" i="19" s="1"/>
  <c r="D1594" i="19"/>
  <c r="F1594" i="19" s="1"/>
  <c r="D1595" i="19"/>
  <c r="F1595" i="19" s="1"/>
  <c r="D1596" i="19"/>
  <c r="F1596" i="19" s="1"/>
  <c r="D1597" i="19"/>
  <c r="F1597" i="19" s="1"/>
  <c r="D1598" i="19"/>
  <c r="F1598" i="19" s="1"/>
  <c r="D1599" i="19"/>
  <c r="F1599" i="19" s="1"/>
  <c r="D1600" i="19"/>
  <c r="F1600" i="19" s="1"/>
  <c r="D1601" i="19"/>
  <c r="F1601" i="19" s="1"/>
  <c r="D1602" i="19"/>
  <c r="F1602" i="19" s="1"/>
  <c r="D1603" i="19"/>
  <c r="F1603" i="19" s="1"/>
  <c r="D1604" i="19"/>
  <c r="F1604" i="19" s="1"/>
  <c r="D1605" i="19"/>
  <c r="F1605" i="19" s="1"/>
  <c r="D1606" i="19"/>
  <c r="F1606" i="19" s="1"/>
  <c r="D1607" i="19"/>
  <c r="F1607" i="19" s="1"/>
  <c r="D1608" i="19"/>
  <c r="F1608" i="19" s="1"/>
  <c r="D1609" i="19"/>
  <c r="F1609" i="19" s="1"/>
  <c r="D1610" i="19"/>
  <c r="F1610" i="19" s="1"/>
  <c r="D1611" i="19"/>
  <c r="F1611" i="19" s="1"/>
  <c r="D1612" i="19"/>
  <c r="F1612" i="19" s="1"/>
  <c r="D1613" i="19"/>
  <c r="F1613" i="19" s="1"/>
  <c r="D1614" i="19"/>
  <c r="F1614" i="19" s="1"/>
  <c r="D1615" i="19"/>
  <c r="F1615" i="19" s="1"/>
  <c r="D1616" i="19"/>
  <c r="F1616" i="19" s="1"/>
  <c r="D1617" i="19"/>
  <c r="F1617" i="19" s="1"/>
  <c r="D1618" i="19"/>
  <c r="F1618" i="19" s="1"/>
  <c r="D1619" i="19"/>
  <c r="F1619" i="19" s="1"/>
  <c r="D1620" i="19"/>
  <c r="F1620" i="19" s="1"/>
  <c r="D1621" i="19"/>
  <c r="F1621" i="19" s="1"/>
  <c r="D1622" i="19"/>
  <c r="F1622" i="19" s="1"/>
  <c r="D1623" i="19"/>
  <c r="F1623" i="19" s="1"/>
  <c r="D1624" i="19"/>
  <c r="F1624" i="19" s="1"/>
  <c r="D1625" i="19"/>
  <c r="F1625" i="19" s="1"/>
  <c r="D1626" i="19"/>
  <c r="F1626" i="19" s="1"/>
  <c r="D1627" i="19"/>
  <c r="F1627" i="19" s="1"/>
  <c r="D1628" i="19"/>
  <c r="F1628" i="19" s="1"/>
  <c r="D1629" i="19"/>
  <c r="F1629" i="19" s="1"/>
  <c r="D1630" i="19"/>
  <c r="F1630" i="19" s="1"/>
  <c r="D1631" i="19"/>
  <c r="F1631" i="19" s="1"/>
  <c r="D1632" i="19"/>
  <c r="F1632" i="19" s="1"/>
  <c r="D1633" i="19"/>
  <c r="F1633" i="19" s="1"/>
  <c r="D1634" i="19"/>
  <c r="F1634" i="19" s="1"/>
  <c r="D1635" i="19"/>
  <c r="F1635" i="19" s="1"/>
  <c r="D1636" i="19"/>
  <c r="F1636" i="19" s="1"/>
  <c r="D1637" i="19"/>
  <c r="F1637" i="19" s="1"/>
  <c r="D1638" i="19"/>
  <c r="F1638" i="19" s="1"/>
  <c r="D1639" i="19"/>
  <c r="F1639" i="19" s="1"/>
  <c r="D1640" i="19"/>
  <c r="F1640" i="19" s="1"/>
  <c r="D1641" i="19"/>
  <c r="F1641" i="19" s="1"/>
  <c r="D1642" i="19"/>
  <c r="F1642" i="19" s="1"/>
  <c r="D1643" i="19"/>
  <c r="F1643" i="19" s="1"/>
  <c r="D1644" i="19"/>
  <c r="F1644" i="19" s="1"/>
  <c r="D1645" i="19"/>
  <c r="F1645" i="19" s="1"/>
  <c r="D1646" i="19"/>
  <c r="F1646" i="19" s="1"/>
  <c r="D1647" i="19"/>
  <c r="F1647" i="19" s="1"/>
  <c r="D1648" i="19"/>
  <c r="F1648" i="19" s="1"/>
  <c r="D1649" i="19"/>
  <c r="F1649" i="19" s="1"/>
  <c r="D1650" i="19"/>
  <c r="F1650" i="19" s="1"/>
  <c r="D1651" i="19"/>
  <c r="F1651" i="19" s="1"/>
  <c r="D1652" i="19"/>
  <c r="F1652" i="19" s="1"/>
  <c r="D1653" i="19"/>
  <c r="F1653" i="19" s="1"/>
  <c r="D1654" i="19"/>
  <c r="F1654" i="19" s="1"/>
  <c r="D1655" i="19"/>
  <c r="F1655" i="19" s="1"/>
  <c r="D1656" i="19"/>
  <c r="F1656" i="19" s="1"/>
  <c r="D1657" i="19"/>
  <c r="F1657" i="19" s="1"/>
  <c r="D1658" i="19"/>
  <c r="F1658" i="19" s="1"/>
  <c r="D1659" i="19"/>
  <c r="F1659" i="19" s="1"/>
  <c r="D1660" i="19"/>
  <c r="F1660" i="19" s="1"/>
  <c r="D1661" i="19"/>
  <c r="F1661" i="19" s="1"/>
  <c r="D1662" i="19"/>
  <c r="F1662" i="19" s="1"/>
  <c r="D1663" i="19"/>
  <c r="F1663" i="19" s="1"/>
  <c r="D1664" i="19"/>
  <c r="F1664" i="19" s="1"/>
  <c r="D1665" i="19"/>
  <c r="F1665" i="19" s="1"/>
  <c r="D1666" i="19"/>
  <c r="F1666" i="19" s="1"/>
  <c r="D1667" i="19"/>
  <c r="F1667" i="19" s="1"/>
  <c r="D1668" i="19"/>
  <c r="F1668" i="19" s="1"/>
  <c r="D1669" i="19"/>
  <c r="F1669" i="19" s="1"/>
  <c r="D1670" i="19"/>
  <c r="F1670" i="19" s="1"/>
  <c r="D1671" i="19"/>
  <c r="F1671" i="19" s="1"/>
  <c r="D1672" i="19"/>
  <c r="F1672" i="19" s="1"/>
  <c r="D1673" i="19"/>
  <c r="F1673" i="19" s="1"/>
  <c r="D1674" i="19"/>
  <c r="F1674" i="19" s="1"/>
  <c r="D1675" i="19"/>
  <c r="F1675" i="19" s="1"/>
  <c r="D1676" i="19"/>
  <c r="F1676" i="19" s="1"/>
  <c r="D1677" i="19"/>
  <c r="F1677" i="19" s="1"/>
  <c r="D1678" i="19"/>
  <c r="F1678" i="19" s="1"/>
  <c r="D1679" i="19"/>
  <c r="F1679" i="19" s="1"/>
  <c r="D1680" i="19"/>
  <c r="F1680" i="19" s="1"/>
  <c r="D1681" i="19"/>
  <c r="F1681" i="19" s="1"/>
  <c r="D1682" i="19"/>
  <c r="F1682" i="19" s="1"/>
  <c r="D1683" i="19"/>
  <c r="F1683" i="19" s="1"/>
  <c r="D1684" i="19"/>
  <c r="F1684" i="19" s="1"/>
  <c r="D1685" i="19"/>
  <c r="F1685" i="19" s="1"/>
  <c r="D1686" i="19"/>
  <c r="F1686" i="19" s="1"/>
  <c r="D1687" i="19"/>
  <c r="F1687" i="19" s="1"/>
  <c r="D1688" i="19"/>
  <c r="F1688" i="19" s="1"/>
  <c r="D1689" i="19"/>
  <c r="F1689" i="19" s="1"/>
  <c r="D1690" i="19"/>
  <c r="F1690" i="19" s="1"/>
  <c r="D1691" i="19"/>
  <c r="F1691" i="19" s="1"/>
  <c r="D1692" i="19"/>
  <c r="F1692" i="19" s="1"/>
  <c r="D1693" i="19"/>
  <c r="F1693" i="19" s="1"/>
  <c r="D1694" i="19"/>
  <c r="F1694" i="19" s="1"/>
  <c r="D1695" i="19"/>
  <c r="F1695" i="19" s="1"/>
  <c r="D1696" i="19"/>
  <c r="F1696" i="19" s="1"/>
  <c r="D1697" i="19"/>
  <c r="F1697" i="19" s="1"/>
  <c r="D1698" i="19"/>
  <c r="F1698" i="19" s="1"/>
  <c r="D1699" i="19"/>
  <c r="F1699" i="19" s="1"/>
  <c r="D1700" i="19"/>
  <c r="F1700" i="19" s="1"/>
  <c r="D1701" i="19"/>
  <c r="F1701" i="19" s="1"/>
  <c r="D1702" i="19"/>
  <c r="F1702" i="19" s="1"/>
  <c r="D1703" i="19"/>
  <c r="F1703" i="19" s="1"/>
  <c r="D1704" i="19"/>
  <c r="F1704" i="19" s="1"/>
  <c r="D1705" i="19"/>
  <c r="F1705" i="19" s="1"/>
  <c r="D1706" i="19"/>
  <c r="F1706" i="19" s="1"/>
  <c r="D1707" i="19"/>
  <c r="F1707" i="19" s="1"/>
  <c r="D1708" i="19"/>
  <c r="F1708" i="19" s="1"/>
  <c r="D1709" i="19"/>
  <c r="F1709" i="19" s="1"/>
  <c r="D1710" i="19"/>
  <c r="F1710" i="19" s="1"/>
  <c r="D1711" i="19"/>
  <c r="F1711" i="19" s="1"/>
  <c r="D1712" i="19"/>
  <c r="F1712" i="19" s="1"/>
  <c r="D1713" i="19"/>
  <c r="F1713" i="19" s="1"/>
  <c r="D1714" i="19"/>
  <c r="F1714" i="19" s="1"/>
  <c r="D1715" i="19"/>
  <c r="F1715" i="19" s="1"/>
  <c r="D1716" i="19"/>
  <c r="F1716" i="19" s="1"/>
  <c r="D1717" i="19"/>
  <c r="F1717" i="19" s="1"/>
  <c r="D1718" i="19"/>
  <c r="F1718" i="19" s="1"/>
  <c r="D1719" i="19"/>
  <c r="F1719" i="19" s="1"/>
  <c r="D1720" i="19"/>
  <c r="F1720" i="19" s="1"/>
  <c r="D1721" i="19"/>
  <c r="F1721" i="19" s="1"/>
  <c r="D1722" i="19"/>
  <c r="F1722" i="19" s="1"/>
  <c r="D1723" i="19"/>
  <c r="F1723" i="19" s="1"/>
  <c r="D1724" i="19"/>
  <c r="F1724" i="19" s="1"/>
  <c r="D1725" i="19"/>
  <c r="F1725" i="19" s="1"/>
  <c r="D1726" i="19"/>
  <c r="F1726" i="19" s="1"/>
  <c r="D1727" i="19"/>
  <c r="F1727" i="19" s="1"/>
  <c r="D1728" i="19"/>
  <c r="F1728" i="19" s="1"/>
  <c r="D1729" i="19"/>
  <c r="F1729" i="19" s="1"/>
  <c r="D1730" i="19"/>
  <c r="F1730" i="19" s="1"/>
  <c r="D1731" i="19"/>
  <c r="F1731" i="19" s="1"/>
  <c r="D1732" i="19"/>
  <c r="F1732" i="19" s="1"/>
  <c r="D1733" i="19"/>
  <c r="F1733" i="19" s="1"/>
  <c r="D1734" i="19"/>
  <c r="F1734" i="19" s="1"/>
  <c r="D1735" i="19"/>
  <c r="F1735" i="19" s="1"/>
  <c r="D1736" i="19"/>
  <c r="F1736" i="19" s="1"/>
  <c r="D1737" i="19"/>
  <c r="F1737" i="19" s="1"/>
  <c r="D1738" i="19"/>
  <c r="F1738" i="19" s="1"/>
  <c r="D1739" i="19"/>
  <c r="F1739" i="19" s="1"/>
  <c r="D1740" i="19"/>
  <c r="F1740" i="19" s="1"/>
  <c r="D1741" i="19"/>
  <c r="F1741" i="19" s="1"/>
  <c r="D1742" i="19"/>
  <c r="F1742" i="19" s="1"/>
  <c r="D1743" i="19"/>
  <c r="F1743" i="19" s="1"/>
  <c r="D1744" i="19"/>
  <c r="F1744" i="19" s="1"/>
  <c r="D1745" i="19"/>
  <c r="F1745" i="19" s="1"/>
  <c r="D1746" i="19"/>
  <c r="F1746" i="19" s="1"/>
  <c r="D1747" i="19"/>
  <c r="F1747" i="19" s="1"/>
  <c r="D1748" i="19"/>
  <c r="F1748" i="19" s="1"/>
  <c r="D1749" i="19"/>
  <c r="F1749" i="19" s="1"/>
  <c r="D1750" i="19"/>
  <c r="F1750" i="19" s="1"/>
  <c r="D1751" i="19"/>
  <c r="F1751" i="19" s="1"/>
  <c r="D1752" i="19"/>
  <c r="F1752" i="19" s="1"/>
  <c r="D1753" i="19"/>
  <c r="F1753" i="19" s="1"/>
  <c r="D1754" i="19"/>
  <c r="F1754" i="19" s="1"/>
  <c r="D1755" i="19"/>
  <c r="F1755" i="19" s="1"/>
  <c r="D1756" i="19"/>
  <c r="F1756" i="19" s="1"/>
  <c r="D1757" i="19"/>
  <c r="F1757" i="19" s="1"/>
  <c r="D1758" i="19"/>
  <c r="F1758" i="19" s="1"/>
  <c r="D1759" i="19"/>
  <c r="F1759" i="19" s="1"/>
  <c r="D1760" i="19"/>
  <c r="F1760" i="19" s="1"/>
  <c r="D1761" i="19"/>
  <c r="F1761" i="19" s="1"/>
  <c r="D1762" i="19"/>
  <c r="F1762" i="19" s="1"/>
  <c r="D1763" i="19"/>
  <c r="F1763" i="19" s="1"/>
  <c r="D1764" i="19"/>
  <c r="F1764" i="19" s="1"/>
  <c r="D1765" i="19"/>
  <c r="F1765" i="19" s="1"/>
  <c r="D1766" i="19"/>
  <c r="F1766" i="19" s="1"/>
  <c r="D1767" i="19"/>
  <c r="F1767" i="19" s="1"/>
  <c r="D1768" i="19"/>
  <c r="F1768" i="19" s="1"/>
  <c r="D1769" i="19"/>
  <c r="F1769" i="19" s="1"/>
  <c r="D1770" i="19"/>
  <c r="F1770" i="19" s="1"/>
  <c r="D1771" i="19"/>
  <c r="F1771" i="19" s="1"/>
  <c r="D1772" i="19"/>
  <c r="F1772" i="19" s="1"/>
  <c r="D1773" i="19"/>
  <c r="F1773" i="19" s="1"/>
  <c r="D1774" i="19"/>
  <c r="F1774" i="19" s="1"/>
  <c r="D1775" i="19"/>
  <c r="F1775" i="19" s="1"/>
  <c r="D1776" i="19"/>
  <c r="F1776" i="19" s="1"/>
  <c r="D1777" i="19"/>
  <c r="F1777" i="19" s="1"/>
  <c r="D1778" i="19"/>
  <c r="F1778" i="19" s="1"/>
  <c r="D1779" i="19"/>
  <c r="F1779" i="19" s="1"/>
  <c r="D1780" i="19"/>
  <c r="F1780" i="19" s="1"/>
  <c r="D1781" i="19"/>
  <c r="F1781" i="19" s="1"/>
  <c r="D1782" i="19"/>
  <c r="F1782" i="19" s="1"/>
  <c r="D1783" i="19"/>
  <c r="F1783" i="19" s="1"/>
  <c r="D1784" i="19"/>
  <c r="F1784" i="19" s="1"/>
  <c r="D1785" i="19"/>
  <c r="F1785" i="19" s="1"/>
  <c r="D1786" i="19"/>
  <c r="F1786" i="19" s="1"/>
  <c r="D1787" i="19"/>
  <c r="F1787" i="19" s="1"/>
  <c r="D1788" i="19"/>
  <c r="F1788" i="19" s="1"/>
  <c r="D1789" i="19"/>
  <c r="F1789" i="19" s="1"/>
  <c r="D1790" i="19"/>
  <c r="F1790" i="19" s="1"/>
  <c r="D1791" i="19"/>
  <c r="F1791" i="19" s="1"/>
  <c r="D1792" i="19"/>
  <c r="F1792" i="19" s="1"/>
  <c r="D1793" i="19"/>
  <c r="F1793" i="19" s="1"/>
  <c r="D1794" i="19"/>
  <c r="F1794" i="19" s="1"/>
  <c r="D1795" i="19"/>
  <c r="F1795" i="19" s="1"/>
  <c r="D1796" i="19"/>
  <c r="F1796" i="19" s="1"/>
  <c r="D1797" i="19"/>
  <c r="F1797" i="19" s="1"/>
  <c r="D1798" i="19"/>
  <c r="F1798" i="19" s="1"/>
  <c r="D1799" i="19"/>
  <c r="F1799" i="19" s="1"/>
  <c r="D1800" i="19"/>
  <c r="F1800" i="19" s="1"/>
  <c r="D1801" i="19"/>
  <c r="F1801" i="19" s="1"/>
  <c r="D1802" i="19"/>
  <c r="F1802" i="19" s="1"/>
  <c r="D1803" i="19"/>
  <c r="F1803" i="19" s="1"/>
  <c r="D1804" i="19"/>
  <c r="F1804" i="19" s="1"/>
  <c r="D1805" i="19"/>
  <c r="F1805" i="19" s="1"/>
  <c r="D1806" i="19"/>
  <c r="F1806" i="19" s="1"/>
  <c r="D1807" i="19"/>
  <c r="F1807" i="19" s="1"/>
  <c r="D1808" i="19"/>
  <c r="F1808" i="19" s="1"/>
  <c r="D1809" i="19"/>
  <c r="F1809" i="19" s="1"/>
  <c r="D1810" i="19"/>
  <c r="F1810" i="19" s="1"/>
  <c r="D1811" i="19"/>
  <c r="F1811" i="19" s="1"/>
  <c r="D1812" i="19"/>
  <c r="F1812" i="19" s="1"/>
  <c r="D1813" i="19"/>
  <c r="F1813" i="19" s="1"/>
  <c r="D1814" i="19"/>
  <c r="F1814" i="19" s="1"/>
  <c r="D1815" i="19"/>
  <c r="F1815" i="19" s="1"/>
  <c r="D1816" i="19"/>
  <c r="F1816" i="19" s="1"/>
  <c r="D1817" i="19"/>
  <c r="F1817" i="19" s="1"/>
  <c r="D1818" i="19"/>
  <c r="F1818" i="19" s="1"/>
  <c r="D1819" i="19"/>
  <c r="F1819" i="19" s="1"/>
  <c r="D1820" i="19"/>
  <c r="F1820" i="19" s="1"/>
  <c r="D1821" i="19"/>
  <c r="F1821" i="19" s="1"/>
  <c r="D1822" i="19"/>
  <c r="F1822" i="19" s="1"/>
  <c r="D1823" i="19"/>
  <c r="F1823" i="19" s="1"/>
  <c r="D1824" i="19"/>
  <c r="F1824" i="19" s="1"/>
  <c r="D1825" i="19"/>
  <c r="F1825" i="19" s="1"/>
  <c r="D1826" i="19"/>
  <c r="F1826" i="19" s="1"/>
  <c r="D1827" i="19"/>
  <c r="F1827" i="19" s="1"/>
  <c r="D1828" i="19"/>
  <c r="F1828" i="19" s="1"/>
  <c r="D1829" i="19"/>
  <c r="F1829" i="19" s="1"/>
  <c r="D1830" i="19"/>
  <c r="F1830" i="19" s="1"/>
  <c r="D1831" i="19"/>
  <c r="F1831" i="19" s="1"/>
  <c r="D1832" i="19"/>
  <c r="F1832" i="19" s="1"/>
  <c r="D1833" i="19"/>
  <c r="F1833" i="19" s="1"/>
  <c r="D1834" i="19"/>
  <c r="F1834" i="19" s="1"/>
  <c r="D1835" i="19"/>
  <c r="F1835" i="19" s="1"/>
  <c r="D1836" i="19"/>
  <c r="F1836" i="19" s="1"/>
  <c r="D1837" i="19"/>
  <c r="F1837" i="19" s="1"/>
  <c r="D1838" i="19"/>
  <c r="F1838" i="19" s="1"/>
  <c r="D1839" i="19"/>
  <c r="F1839" i="19" s="1"/>
  <c r="D1840" i="19"/>
  <c r="F1840" i="19" s="1"/>
  <c r="D1841" i="19"/>
  <c r="F1841" i="19" s="1"/>
  <c r="D1842" i="19"/>
  <c r="F1842" i="19" s="1"/>
  <c r="D1843" i="19"/>
  <c r="F1843" i="19" s="1"/>
  <c r="D1844" i="19"/>
  <c r="F1844" i="19" s="1"/>
  <c r="D1845" i="19"/>
  <c r="F1845" i="19" s="1"/>
  <c r="D1846" i="19"/>
  <c r="F1846" i="19" s="1"/>
  <c r="D1847" i="19"/>
  <c r="F1847" i="19" s="1"/>
  <c r="D1848" i="19"/>
  <c r="F1848" i="19" s="1"/>
  <c r="D1849" i="19"/>
  <c r="F1849" i="19" s="1"/>
  <c r="D1850" i="19"/>
  <c r="F1850" i="19" s="1"/>
  <c r="D1851" i="19"/>
  <c r="F1851" i="19" s="1"/>
  <c r="D1852" i="19"/>
  <c r="F1852" i="19" s="1"/>
  <c r="D1853" i="19"/>
  <c r="F1853" i="19" s="1"/>
  <c r="D1854" i="19"/>
  <c r="F1854" i="19" s="1"/>
  <c r="D1855" i="19"/>
  <c r="F1855" i="19" s="1"/>
  <c r="D1856" i="19"/>
  <c r="F1856" i="19" s="1"/>
  <c r="D1857" i="19"/>
  <c r="F1857" i="19" s="1"/>
  <c r="D1858" i="19"/>
  <c r="F1858" i="19" s="1"/>
  <c r="D1859" i="19"/>
  <c r="F1859" i="19" s="1"/>
  <c r="D1860" i="19"/>
  <c r="F1860" i="19" s="1"/>
  <c r="D1861" i="19"/>
  <c r="F1861" i="19" s="1"/>
  <c r="D1862" i="19"/>
  <c r="F1862" i="19" s="1"/>
  <c r="D1863" i="19"/>
  <c r="F1863" i="19" s="1"/>
  <c r="D1864" i="19"/>
  <c r="F1864" i="19" s="1"/>
  <c r="D1865" i="19"/>
  <c r="F1865" i="19" s="1"/>
  <c r="D1866" i="19"/>
  <c r="F1866" i="19" s="1"/>
  <c r="D1867" i="19"/>
  <c r="F1867" i="19" s="1"/>
  <c r="D1868" i="19"/>
  <c r="F1868" i="19" s="1"/>
  <c r="D1869" i="19"/>
  <c r="F1869" i="19" s="1"/>
  <c r="D1870" i="19"/>
  <c r="F1870" i="19" s="1"/>
  <c r="D1871" i="19"/>
  <c r="F1871" i="19" s="1"/>
  <c r="D1872" i="19"/>
  <c r="F1872" i="19" s="1"/>
  <c r="D1873" i="19"/>
  <c r="F1873" i="19" s="1"/>
  <c r="D1874" i="19"/>
  <c r="F1874" i="19" s="1"/>
  <c r="D1875" i="19"/>
  <c r="F1875" i="19" s="1"/>
  <c r="D1876" i="19"/>
  <c r="F1876" i="19" s="1"/>
  <c r="D1877" i="19"/>
  <c r="F1877" i="19" s="1"/>
  <c r="D1878" i="19"/>
  <c r="F1878" i="19" s="1"/>
  <c r="D1879" i="19"/>
  <c r="F1879" i="19" s="1"/>
  <c r="D1880" i="19"/>
  <c r="F1880" i="19" s="1"/>
  <c r="D1881" i="19"/>
  <c r="F1881" i="19" s="1"/>
  <c r="D1882" i="19"/>
  <c r="F1882" i="19" s="1"/>
  <c r="D1883" i="19"/>
  <c r="F1883" i="19" s="1"/>
  <c r="D1884" i="19"/>
  <c r="F1884" i="19" s="1"/>
  <c r="D1885" i="19"/>
  <c r="F1885" i="19" s="1"/>
  <c r="D1886" i="19"/>
  <c r="F1886" i="19" s="1"/>
  <c r="D1887" i="19"/>
  <c r="F1887" i="19" s="1"/>
  <c r="D1888" i="19"/>
  <c r="F1888" i="19" s="1"/>
  <c r="D1889" i="19"/>
  <c r="F1889" i="19" s="1"/>
  <c r="D1890" i="19"/>
  <c r="F1890" i="19" s="1"/>
  <c r="D1891" i="19"/>
  <c r="F1891" i="19" s="1"/>
  <c r="D1892" i="19"/>
  <c r="F1892" i="19" s="1"/>
  <c r="D1893" i="19"/>
  <c r="F1893" i="19" s="1"/>
  <c r="D1894" i="19"/>
  <c r="F1894" i="19" s="1"/>
  <c r="D1895" i="19"/>
  <c r="F1895" i="19" s="1"/>
  <c r="D1896" i="19"/>
  <c r="F1896" i="19" s="1"/>
  <c r="D1897" i="19"/>
  <c r="F1897" i="19" s="1"/>
  <c r="D1898" i="19"/>
  <c r="F1898" i="19" s="1"/>
  <c r="D1899" i="19"/>
  <c r="F1899" i="19" s="1"/>
  <c r="D1900" i="19"/>
  <c r="F1900" i="19" s="1"/>
  <c r="D1901" i="19"/>
  <c r="F1901" i="19" s="1"/>
  <c r="D1902" i="19"/>
  <c r="F1902" i="19" s="1"/>
  <c r="D1903" i="19"/>
  <c r="F1903" i="19" s="1"/>
  <c r="D1904" i="19"/>
  <c r="F1904" i="19" s="1"/>
  <c r="D1905" i="19"/>
  <c r="F1905" i="19" s="1"/>
  <c r="D1906" i="19"/>
  <c r="F1906" i="19" s="1"/>
  <c r="D1907" i="19"/>
  <c r="F1907" i="19" s="1"/>
  <c r="D1908" i="19"/>
  <c r="F1908" i="19" s="1"/>
  <c r="D1909" i="19"/>
  <c r="F1909" i="19" s="1"/>
  <c r="D1910" i="19"/>
  <c r="F1910" i="19" s="1"/>
  <c r="D1911" i="19"/>
  <c r="F1911" i="19" s="1"/>
  <c r="D1912" i="19"/>
  <c r="F1912" i="19" s="1"/>
  <c r="D1913" i="19"/>
  <c r="F1913" i="19" s="1"/>
  <c r="D1914" i="19"/>
  <c r="F1914" i="19" s="1"/>
  <c r="D1915" i="19"/>
  <c r="F1915" i="19" s="1"/>
  <c r="D1916" i="19"/>
  <c r="F1916" i="19" s="1"/>
  <c r="D1917" i="19"/>
  <c r="F1917" i="19" s="1"/>
  <c r="D1918" i="19"/>
  <c r="F1918" i="19" s="1"/>
  <c r="D1919" i="19"/>
  <c r="F1919" i="19" s="1"/>
  <c r="D1920" i="19"/>
  <c r="F1920" i="19" s="1"/>
  <c r="D1921" i="19"/>
  <c r="F1921" i="19" s="1"/>
  <c r="D1922" i="19"/>
  <c r="F1922" i="19" s="1"/>
  <c r="D1923" i="19"/>
  <c r="F1923" i="19" s="1"/>
  <c r="D1924" i="19"/>
  <c r="F1924" i="19" s="1"/>
  <c r="D1925" i="19"/>
  <c r="F1925" i="19" s="1"/>
  <c r="D1926" i="19"/>
  <c r="F1926" i="19" s="1"/>
  <c r="D1927" i="19"/>
  <c r="F1927" i="19" s="1"/>
  <c r="D1928" i="19"/>
  <c r="F1928" i="19" s="1"/>
  <c r="D1929" i="19"/>
  <c r="F1929" i="19" s="1"/>
  <c r="D1930" i="19"/>
  <c r="F1930" i="19" s="1"/>
  <c r="D1931" i="19"/>
  <c r="F1931" i="19" s="1"/>
  <c r="D1932" i="19"/>
  <c r="F1932" i="19" s="1"/>
  <c r="D1933" i="19"/>
  <c r="F1933" i="19" s="1"/>
  <c r="D1934" i="19"/>
  <c r="F1934" i="19" s="1"/>
  <c r="D1935" i="19"/>
  <c r="F1935" i="19" s="1"/>
  <c r="D1936" i="19"/>
  <c r="F1936" i="19" s="1"/>
  <c r="D1937" i="19"/>
  <c r="F1937" i="19" s="1"/>
  <c r="D1938" i="19"/>
  <c r="F1938" i="19" s="1"/>
  <c r="D1939" i="19"/>
  <c r="F1939" i="19" s="1"/>
  <c r="D1940" i="19"/>
  <c r="F1940" i="19" s="1"/>
  <c r="D1941" i="19"/>
  <c r="F1941" i="19" s="1"/>
  <c r="D1942" i="19"/>
  <c r="F1942" i="19" s="1"/>
  <c r="D1943" i="19"/>
  <c r="F1943" i="19" s="1"/>
  <c r="D1944" i="19"/>
  <c r="F1944" i="19" s="1"/>
  <c r="D1945" i="19"/>
  <c r="F1945" i="19" s="1"/>
  <c r="D1946" i="19"/>
  <c r="F1946" i="19" s="1"/>
  <c r="D1947" i="19"/>
  <c r="F1947" i="19" s="1"/>
  <c r="D1948" i="19"/>
  <c r="F1948" i="19" s="1"/>
  <c r="D1949" i="19"/>
  <c r="F1949" i="19" s="1"/>
  <c r="D1950" i="19"/>
  <c r="F1950" i="19" s="1"/>
  <c r="D1951" i="19"/>
  <c r="F1951" i="19" s="1"/>
  <c r="D1952" i="19"/>
  <c r="F1952" i="19" s="1"/>
  <c r="D1953" i="19"/>
  <c r="F1953" i="19" s="1"/>
  <c r="D1954" i="19"/>
  <c r="F1954" i="19" s="1"/>
  <c r="D1955" i="19"/>
  <c r="F1955" i="19" s="1"/>
  <c r="D1956" i="19"/>
  <c r="F1956" i="19" s="1"/>
  <c r="D1957" i="19"/>
  <c r="F1957" i="19" s="1"/>
  <c r="D1958" i="19"/>
  <c r="F1958" i="19" s="1"/>
  <c r="D1959" i="19"/>
  <c r="F1959" i="19" s="1"/>
  <c r="D1960" i="19"/>
  <c r="F1960" i="19" s="1"/>
  <c r="D1961" i="19"/>
  <c r="F1961" i="19" s="1"/>
  <c r="D1962" i="19"/>
  <c r="F1962" i="19" s="1"/>
  <c r="D1963" i="19"/>
  <c r="F1963" i="19" s="1"/>
  <c r="D1964" i="19"/>
  <c r="F1964" i="19" s="1"/>
  <c r="D1965" i="19"/>
  <c r="F1965" i="19" s="1"/>
  <c r="D1966" i="19"/>
  <c r="F1966" i="19" s="1"/>
  <c r="D1967" i="19"/>
  <c r="F1967" i="19" s="1"/>
  <c r="D1968" i="19"/>
  <c r="F1968" i="19" s="1"/>
  <c r="D1969" i="19"/>
  <c r="F1969" i="19" s="1"/>
  <c r="D1970" i="19"/>
  <c r="F1970" i="19" s="1"/>
  <c r="D1971" i="19"/>
  <c r="F1971" i="19" s="1"/>
  <c r="D1972" i="19"/>
  <c r="F1972" i="19" s="1"/>
  <c r="D1973" i="19"/>
  <c r="F1973" i="19" s="1"/>
  <c r="D1974" i="19"/>
  <c r="F1974" i="19" s="1"/>
  <c r="D1975" i="19"/>
  <c r="F1975" i="19" s="1"/>
  <c r="D1976" i="19"/>
  <c r="F1976" i="19" s="1"/>
  <c r="D1977" i="19"/>
  <c r="F1977" i="19" s="1"/>
  <c r="D1978" i="19"/>
  <c r="F1978" i="19" s="1"/>
  <c r="D1979" i="19"/>
  <c r="F1979" i="19" s="1"/>
  <c r="D1980" i="19"/>
  <c r="F1980" i="19" s="1"/>
  <c r="D1981" i="19"/>
  <c r="F1981" i="19" s="1"/>
  <c r="D1982" i="19"/>
  <c r="F1982" i="19" s="1"/>
  <c r="D1983" i="19"/>
  <c r="F1983" i="19" s="1"/>
  <c r="D1984" i="19"/>
  <c r="F1984" i="19" s="1"/>
  <c r="D1985" i="19"/>
  <c r="F1985" i="19" s="1"/>
  <c r="D1986" i="19"/>
  <c r="F1986" i="19" s="1"/>
  <c r="D1987" i="19"/>
  <c r="F1987" i="19" s="1"/>
  <c r="D1988" i="19"/>
  <c r="F1988" i="19" s="1"/>
  <c r="D1989" i="19"/>
  <c r="F1989" i="19" s="1"/>
  <c r="D1990" i="19"/>
  <c r="F1990" i="19" s="1"/>
  <c r="D1991" i="19"/>
  <c r="F1991" i="19" s="1"/>
  <c r="D1992" i="19"/>
  <c r="F1992" i="19" s="1"/>
  <c r="D1993" i="19"/>
  <c r="F1993" i="19" s="1"/>
  <c r="D1994" i="19"/>
  <c r="F1994" i="19" s="1"/>
  <c r="D1995" i="19"/>
  <c r="F1995" i="19" s="1"/>
  <c r="D1996" i="19"/>
  <c r="F1996" i="19" s="1"/>
  <c r="D1997" i="19"/>
  <c r="F1997" i="19" s="1"/>
  <c r="D1998" i="19"/>
  <c r="F1998" i="19" s="1"/>
  <c r="D1999" i="19"/>
  <c r="F1999" i="19" s="1"/>
  <c r="D2000" i="19"/>
  <c r="F2000" i="19" s="1"/>
  <c r="D2001" i="19"/>
  <c r="F2001" i="19" s="1"/>
  <c r="D2002" i="19"/>
  <c r="F2002" i="19" s="1"/>
  <c r="D2003" i="19"/>
  <c r="F2003" i="19" s="1"/>
  <c r="D2004" i="19"/>
  <c r="F2004" i="19" s="1"/>
  <c r="D2005" i="19"/>
  <c r="F2005" i="19" s="1"/>
  <c r="D2006" i="19"/>
  <c r="F2006" i="19" s="1"/>
  <c r="D2007" i="19"/>
  <c r="F2007" i="19" s="1"/>
  <c r="D2008" i="19"/>
  <c r="F2008" i="19" s="1"/>
  <c r="D2009" i="19"/>
  <c r="F2009" i="19" s="1"/>
  <c r="D2010" i="19"/>
  <c r="F2010" i="19" s="1"/>
  <c r="D2011" i="19"/>
  <c r="F2011" i="19" s="1"/>
  <c r="D2012" i="19"/>
  <c r="F2012" i="19" s="1"/>
  <c r="D2013" i="19"/>
  <c r="F2013" i="19" s="1"/>
  <c r="D2014" i="19"/>
  <c r="F2014" i="19" s="1"/>
  <c r="D2015" i="19"/>
  <c r="F2015" i="19" s="1"/>
  <c r="D2016" i="19"/>
  <c r="F2016" i="19" s="1"/>
  <c r="D2017" i="19"/>
  <c r="F2017" i="19" s="1"/>
  <c r="D2018" i="19"/>
  <c r="F2018" i="19" s="1"/>
  <c r="D2019" i="19"/>
  <c r="F2019" i="19" s="1"/>
  <c r="D2020" i="19"/>
  <c r="F2020" i="19" s="1"/>
  <c r="D2021" i="19"/>
  <c r="F2021" i="19" s="1"/>
  <c r="D2022" i="19"/>
  <c r="F2022" i="19" s="1"/>
  <c r="D2023" i="19"/>
  <c r="F2023" i="19" s="1"/>
  <c r="D2024" i="19"/>
  <c r="F2024" i="19" s="1"/>
  <c r="D2025" i="19"/>
  <c r="F2025" i="19" s="1"/>
  <c r="D2026" i="19"/>
  <c r="F2026" i="19" s="1"/>
  <c r="D2027" i="19"/>
  <c r="F2027" i="19" s="1"/>
  <c r="D2028" i="19"/>
  <c r="F2028" i="19" s="1"/>
  <c r="D2029" i="19"/>
  <c r="F2029" i="19" s="1"/>
  <c r="D2030" i="19"/>
  <c r="F2030" i="19" s="1"/>
  <c r="D2031" i="19"/>
  <c r="F2031" i="19" s="1"/>
  <c r="D2032" i="19"/>
  <c r="F2032" i="19" s="1"/>
  <c r="D2033" i="19"/>
  <c r="F2033" i="19" s="1"/>
  <c r="D2034" i="19"/>
  <c r="F2034" i="19" s="1"/>
  <c r="D2035" i="19"/>
  <c r="F2035" i="19" s="1"/>
  <c r="D2036" i="19"/>
  <c r="F2036" i="19" s="1"/>
  <c r="D2037" i="19"/>
  <c r="F2037" i="19" s="1"/>
  <c r="D2038" i="19"/>
  <c r="F2038" i="19" s="1"/>
  <c r="D2039" i="19"/>
  <c r="F2039" i="19" s="1"/>
  <c r="D2040" i="19"/>
  <c r="F2040" i="19" s="1"/>
  <c r="D2041" i="19"/>
  <c r="F2041" i="19" s="1"/>
  <c r="D2042" i="19"/>
  <c r="F2042" i="19" s="1"/>
  <c r="D2043" i="19"/>
  <c r="F2043" i="19" s="1"/>
  <c r="D2044" i="19"/>
  <c r="F2044" i="19" s="1"/>
  <c r="D2045" i="19"/>
  <c r="F2045" i="19" s="1"/>
  <c r="D2046" i="19"/>
  <c r="F2046" i="19" s="1"/>
  <c r="D2047" i="19"/>
  <c r="F2047" i="19" s="1"/>
  <c r="D2048" i="19"/>
  <c r="F2048" i="19" s="1"/>
  <c r="D2049" i="19"/>
  <c r="F2049" i="19" s="1"/>
  <c r="D2050" i="19"/>
  <c r="F2050" i="19" s="1"/>
  <c r="D2051" i="19"/>
  <c r="F2051" i="19" s="1"/>
  <c r="D2052" i="19"/>
  <c r="F2052" i="19" s="1"/>
  <c r="D2053" i="19"/>
  <c r="F2053" i="19" s="1"/>
  <c r="D2054" i="19"/>
  <c r="F2054" i="19" s="1"/>
  <c r="D2055" i="19"/>
  <c r="F2055" i="19" s="1"/>
  <c r="D2056" i="19"/>
  <c r="F2056" i="19" s="1"/>
  <c r="D2057" i="19"/>
  <c r="F2057" i="19" s="1"/>
  <c r="D2058" i="19"/>
  <c r="F2058" i="19" s="1"/>
  <c r="D2059" i="19"/>
  <c r="F2059" i="19" s="1"/>
  <c r="D2060" i="19"/>
  <c r="F2060" i="19" s="1"/>
  <c r="D2061" i="19"/>
  <c r="F2061" i="19" s="1"/>
  <c r="D2062" i="19"/>
  <c r="F2062" i="19" s="1"/>
  <c r="D2063" i="19"/>
  <c r="F2063" i="19" s="1"/>
  <c r="D2064" i="19"/>
  <c r="F2064" i="19" s="1"/>
  <c r="D2065" i="19"/>
  <c r="F2065" i="19" s="1"/>
  <c r="D2066" i="19"/>
  <c r="F2066" i="19" s="1"/>
  <c r="D2067" i="19"/>
  <c r="F2067" i="19" s="1"/>
  <c r="D2068" i="19"/>
  <c r="F2068" i="19" s="1"/>
  <c r="D2069" i="19"/>
  <c r="F2069" i="19" s="1"/>
  <c r="D2070" i="19"/>
  <c r="F2070" i="19" s="1"/>
  <c r="D2071" i="19"/>
  <c r="F2071" i="19" s="1"/>
  <c r="D2072" i="19"/>
  <c r="F2072" i="19" s="1"/>
  <c r="D2073" i="19"/>
  <c r="F2073" i="19" s="1"/>
  <c r="D2074" i="19"/>
  <c r="F2074" i="19" s="1"/>
  <c r="D2075" i="19"/>
  <c r="F2075" i="19" s="1"/>
  <c r="D2076" i="19"/>
  <c r="F2076" i="19" s="1"/>
  <c r="D2077" i="19"/>
  <c r="F2077" i="19" s="1"/>
  <c r="D2078" i="19"/>
  <c r="F2078" i="19" s="1"/>
  <c r="D2079" i="19"/>
  <c r="F2079" i="19" s="1"/>
  <c r="D2080" i="19"/>
  <c r="F2080" i="19" s="1"/>
  <c r="D2081" i="19"/>
  <c r="F2081" i="19" s="1"/>
  <c r="D2082" i="19"/>
  <c r="F2082" i="19" s="1"/>
  <c r="D2083" i="19"/>
  <c r="F2083" i="19" s="1"/>
  <c r="D2084" i="19"/>
  <c r="F2084" i="19" s="1"/>
  <c r="D2085" i="19"/>
  <c r="F2085" i="19" s="1"/>
  <c r="D2086" i="19"/>
  <c r="F2086" i="19" s="1"/>
  <c r="D2087" i="19"/>
  <c r="F2087" i="19" s="1"/>
  <c r="D2088" i="19"/>
  <c r="F2088" i="19" s="1"/>
  <c r="D2089" i="19"/>
  <c r="F2089" i="19" s="1"/>
  <c r="D2090" i="19"/>
  <c r="F2090" i="19" s="1"/>
  <c r="D2091" i="19"/>
  <c r="F2091" i="19" s="1"/>
  <c r="D2092" i="19"/>
  <c r="F2092" i="19" s="1"/>
  <c r="D2093" i="19"/>
  <c r="F2093" i="19" s="1"/>
  <c r="D2094" i="19"/>
  <c r="F2094" i="19" s="1"/>
  <c r="D2095" i="19"/>
  <c r="F2095" i="19" s="1"/>
  <c r="D2096" i="19"/>
  <c r="F2096" i="19" s="1"/>
  <c r="D2097" i="19"/>
  <c r="F2097" i="19" s="1"/>
  <c r="D2098" i="19"/>
  <c r="F2098" i="19" s="1"/>
  <c r="D2099" i="19"/>
  <c r="F2099" i="19" s="1"/>
  <c r="D2100" i="19"/>
  <c r="F2100" i="19" s="1"/>
  <c r="D2101" i="19"/>
  <c r="F2101" i="19" s="1"/>
  <c r="D2102" i="19"/>
  <c r="F2102" i="19" s="1"/>
  <c r="D2103" i="19"/>
  <c r="F2103" i="19" s="1"/>
  <c r="D2104" i="19"/>
  <c r="F2104" i="19" s="1"/>
  <c r="D2105" i="19"/>
  <c r="F2105" i="19" s="1"/>
  <c r="D2106" i="19"/>
  <c r="F2106" i="19" s="1"/>
  <c r="D2107" i="19"/>
  <c r="F2107" i="19" s="1"/>
  <c r="D2108" i="19"/>
  <c r="F2108" i="19" s="1"/>
  <c r="D2109" i="19"/>
  <c r="F2109" i="19" s="1"/>
  <c r="D2110" i="19"/>
  <c r="F2110" i="19" s="1"/>
  <c r="D2111" i="19"/>
  <c r="F2111" i="19" s="1"/>
  <c r="D2112" i="19"/>
  <c r="F2112" i="19" s="1"/>
  <c r="D2113" i="19"/>
  <c r="F2113" i="19" s="1"/>
  <c r="D2114" i="19"/>
  <c r="F2114" i="19" s="1"/>
  <c r="D2115" i="19"/>
  <c r="F2115" i="19" s="1"/>
  <c r="D2116" i="19"/>
  <c r="F2116" i="19" s="1"/>
  <c r="D2117" i="19"/>
  <c r="F2117" i="19" s="1"/>
  <c r="D2118" i="19"/>
  <c r="F2118" i="19" s="1"/>
  <c r="D2119" i="19"/>
  <c r="F2119" i="19" s="1"/>
  <c r="D2120" i="19"/>
  <c r="F2120" i="19" s="1"/>
  <c r="D2121" i="19"/>
  <c r="F2121" i="19" s="1"/>
  <c r="D2122" i="19"/>
  <c r="F2122" i="19" s="1"/>
  <c r="D2123" i="19"/>
  <c r="F2123" i="19" s="1"/>
  <c r="D2124" i="19"/>
  <c r="F2124" i="19" s="1"/>
  <c r="D2125" i="19"/>
  <c r="F2125" i="19" s="1"/>
  <c r="D2126" i="19"/>
  <c r="F2126" i="19" s="1"/>
  <c r="D2127" i="19"/>
  <c r="F2127" i="19" s="1"/>
  <c r="D2128" i="19"/>
  <c r="F2128" i="19" s="1"/>
  <c r="D2129" i="19"/>
  <c r="F2129" i="19" s="1"/>
  <c r="D2130" i="19"/>
  <c r="F2130" i="19" s="1"/>
  <c r="D2131" i="19"/>
  <c r="F2131" i="19" s="1"/>
  <c r="D2132" i="19"/>
  <c r="F2132" i="19" s="1"/>
  <c r="D2133" i="19"/>
  <c r="F2133" i="19" s="1"/>
  <c r="D2134" i="19"/>
  <c r="F2134" i="19" s="1"/>
  <c r="D2135" i="19"/>
  <c r="F2135" i="19" s="1"/>
  <c r="D2136" i="19"/>
  <c r="F2136" i="19" s="1"/>
  <c r="D2137" i="19"/>
  <c r="F2137" i="19" s="1"/>
  <c r="D2138" i="19"/>
  <c r="F2138" i="19" s="1"/>
  <c r="D2139" i="19"/>
  <c r="F2139" i="19" s="1"/>
  <c r="D2140" i="19"/>
  <c r="F2140" i="19" s="1"/>
  <c r="D2141" i="19"/>
  <c r="F2141" i="19" s="1"/>
  <c r="D2142" i="19"/>
  <c r="F2142" i="19" s="1"/>
  <c r="D2143" i="19"/>
  <c r="F2143" i="19" s="1"/>
  <c r="D2144" i="19"/>
  <c r="F2144" i="19" s="1"/>
  <c r="D2145" i="19"/>
  <c r="F2145" i="19" s="1"/>
  <c r="D2146" i="19"/>
  <c r="F2146" i="19" s="1"/>
  <c r="D2147" i="19"/>
  <c r="F2147" i="19" s="1"/>
  <c r="D2148" i="19"/>
  <c r="F2148" i="19" s="1"/>
  <c r="D2149" i="19"/>
  <c r="F2149" i="19" s="1"/>
  <c r="D2150" i="19"/>
  <c r="F2150" i="19" s="1"/>
  <c r="D2151" i="19"/>
  <c r="F2151" i="19" s="1"/>
  <c r="D2152" i="19"/>
  <c r="F2152" i="19" s="1"/>
  <c r="D2153" i="19"/>
  <c r="F2153" i="19" s="1"/>
  <c r="D2154" i="19"/>
  <c r="F2154" i="19" s="1"/>
  <c r="D2155" i="19"/>
  <c r="F2155" i="19" s="1"/>
  <c r="D2156" i="19"/>
  <c r="F2156" i="19" s="1"/>
  <c r="D2157" i="19"/>
  <c r="F2157" i="19" s="1"/>
  <c r="D2158" i="19"/>
  <c r="F2158" i="19" s="1"/>
  <c r="D2159" i="19"/>
  <c r="F2159" i="19" s="1"/>
  <c r="D2160" i="19"/>
  <c r="F2160" i="19" s="1"/>
  <c r="D2161" i="19"/>
  <c r="F2161" i="19" s="1"/>
  <c r="D2162" i="19"/>
  <c r="F2162" i="19" s="1"/>
  <c r="D2163" i="19"/>
  <c r="F2163" i="19" s="1"/>
  <c r="D2164" i="19"/>
  <c r="F2164" i="19" s="1"/>
  <c r="D2165" i="19"/>
  <c r="F2165" i="19" s="1"/>
  <c r="D2166" i="19"/>
  <c r="F2166" i="19" s="1"/>
  <c r="D2167" i="19"/>
  <c r="F2167" i="19" s="1"/>
  <c r="D2168" i="19"/>
  <c r="F2168" i="19" s="1"/>
  <c r="D2169" i="19"/>
  <c r="F2169" i="19" s="1"/>
  <c r="D2170" i="19"/>
  <c r="F2170" i="19" s="1"/>
  <c r="D2171" i="19"/>
  <c r="F2171" i="19" s="1"/>
  <c r="D2172" i="19"/>
  <c r="F2172" i="19" s="1"/>
  <c r="D2173" i="19"/>
  <c r="F2173" i="19" s="1"/>
  <c r="D2174" i="19"/>
  <c r="F2174" i="19" s="1"/>
  <c r="D2175" i="19"/>
  <c r="F2175" i="19" s="1"/>
  <c r="D2176" i="19"/>
  <c r="F2176" i="19" s="1"/>
  <c r="D2177" i="19"/>
  <c r="F2177" i="19" s="1"/>
  <c r="D2178" i="19"/>
  <c r="F2178" i="19" s="1"/>
  <c r="D2179" i="19"/>
  <c r="F2179" i="19" s="1"/>
  <c r="D2180" i="19"/>
  <c r="F2180" i="19" s="1"/>
  <c r="D2181" i="19"/>
  <c r="F2181" i="19" s="1"/>
  <c r="D2182" i="19"/>
  <c r="F2182" i="19" s="1"/>
  <c r="D2183" i="19"/>
  <c r="F2183" i="19" s="1"/>
  <c r="D2184" i="19"/>
  <c r="F2184" i="19" s="1"/>
  <c r="D2185" i="19"/>
  <c r="F2185" i="19" s="1"/>
  <c r="D2186" i="19"/>
  <c r="F2186" i="19" s="1"/>
  <c r="D2187" i="19"/>
  <c r="F2187" i="19" s="1"/>
  <c r="D2188" i="19"/>
  <c r="F2188" i="19" s="1"/>
  <c r="D2189" i="19"/>
  <c r="F2189" i="19" s="1"/>
  <c r="D2190" i="19"/>
  <c r="F2190" i="19" s="1"/>
  <c r="D2191" i="19"/>
  <c r="F2191" i="19" s="1"/>
  <c r="D2192" i="19"/>
  <c r="F2192" i="19" s="1"/>
  <c r="D2193" i="19"/>
  <c r="F2193" i="19" s="1"/>
  <c r="D2194" i="19"/>
  <c r="F2194" i="19" s="1"/>
  <c r="D2195" i="19"/>
  <c r="F2195" i="19" s="1"/>
  <c r="D2196" i="19"/>
  <c r="F2196" i="19" s="1"/>
  <c r="D2197" i="19"/>
  <c r="F2197" i="19" s="1"/>
  <c r="D2198" i="19"/>
  <c r="F2198" i="19" s="1"/>
  <c r="D2199" i="19"/>
  <c r="F2199" i="19" s="1"/>
  <c r="D2200" i="19"/>
  <c r="F2200" i="19" s="1"/>
  <c r="D2201" i="19"/>
  <c r="F2201" i="19" s="1"/>
  <c r="D2202" i="19"/>
  <c r="F2202" i="19" s="1"/>
  <c r="D2203" i="19"/>
  <c r="F2203" i="19" s="1"/>
  <c r="D2204" i="19"/>
  <c r="F2204" i="19" s="1"/>
  <c r="D2205" i="19"/>
  <c r="F2205" i="19" s="1"/>
  <c r="D2206" i="19"/>
  <c r="F2206" i="19" s="1"/>
  <c r="D2207" i="19"/>
  <c r="F2207" i="19" s="1"/>
  <c r="D2208" i="19"/>
  <c r="F2208" i="19" s="1"/>
  <c r="D2209" i="19"/>
  <c r="F2209" i="19" s="1"/>
  <c r="D2210" i="19"/>
  <c r="F2210" i="19" s="1"/>
  <c r="D2211" i="19"/>
  <c r="F2211" i="19" s="1"/>
  <c r="D2212" i="19"/>
  <c r="F2212" i="19" s="1"/>
  <c r="D2213" i="19"/>
  <c r="F2213" i="19" s="1"/>
  <c r="D2214" i="19"/>
  <c r="F2214" i="19" s="1"/>
  <c r="D2215" i="19"/>
  <c r="F2215" i="19" s="1"/>
  <c r="D2216" i="19"/>
  <c r="F2216" i="19" s="1"/>
  <c r="D2217" i="19"/>
  <c r="F2217" i="19" s="1"/>
  <c r="D2218" i="19"/>
  <c r="F2218" i="19" s="1"/>
  <c r="D2219" i="19"/>
  <c r="F2219" i="19" s="1"/>
  <c r="D2220" i="19"/>
  <c r="F2220" i="19" s="1"/>
  <c r="D2221" i="19"/>
  <c r="F2221" i="19" s="1"/>
  <c r="D2222" i="19"/>
  <c r="F2222" i="19" s="1"/>
  <c r="D2223" i="19"/>
  <c r="F2223" i="19" s="1"/>
  <c r="D2224" i="19"/>
  <c r="F2224" i="19" s="1"/>
  <c r="D2225" i="19"/>
  <c r="F2225" i="19" s="1"/>
  <c r="D2226" i="19"/>
  <c r="F2226" i="19" s="1"/>
  <c r="D2227" i="19"/>
  <c r="F2227" i="19" s="1"/>
  <c r="D2228" i="19"/>
  <c r="F2228" i="19" s="1"/>
  <c r="D2229" i="19"/>
  <c r="F2229" i="19" s="1"/>
  <c r="D2230" i="19"/>
  <c r="F2230" i="19" s="1"/>
  <c r="D2231" i="19"/>
  <c r="F2231" i="19" s="1"/>
  <c r="D2232" i="19"/>
  <c r="F2232" i="19" s="1"/>
  <c r="D2233" i="19"/>
  <c r="F2233" i="19" s="1"/>
  <c r="D2234" i="19"/>
  <c r="F2234" i="19" s="1"/>
  <c r="D2235" i="19"/>
  <c r="F2235" i="19" s="1"/>
  <c r="D2236" i="19"/>
  <c r="F2236" i="19" s="1"/>
  <c r="D2237" i="19"/>
  <c r="F2237" i="19" s="1"/>
  <c r="D2238" i="19"/>
  <c r="F2238" i="19" s="1"/>
  <c r="D2239" i="19"/>
  <c r="F2239" i="19" s="1"/>
  <c r="D2240" i="19"/>
  <c r="F2240" i="19" s="1"/>
  <c r="D2241" i="19"/>
  <c r="F2241" i="19" s="1"/>
  <c r="D2242" i="19"/>
  <c r="F2242" i="19" s="1"/>
  <c r="D2243" i="19"/>
  <c r="F2243" i="19" s="1"/>
  <c r="D2244" i="19"/>
  <c r="F2244" i="19" s="1"/>
  <c r="D2245" i="19"/>
  <c r="F2245" i="19" s="1"/>
  <c r="D2246" i="19"/>
  <c r="F2246" i="19" s="1"/>
  <c r="D2247" i="19"/>
  <c r="F2247" i="19" s="1"/>
  <c r="D2248" i="19"/>
  <c r="F2248" i="19" s="1"/>
  <c r="D2249" i="19"/>
  <c r="F2249" i="19" s="1"/>
  <c r="D2250" i="19"/>
  <c r="F2250" i="19" s="1"/>
  <c r="D2251" i="19"/>
  <c r="F2251" i="19" s="1"/>
  <c r="D2252" i="19"/>
  <c r="F2252" i="19" s="1"/>
  <c r="D2253" i="19"/>
  <c r="F2253" i="19" s="1"/>
  <c r="D2254" i="19"/>
  <c r="F2254" i="19" s="1"/>
  <c r="D2255" i="19"/>
  <c r="F2255" i="19" s="1"/>
  <c r="D2256" i="19"/>
  <c r="F2256" i="19" s="1"/>
  <c r="D2257" i="19"/>
  <c r="F2257" i="19" s="1"/>
  <c r="D2258" i="19"/>
  <c r="F2258" i="19" s="1"/>
  <c r="D2259" i="19"/>
  <c r="F2259" i="19" s="1"/>
  <c r="D2260" i="19"/>
  <c r="F2260" i="19" s="1"/>
  <c r="D2261" i="19"/>
  <c r="F2261" i="19" s="1"/>
  <c r="D2262" i="19"/>
  <c r="F2262" i="19" s="1"/>
  <c r="D2263" i="19"/>
  <c r="F2263" i="19" s="1"/>
  <c r="D2264" i="19"/>
  <c r="F2264" i="19" s="1"/>
  <c r="D2265" i="19"/>
  <c r="F2265" i="19" s="1"/>
  <c r="D2266" i="19"/>
  <c r="F2266" i="19" s="1"/>
  <c r="D2267" i="19"/>
  <c r="F2267" i="19" s="1"/>
  <c r="D2268" i="19"/>
  <c r="F2268" i="19" s="1"/>
  <c r="D2269" i="19"/>
  <c r="F2269" i="19" s="1"/>
  <c r="D2270" i="19"/>
  <c r="F2270" i="19" s="1"/>
  <c r="D2271" i="19"/>
  <c r="F2271" i="19" s="1"/>
  <c r="D2272" i="19"/>
  <c r="F2272" i="19" s="1"/>
  <c r="D2273" i="19"/>
  <c r="F2273" i="19" s="1"/>
  <c r="D2274" i="19"/>
  <c r="F2274" i="19" s="1"/>
  <c r="D2275" i="19"/>
  <c r="F2275" i="19" s="1"/>
  <c r="D2276" i="19"/>
  <c r="F2276" i="19" s="1"/>
  <c r="D2277" i="19"/>
  <c r="F2277" i="19" s="1"/>
  <c r="D2278" i="19"/>
  <c r="F2278" i="19" s="1"/>
  <c r="D2279" i="19"/>
  <c r="F2279" i="19" s="1"/>
  <c r="D2280" i="19"/>
  <c r="F2280" i="19" s="1"/>
  <c r="D2281" i="19"/>
  <c r="F2281" i="19" s="1"/>
  <c r="D2282" i="19"/>
  <c r="F2282" i="19" s="1"/>
  <c r="D2283" i="19"/>
  <c r="F2283" i="19" s="1"/>
  <c r="D2284" i="19"/>
  <c r="F2284" i="19" s="1"/>
  <c r="D2285" i="19"/>
  <c r="F2285" i="19" s="1"/>
  <c r="D2286" i="19"/>
  <c r="F2286" i="19" s="1"/>
  <c r="D2287" i="19"/>
  <c r="F2287" i="19" s="1"/>
  <c r="D2288" i="19"/>
  <c r="F2288" i="19" s="1"/>
  <c r="D2289" i="19"/>
  <c r="F2289" i="19" s="1"/>
  <c r="D2290" i="19"/>
  <c r="F2290" i="19" s="1"/>
  <c r="D2291" i="19"/>
  <c r="F2291" i="19" s="1"/>
  <c r="D2292" i="19"/>
  <c r="F2292" i="19" s="1"/>
  <c r="D2293" i="19"/>
  <c r="F2293" i="19" s="1"/>
  <c r="D2294" i="19"/>
  <c r="F2294" i="19" s="1"/>
  <c r="D2295" i="19"/>
  <c r="F2295" i="19" s="1"/>
  <c r="D2296" i="19"/>
  <c r="F2296" i="19" s="1"/>
  <c r="D2297" i="19"/>
  <c r="F2297" i="19" s="1"/>
  <c r="D2298" i="19"/>
  <c r="F2298" i="19" s="1"/>
  <c r="D2299" i="19"/>
  <c r="F2299" i="19" s="1"/>
  <c r="D2300" i="19"/>
  <c r="F2300" i="19" s="1"/>
  <c r="D2301" i="19"/>
  <c r="F2301" i="19" s="1"/>
  <c r="D2302" i="19"/>
  <c r="F2302" i="19" s="1"/>
  <c r="D2303" i="19"/>
  <c r="F2303" i="19" s="1"/>
  <c r="D2304" i="19"/>
  <c r="F2304" i="19" s="1"/>
  <c r="D2305" i="19"/>
  <c r="F2305" i="19" s="1"/>
  <c r="D2306" i="19"/>
  <c r="F2306" i="19" s="1"/>
  <c r="D2307" i="19"/>
  <c r="F2307" i="19" s="1"/>
  <c r="D2308" i="19"/>
  <c r="F2308" i="19" s="1"/>
  <c r="D2309" i="19"/>
  <c r="F2309" i="19" s="1"/>
  <c r="D2310" i="19"/>
  <c r="F2310" i="19" s="1"/>
  <c r="D2311" i="19"/>
  <c r="F2311" i="19" s="1"/>
  <c r="D2312" i="19"/>
  <c r="F2312" i="19" s="1"/>
  <c r="D2313" i="19"/>
  <c r="F2313" i="19" s="1"/>
  <c r="D2314" i="19"/>
  <c r="F2314" i="19" s="1"/>
  <c r="D2315" i="19"/>
  <c r="F2315" i="19" s="1"/>
  <c r="D2316" i="19"/>
  <c r="F2316" i="19" s="1"/>
  <c r="D2317" i="19"/>
  <c r="F2317" i="19" s="1"/>
  <c r="D2318" i="19"/>
  <c r="F2318" i="19" s="1"/>
  <c r="D2319" i="19"/>
  <c r="F2319" i="19" s="1"/>
  <c r="D2320" i="19"/>
  <c r="F2320" i="19" s="1"/>
  <c r="D2321" i="19"/>
  <c r="F2321" i="19" s="1"/>
  <c r="D2322" i="19"/>
  <c r="F2322" i="19" s="1"/>
  <c r="D2323" i="19"/>
  <c r="F2323" i="19" s="1"/>
  <c r="D2324" i="19"/>
  <c r="F2324" i="19" s="1"/>
  <c r="D2325" i="19"/>
  <c r="F2325" i="19" s="1"/>
  <c r="D2326" i="19"/>
  <c r="F2326" i="19" s="1"/>
  <c r="D2327" i="19"/>
  <c r="F2327" i="19" s="1"/>
  <c r="D2328" i="19"/>
  <c r="F2328" i="19" s="1"/>
  <c r="D2329" i="19"/>
  <c r="F2329" i="19" s="1"/>
  <c r="D2330" i="19"/>
  <c r="F2330" i="19" s="1"/>
  <c r="D2331" i="19"/>
  <c r="F2331" i="19" s="1"/>
  <c r="D2332" i="19"/>
  <c r="F2332" i="19" s="1"/>
  <c r="D2333" i="19"/>
  <c r="F2333" i="19" s="1"/>
  <c r="D2334" i="19"/>
  <c r="F2334" i="19" s="1"/>
  <c r="D2335" i="19"/>
  <c r="F2335" i="19" s="1"/>
  <c r="D2336" i="19"/>
  <c r="F2336" i="19" s="1"/>
  <c r="D2337" i="19"/>
  <c r="F2337" i="19" s="1"/>
  <c r="D2338" i="19"/>
  <c r="F2338" i="19" s="1"/>
  <c r="D2339" i="19"/>
  <c r="F2339" i="19" s="1"/>
  <c r="D2340" i="19"/>
  <c r="F2340" i="19" s="1"/>
  <c r="D2341" i="19"/>
  <c r="F2341" i="19" s="1"/>
  <c r="D2342" i="19"/>
  <c r="F2342" i="19" s="1"/>
  <c r="D2343" i="19"/>
  <c r="F2343" i="19" s="1"/>
  <c r="D2344" i="19"/>
  <c r="F2344" i="19" s="1"/>
  <c r="D2345" i="19"/>
  <c r="F2345" i="19" s="1"/>
  <c r="D2346" i="19"/>
  <c r="F2346" i="19" s="1"/>
  <c r="D2347" i="19"/>
  <c r="F2347" i="19" s="1"/>
  <c r="D2348" i="19"/>
  <c r="F2348" i="19" s="1"/>
  <c r="D2349" i="19"/>
  <c r="F2349" i="19" s="1"/>
  <c r="D2350" i="19"/>
  <c r="F2350" i="19" s="1"/>
  <c r="D2351" i="19"/>
  <c r="F2351" i="19" s="1"/>
  <c r="D2352" i="19"/>
  <c r="F2352" i="19" s="1"/>
  <c r="D2353" i="19"/>
  <c r="F2353" i="19" s="1"/>
  <c r="D2354" i="19"/>
  <c r="F2354" i="19" s="1"/>
  <c r="D2355" i="19"/>
  <c r="F2355" i="19" s="1"/>
  <c r="D2356" i="19"/>
  <c r="F2356" i="19" s="1"/>
  <c r="D2357" i="19"/>
  <c r="F2357" i="19" s="1"/>
  <c r="D2358" i="19"/>
  <c r="F2358" i="19" s="1"/>
  <c r="D2359" i="19"/>
  <c r="F2359" i="19" s="1"/>
  <c r="D2360" i="19"/>
  <c r="F2360" i="19" s="1"/>
  <c r="D2361" i="19"/>
  <c r="F2361" i="19" s="1"/>
  <c r="D2362" i="19"/>
  <c r="F2362" i="19" s="1"/>
  <c r="D2363" i="19"/>
  <c r="F2363" i="19" s="1"/>
  <c r="D2364" i="19"/>
  <c r="F2364" i="19" s="1"/>
  <c r="D2365" i="19"/>
  <c r="F2365" i="19" s="1"/>
  <c r="D2366" i="19"/>
  <c r="F2366" i="19" s="1"/>
  <c r="D2367" i="19"/>
  <c r="F2367" i="19" s="1"/>
  <c r="D2368" i="19"/>
  <c r="F2368" i="19" s="1"/>
  <c r="D2369" i="19"/>
  <c r="F2369" i="19" s="1"/>
  <c r="D2370" i="19"/>
  <c r="F2370" i="19" s="1"/>
  <c r="D2371" i="19"/>
  <c r="F2371" i="19" s="1"/>
  <c r="D2372" i="19"/>
  <c r="F2372" i="19" s="1"/>
  <c r="D2373" i="19"/>
  <c r="F2373" i="19" s="1"/>
  <c r="D2374" i="19"/>
  <c r="F2374" i="19" s="1"/>
  <c r="D2375" i="19"/>
  <c r="F2375" i="19" s="1"/>
  <c r="D2376" i="19"/>
  <c r="F2376" i="19" s="1"/>
  <c r="D2377" i="19"/>
  <c r="F2377" i="19" s="1"/>
  <c r="D2378" i="19"/>
  <c r="F2378" i="19" s="1"/>
  <c r="D2379" i="19"/>
  <c r="F2379" i="19" s="1"/>
  <c r="D2380" i="19"/>
  <c r="F2380" i="19" s="1"/>
  <c r="D2381" i="19"/>
  <c r="F2381" i="19" s="1"/>
  <c r="D2382" i="19"/>
  <c r="F2382" i="19" s="1"/>
  <c r="D2383" i="19"/>
  <c r="F2383" i="19" s="1"/>
  <c r="D2384" i="19"/>
  <c r="F2384" i="19" s="1"/>
  <c r="D2385" i="19"/>
  <c r="F2385" i="19" s="1"/>
  <c r="D2386" i="19"/>
  <c r="F2386" i="19" s="1"/>
  <c r="D2387" i="19"/>
  <c r="F2387" i="19" s="1"/>
  <c r="D2388" i="19"/>
  <c r="F2388" i="19" s="1"/>
  <c r="D2389" i="19"/>
  <c r="F2389" i="19" s="1"/>
  <c r="D2390" i="19"/>
  <c r="F2390" i="19" s="1"/>
  <c r="D2391" i="19"/>
  <c r="F2391" i="19" s="1"/>
  <c r="D2392" i="19"/>
  <c r="F2392" i="19" s="1"/>
  <c r="D2393" i="19"/>
  <c r="F2393" i="19" s="1"/>
  <c r="D2394" i="19"/>
  <c r="F2394" i="19" s="1"/>
  <c r="D2395" i="19"/>
  <c r="F2395" i="19" s="1"/>
  <c r="D2396" i="19"/>
  <c r="F2396" i="19" s="1"/>
  <c r="D2397" i="19"/>
  <c r="F2397" i="19" s="1"/>
  <c r="D2398" i="19"/>
  <c r="F2398" i="19" s="1"/>
  <c r="D2399" i="19"/>
  <c r="F2399" i="19" s="1"/>
  <c r="D2400" i="19"/>
  <c r="F2400" i="19" s="1"/>
  <c r="D2401" i="19"/>
  <c r="F2401" i="19" s="1"/>
  <c r="D2402" i="19"/>
  <c r="F2402" i="19" s="1"/>
  <c r="D2403" i="19"/>
  <c r="F2403" i="19" s="1"/>
  <c r="D2404" i="19"/>
  <c r="F2404" i="19" s="1"/>
  <c r="D2405" i="19"/>
  <c r="F2405" i="19" s="1"/>
  <c r="D2406" i="19"/>
  <c r="F2406" i="19" s="1"/>
  <c r="D2407" i="19"/>
  <c r="F2407" i="19" s="1"/>
  <c r="D2408" i="19"/>
  <c r="F2408" i="19" s="1"/>
  <c r="D2409" i="19"/>
  <c r="F2409" i="19" s="1"/>
  <c r="D2410" i="19"/>
  <c r="F2410" i="19" s="1"/>
  <c r="D2411" i="19"/>
  <c r="F2411" i="19" s="1"/>
  <c r="D2412" i="19"/>
  <c r="F2412" i="19" s="1"/>
  <c r="D2413" i="19"/>
  <c r="F2413" i="19" s="1"/>
  <c r="D2414" i="19"/>
  <c r="F2414" i="19" s="1"/>
  <c r="D2415" i="19"/>
  <c r="F2415" i="19" s="1"/>
  <c r="D2416" i="19"/>
  <c r="F2416" i="19" s="1"/>
  <c r="D2417" i="19"/>
  <c r="F2417" i="19" s="1"/>
  <c r="D2418" i="19"/>
  <c r="F2418" i="19" s="1"/>
  <c r="D2419" i="19"/>
  <c r="F2419" i="19" s="1"/>
  <c r="D2420" i="19"/>
  <c r="F2420" i="19" s="1"/>
  <c r="D2421" i="19"/>
  <c r="F2421" i="19" s="1"/>
  <c r="D2422" i="19"/>
  <c r="F2422" i="19" s="1"/>
  <c r="D2423" i="19"/>
  <c r="F2423" i="19" s="1"/>
  <c r="D2424" i="19"/>
  <c r="F2424" i="19" s="1"/>
  <c r="D2425" i="19"/>
  <c r="F2425" i="19" s="1"/>
  <c r="D2426" i="19"/>
  <c r="F2426" i="19" s="1"/>
  <c r="D2427" i="19"/>
  <c r="F2427" i="19" s="1"/>
  <c r="D2428" i="19"/>
  <c r="F2428" i="19" s="1"/>
  <c r="D2429" i="19"/>
  <c r="F2429" i="19" s="1"/>
  <c r="D2430" i="19"/>
  <c r="F2430" i="19" s="1"/>
  <c r="D2431" i="19"/>
  <c r="F2431" i="19" s="1"/>
  <c r="D2432" i="19"/>
  <c r="F2432" i="19" s="1"/>
  <c r="D2433" i="19"/>
  <c r="F2433" i="19" s="1"/>
  <c r="D2434" i="19"/>
  <c r="F2434" i="19" s="1"/>
  <c r="D2435" i="19"/>
  <c r="F2435" i="19" s="1"/>
  <c r="D2436" i="19"/>
  <c r="F2436" i="19" s="1"/>
  <c r="D2437" i="19"/>
  <c r="F2437" i="19" s="1"/>
  <c r="D2438" i="19"/>
  <c r="F2438" i="19" s="1"/>
  <c r="D2439" i="19"/>
  <c r="F2439" i="19" s="1"/>
  <c r="D2440" i="19"/>
  <c r="F2440" i="19" s="1"/>
  <c r="D2441" i="19"/>
  <c r="F2441" i="19" s="1"/>
  <c r="D2442" i="19"/>
  <c r="F2442" i="19" s="1"/>
  <c r="D2443" i="19"/>
  <c r="F2443" i="19" s="1"/>
  <c r="D2444" i="19"/>
  <c r="F2444" i="19" s="1"/>
  <c r="D2445" i="19"/>
  <c r="F2445" i="19" s="1"/>
  <c r="D2446" i="19"/>
  <c r="F2446" i="19" s="1"/>
  <c r="D2447" i="19"/>
  <c r="F2447" i="19" s="1"/>
  <c r="D2448" i="19"/>
  <c r="F2448" i="19" s="1"/>
  <c r="D2449" i="19"/>
  <c r="F2449" i="19" s="1"/>
  <c r="D2450" i="19"/>
  <c r="F2450" i="19" s="1"/>
  <c r="D2451" i="19"/>
  <c r="F2451" i="19" s="1"/>
  <c r="D2452" i="19"/>
  <c r="F2452" i="19" s="1"/>
  <c r="D2453" i="19"/>
  <c r="F2453" i="19" s="1"/>
  <c r="D2454" i="19"/>
  <c r="F2454" i="19" s="1"/>
  <c r="D2455" i="19"/>
  <c r="F2455" i="19" s="1"/>
  <c r="D2456" i="19"/>
  <c r="F2456" i="19" s="1"/>
  <c r="D2457" i="19"/>
  <c r="F2457" i="19" s="1"/>
  <c r="D2458" i="19"/>
  <c r="F2458" i="19" s="1"/>
  <c r="D2459" i="19"/>
  <c r="F2459" i="19" s="1"/>
  <c r="D2460" i="19"/>
  <c r="F2460" i="19" s="1"/>
  <c r="D2461" i="19"/>
  <c r="F2461" i="19" s="1"/>
  <c r="D2462" i="19"/>
  <c r="F2462" i="19" s="1"/>
  <c r="D2463" i="19"/>
  <c r="F2463" i="19" s="1"/>
  <c r="D2464" i="19"/>
  <c r="F2464" i="19" s="1"/>
  <c r="D2465" i="19"/>
  <c r="F2465" i="19" s="1"/>
  <c r="D2466" i="19"/>
  <c r="F2466" i="19" s="1"/>
  <c r="D2467" i="19"/>
  <c r="F2467" i="19" s="1"/>
  <c r="D2468" i="19"/>
  <c r="F2468" i="19" s="1"/>
  <c r="D2469" i="19"/>
  <c r="F2469" i="19" s="1"/>
  <c r="D2470" i="19"/>
  <c r="F2470" i="19" s="1"/>
  <c r="D2471" i="19"/>
  <c r="F2471" i="19" s="1"/>
  <c r="D2472" i="19"/>
  <c r="F2472" i="19" s="1"/>
  <c r="D2473" i="19"/>
  <c r="F2473" i="19" s="1"/>
  <c r="D2474" i="19"/>
  <c r="F2474" i="19" s="1"/>
  <c r="D2475" i="19"/>
  <c r="F2475" i="19" s="1"/>
  <c r="D2476" i="19"/>
  <c r="F2476" i="19" s="1"/>
  <c r="D2477" i="19"/>
  <c r="F2477" i="19" s="1"/>
  <c r="D2478" i="19"/>
  <c r="F2478" i="19" s="1"/>
  <c r="D2479" i="19"/>
  <c r="F2479" i="19" s="1"/>
  <c r="D2480" i="19"/>
  <c r="F2480" i="19" s="1"/>
  <c r="D2481" i="19"/>
  <c r="F2481" i="19" s="1"/>
  <c r="D2482" i="19"/>
  <c r="F2482" i="19" s="1"/>
  <c r="D2483" i="19"/>
  <c r="F2483" i="19" s="1"/>
  <c r="D2484" i="19"/>
  <c r="F2484" i="19" s="1"/>
  <c r="D2485" i="19"/>
  <c r="F2485" i="19" s="1"/>
  <c r="D2486" i="19"/>
  <c r="F2486" i="19" s="1"/>
  <c r="D2487" i="19"/>
  <c r="F2487" i="19" s="1"/>
  <c r="D2488" i="19"/>
  <c r="F2488" i="19" s="1"/>
  <c r="D2489" i="19"/>
  <c r="F2489" i="19" s="1"/>
  <c r="D2490" i="19"/>
  <c r="F2490" i="19" s="1"/>
  <c r="D2491" i="19"/>
  <c r="F2491" i="19" s="1"/>
  <c r="D2492" i="19"/>
  <c r="F2492" i="19" s="1"/>
  <c r="D2493" i="19"/>
  <c r="F2493" i="19" s="1"/>
  <c r="D2494" i="19"/>
  <c r="F2494" i="19" s="1"/>
  <c r="D2495" i="19"/>
  <c r="F2495" i="19" s="1"/>
  <c r="D2496" i="19"/>
  <c r="F2496" i="19" s="1"/>
  <c r="D2497" i="19"/>
  <c r="F2497" i="19" s="1"/>
  <c r="D2498" i="19"/>
  <c r="F2498" i="19" s="1"/>
  <c r="D2499" i="19"/>
  <c r="F2499" i="19" s="1"/>
  <c r="D2500" i="19"/>
  <c r="F2500" i="19" s="1"/>
  <c r="D2501" i="19"/>
  <c r="F2501" i="19" s="1"/>
  <c r="D2502" i="19"/>
  <c r="F2502" i="19" s="1"/>
  <c r="D2503" i="19"/>
  <c r="F2503" i="19" s="1"/>
  <c r="D2504" i="19"/>
  <c r="F2504" i="19" s="1"/>
  <c r="D2505" i="19"/>
  <c r="F2505" i="19" s="1"/>
  <c r="D2506" i="19"/>
  <c r="F2506" i="19" s="1"/>
  <c r="D2507" i="19"/>
  <c r="F2507" i="19" s="1"/>
  <c r="D2508" i="19"/>
  <c r="F2508" i="19" s="1"/>
  <c r="D2509" i="19"/>
  <c r="F2509" i="19" s="1"/>
  <c r="D2510" i="19"/>
  <c r="F2510" i="19" s="1"/>
  <c r="D2511" i="19"/>
  <c r="F2511" i="19" s="1"/>
  <c r="D2512" i="19"/>
  <c r="F2512" i="19" s="1"/>
  <c r="D2513" i="19"/>
  <c r="F2513" i="19" s="1"/>
  <c r="D2514" i="19"/>
  <c r="F2514" i="19" s="1"/>
  <c r="D2515" i="19"/>
  <c r="F2515" i="19" s="1"/>
  <c r="D2516" i="19"/>
  <c r="F2516" i="19" s="1"/>
  <c r="D2517" i="19"/>
  <c r="F2517" i="19" s="1"/>
  <c r="D2518" i="19"/>
  <c r="F2518" i="19" s="1"/>
  <c r="D2519" i="19"/>
  <c r="F2519" i="19" s="1"/>
  <c r="D2520" i="19"/>
  <c r="F2520" i="19" s="1"/>
  <c r="D2521" i="19"/>
  <c r="F2521" i="19" s="1"/>
  <c r="D2522" i="19"/>
  <c r="F2522" i="19" s="1"/>
  <c r="D2523" i="19"/>
  <c r="F2523" i="19" s="1"/>
  <c r="D2524" i="19"/>
  <c r="F2524" i="19" s="1"/>
  <c r="D2525" i="19"/>
  <c r="F2525" i="19" s="1"/>
  <c r="D2526" i="19"/>
  <c r="F2526" i="19" s="1"/>
  <c r="D2527" i="19"/>
  <c r="F2527" i="19" s="1"/>
  <c r="D2528" i="19"/>
  <c r="F2528" i="19" s="1"/>
  <c r="D2529" i="19"/>
  <c r="F2529" i="19" s="1"/>
  <c r="D2530" i="19"/>
  <c r="F2530" i="19" s="1"/>
  <c r="D2531" i="19"/>
  <c r="F2531" i="19" s="1"/>
  <c r="D2532" i="19"/>
  <c r="F2532" i="19" s="1"/>
  <c r="D2533" i="19"/>
  <c r="F2533" i="19" s="1"/>
  <c r="D2534" i="19"/>
  <c r="F2534" i="19" s="1"/>
  <c r="D2535" i="19"/>
  <c r="F2535" i="19" s="1"/>
  <c r="D2536" i="19"/>
  <c r="F2536" i="19" s="1"/>
  <c r="D2537" i="19"/>
  <c r="F2537" i="19" s="1"/>
  <c r="D2538" i="19"/>
  <c r="F2538" i="19" s="1"/>
  <c r="D2539" i="19"/>
  <c r="F2539" i="19" s="1"/>
  <c r="D2540" i="19"/>
  <c r="F2540" i="19" s="1"/>
  <c r="D2541" i="19"/>
  <c r="F2541" i="19" s="1"/>
  <c r="D2542" i="19"/>
  <c r="F2542" i="19" s="1"/>
  <c r="D2543" i="19"/>
  <c r="F2543" i="19" s="1"/>
  <c r="D2544" i="19"/>
  <c r="F2544" i="19" s="1"/>
  <c r="D2545" i="19"/>
  <c r="F2545" i="19" s="1"/>
  <c r="D2546" i="19"/>
  <c r="F2546" i="19" s="1"/>
  <c r="D2547" i="19"/>
  <c r="F2547" i="19" s="1"/>
  <c r="D2548" i="19"/>
  <c r="F2548" i="19" s="1"/>
  <c r="D2549" i="19"/>
  <c r="F2549" i="19" s="1"/>
  <c r="D2550" i="19"/>
  <c r="F2550" i="19" s="1"/>
  <c r="D2551" i="19"/>
  <c r="F2551" i="19" s="1"/>
  <c r="D2552" i="19"/>
  <c r="F2552" i="19" s="1"/>
  <c r="D2553" i="19"/>
  <c r="F2553" i="19" s="1"/>
  <c r="D2554" i="19"/>
  <c r="F2554" i="19" s="1"/>
  <c r="D2555" i="19"/>
  <c r="F2555" i="19" s="1"/>
  <c r="D2556" i="19"/>
  <c r="F2556" i="19" s="1"/>
  <c r="D2557" i="19"/>
  <c r="F2557" i="19" s="1"/>
  <c r="D2558" i="19"/>
  <c r="F2558" i="19" s="1"/>
  <c r="D2559" i="19"/>
  <c r="F2559" i="19" s="1"/>
  <c r="D2560" i="19"/>
  <c r="F2560" i="19" s="1"/>
  <c r="D2561" i="19"/>
  <c r="F2561" i="19" s="1"/>
  <c r="D2562" i="19"/>
  <c r="F2562" i="19" s="1"/>
  <c r="D2563" i="19"/>
  <c r="F2563" i="19" s="1"/>
  <c r="D2564" i="19"/>
  <c r="F2564" i="19" s="1"/>
  <c r="D2565" i="19"/>
  <c r="F2565" i="19" s="1"/>
  <c r="D2566" i="19"/>
  <c r="F2566" i="19" s="1"/>
  <c r="D2567" i="19"/>
  <c r="F2567" i="19" s="1"/>
  <c r="D2568" i="19"/>
  <c r="F2568" i="19" s="1"/>
  <c r="D2569" i="19"/>
  <c r="F2569" i="19" s="1"/>
  <c r="D2570" i="19"/>
  <c r="F2570" i="19" s="1"/>
  <c r="D2571" i="19"/>
  <c r="F2571" i="19" s="1"/>
  <c r="D2572" i="19"/>
  <c r="F2572" i="19" s="1"/>
  <c r="D2573" i="19"/>
  <c r="F2573" i="19" s="1"/>
  <c r="D2574" i="19"/>
  <c r="F2574" i="19" s="1"/>
  <c r="D2575" i="19"/>
  <c r="F2575" i="19" s="1"/>
  <c r="D2576" i="19"/>
  <c r="F2576" i="19" s="1"/>
  <c r="D2577" i="19"/>
  <c r="F2577" i="19" s="1"/>
  <c r="D2578" i="19"/>
  <c r="F2578" i="19" s="1"/>
  <c r="D2579" i="19"/>
  <c r="F2579" i="19" s="1"/>
  <c r="D2580" i="19"/>
  <c r="F2580" i="19" s="1"/>
  <c r="D2581" i="19"/>
  <c r="F2581" i="19" s="1"/>
  <c r="D2582" i="19"/>
  <c r="F2582" i="19" s="1"/>
  <c r="D2583" i="19"/>
  <c r="F2583" i="19" s="1"/>
  <c r="D2584" i="19"/>
  <c r="F2584" i="19" s="1"/>
  <c r="D2585" i="19"/>
  <c r="F2585" i="19" s="1"/>
  <c r="D2586" i="19"/>
  <c r="F2586" i="19" s="1"/>
  <c r="D2587" i="19"/>
  <c r="F2587" i="19" s="1"/>
  <c r="D2588" i="19"/>
  <c r="F2588" i="19" s="1"/>
  <c r="D2589" i="19"/>
  <c r="F2589" i="19" s="1"/>
  <c r="D2590" i="19"/>
  <c r="F2590" i="19" s="1"/>
  <c r="D2591" i="19"/>
  <c r="F2591" i="19" s="1"/>
  <c r="D2592" i="19"/>
  <c r="F2592" i="19" s="1"/>
  <c r="D2593" i="19"/>
  <c r="F2593" i="19" s="1"/>
  <c r="D2594" i="19"/>
  <c r="F2594" i="19" s="1"/>
  <c r="D2595" i="19"/>
  <c r="F2595" i="19" s="1"/>
  <c r="D2596" i="19"/>
  <c r="F2596" i="19" s="1"/>
  <c r="D2597" i="19"/>
  <c r="F2597" i="19" s="1"/>
  <c r="D2598" i="19"/>
  <c r="F2598" i="19" s="1"/>
  <c r="D2599" i="19"/>
  <c r="F2599" i="19" s="1"/>
  <c r="D2600" i="19"/>
  <c r="F2600" i="19" s="1"/>
  <c r="D2601" i="19"/>
  <c r="F2601" i="19" s="1"/>
  <c r="D2602" i="19"/>
  <c r="F2602" i="19" s="1"/>
  <c r="D2603" i="19"/>
  <c r="F2603" i="19" s="1"/>
  <c r="D2604" i="19"/>
  <c r="F2604" i="19" s="1"/>
  <c r="D2605" i="19"/>
  <c r="F2605" i="19" s="1"/>
  <c r="D2606" i="19"/>
  <c r="F2606" i="19" s="1"/>
  <c r="D2607" i="19"/>
  <c r="F2607" i="19" s="1"/>
  <c r="D2608" i="19"/>
  <c r="F2608" i="19" s="1"/>
  <c r="D2609" i="19"/>
  <c r="F2609" i="19" s="1"/>
  <c r="D2610" i="19"/>
  <c r="F2610" i="19" s="1"/>
  <c r="D2611" i="19"/>
  <c r="F2611" i="19" s="1"/>
  <c r="D2612" i="19"/>
  <c r="F2612" i="19" s="1"/>
  <c r="D2613" i="19"/>
  <c r="F2613" i="19" s="1"/>
  <c r="D2614" i="19"/>
  <c r="F2614" i="19" s="1"/>
  <c r="D2615" i="19"/>
  <c r="F2615" i="19" s="1"/>
  <c r="D2616" i="19"/>
  <c r="F2616" i="19" s="1"/>
  <c r="D2617" i="19"/>
  <c r="F2617" i="19" s="1"/>
  <c r="D2618" i="19"/>
  <c r="F2618" i="19" s="1"/>
  <c r="D2619" i="19"/>
  <c r="F2619" i="19" s="1"/>
  <c r="D2620" i="19"/>
  <c r="F2620" i="19" s="1"/>
  <c r="D2621" i="19"/>
  <c r="F2621" i="19" s="1"/>
  <c r="D2622" i="19"/>
  <c r="F2622" i="19" s="1"/>
  <c r="D2623" i="19"/>
  <c r="F2623" i="19" s="1"/>
  <c r="D2624" i="19"/>
  <c r="F2624" i="19" s="1"/>
  <c r="D2625" i="19"/>
  <c r="F2625" i="19" s="1"/>
  <c r="D2626" i="19"/>
  <c r="F2626" i="19" s="1"/>
  <c r="D2627" i="19"/>
  <c r="F2627" i="19" s="1"/>
  <c r="D2628" i="19"/>
  <c r="F2628" i="19" s="1"/>
  <c r="D2629" i="19"/>
  <c r="F2629" i="19" s="1"/>
  <c r="D2630" i="19"/>
  <c r="F2630" i="19" s="1"/>
  <c r="D2631" i="19"/>
  <c r="F2631" i="19" s="1"/>
  <c r="D2632" i="19"/>
  <c r="F2632" i="19" s="1"/>
  <c r="D2633" i="19"/>
  <c r="F2633" i="19" s="1"/>
  <c r="D2634" i="19"/>
  <c r="F2634" i="19" s="1"/>
  <c r="D2635" i="19"/>
  <c r="F2635" i="19" s="1"/>
  <c r="D2636" i="19"/>
  <c r="F2636" i="19" s="1"/>
  <c r="D2637" i="19"/>
  <c r="F2637" i="19" s="1"/>
  <c r="D2638" i="19"/>
  <c r="F2638" i="19" s="1"/>
  <c r="D2639" i="19"/>
  <c r="F2639" i="19" s="1"/>
  <c r="D2640" i="19"/>
  <c r="F2640" i="19" s="1"/>
  <c r="D2641" i="19"/>
  <c r="F2641" i="19" s="1"/>
  <c r="D2642" i="19"/>
  <c r="F2642" i="19" s="1"/>
  <c r="D2643" i="19"/>
  <c r="F2643" i="19" s="1"/>
  <c r="D2644" i="19"/>
  <c r="F2644" i="19" s="1"/>
  <c r="D2645" i="19"/>
  <c r="F2645" i="19" s="1"/>
  <c r="D2646" i="19"/>
  <c r="F2646" i="19" s="1"/>
  <c r="D2647" i="19"/>
  <c r="F2647" i="19" s="1"/>
  <c r="D2648" i="19"/>
  <c r="F2648" i="19" s="1"/>
  <c r="D2649" i="19"/>
  <c r="F2649" i="19" s="1"/>
  <c r="D2650" i="19"/>
  <c r="F2650" i="19" s="1"/>
  <c r="D2651" i="19"/>
  <c r="F2651" i="19" s="1"/>
  <c r="D2652" i="19"/>
  <c r="F2652" i="19" s="1"/>
  <c r="D2653" i="19"/>
  <c r="F2653" i="19" s="1"/>
  <c r="D2654" i="19"/>
  <c r="F2654" i="19" s="1"/>
  <c r="D2655" i="19"/>
  <c r="F2655" i="19" s="1"/>
  <c r="D2656" i="19"/>
  <c r="F2656" i="19" s="1"/>
  <c r="D2657" i="19"/>
  <c r="F2657" i="19" s="1"/>
  <c r="D2658" i="19"/>
  <c r="F2658" i="19" s="1"/>
  <c r="D2659" i="19"/>
  <c r="F2659" i="19" s="1"/>
  <c r="D2660" i="19"/>
  <c r="F2660" i="19" s="1"/>
  <c r="D2661" i="19"/>
  <c r="F2661" i="19" s="1"/>
  <c r="D2662" i="19"/>
  <c r="F2662" i="19" s="1"/>
  <c r="D2663" i="19"/>
  <c r="F2663" i="19" s="1"/>
  <c r="D2664" i="19"/>
  <c r="F2664" i="19" s="1"/>
  <c r="D2665" i="19"/>
  <c r="F2665" i="19" s="1"/>
  <c r="D2666" i="19"/>
  <c r="F2666" i="19" s="1"/>
  <c r="D2667" i="19"/>
  <c r="F2667" i="19" s="1"/>
  <c r="D2668" i="19"/>
  <c r="F2668" i="19" s="1"/>
  <c r="D2669" i="19"/>
  <c r="F2669" i="19" s="1"/>
  <c r="D2670" i="19"/>
  <c r="F2670" i="19" s="1"/>
  <c r="D2671" i="19"/>
  <c r="F2671" i="19" s="1"/>
  <c r="D2672" i="19"/>
  <c r="F2672" i="19" s="1"/>
  <c r="D2673" i="19"/>
  <c r="F2673" i="19" s="1"/>
  <c r="D2674" i="19"/>
  <c r="F2674" i="19" s="1"/>
  <c r="D2675" i="19"/>
  <c r="F2675" i="19" s="1"/>
  <c r="D2676" i="19"/>
  <c r="F2676" i="19" s="1"/>
  <c r="D2677" i="19"/>
  <c r="F2677" i="19" s="1"/>
  <c r="D2678" i="19"/>
  <c r="F2678" i="19" s="1"/>
  <c r="D2679" i="19"/>
  <c r="F2679" i="19" s="1"/>
  <c r="D2680" i="19"/>
  <c r="F2680" i="19" s="1"/>
  <c r="D2681" i="19"/>
  <c r="F2681" i="19" s="1"/>
  <c r="D2682" i="19"/>
  <c r="F2682" i="19" s="1"/>
  <c r="D2683" i="19"/>
  <c r="F2683" i="19" s="1"/>
  <c r="D2684" i="19"/>
  <c r="F2684" i="19" s="1"/>
  <c r="D2685" i="19"/>
  <c r="F2685" i="19" s="1"/>
  <c r="D2686" i="19"/>
  <c r="F2686" i="19" s="1"/>
  <c r="D2687" i="19"/>
  <c r="F2687" i="19" s="1"/>
  <c r="D2688" i="19"/>
  <c r="F2688" i="19" s="1"/>
  <c r="D2689" i="19"/>
  <c r="F2689" i="19" s="1"/>
  <c r="D2690" i="19"/>
  <c r="F2690" i="19" s="1"/>
  <c r="D2691" i="19"/>
  <c r="F2691" i="19" s="1"/>
  <c r="D2692" i="19"/>
  <c r="F2692" i="19" s="1"/>
  <c r="D2693" i="19"/>
  <c r="F2693" i="19" s="1"/>
  <c r="D2694" i="19"/>
  <c r="F2694" i="19" s="1"/>
  <c r="D2695" i="19"/>
  <c r="F2695" i="19" s="1"/>
  <c r="D2696" i="19"/>
  <c r="F2696" i="19" s="1"/>
  <c r="D2697" i="19"/>
  <c r="F2697" i="19" s="1"/>
  <c r="D2698" i="19"/>
  <c r="F2698" i="19" s="1"/>
  <c r="D2699" i="19"/>
  <c r="F2699" i="19" s="1"/>
  <c r="D2700" i="19"/>
  <c r="F2700" i="19" s="1"/>
  <c r="D2701" i="19"/>
  <c r="F2701" i="19" s="1"/>
  <c r="D2702" i="19"/>
  <c r="F2702" i="19" s="1"/>
  <c r="D2703" i="19"/>
  <c r="F2703" i="19" s="1"/>
  <c r="D2704" i="19"/>
  <c r="F2704" i="19" s="1"/>
  <c r="D2705" i="19"/>
  <c r="F2705" i="19" s="1"/>
  <c r="D2706" i="19"/>
  <c r="F2706" i="19" s="1"/>
  <c r="D2707" i="19"/>
  <c r="F2707" i="19" s="1"/>
  <c r="D2708" i="19"/>
  <c r="F2708" i="19" s="1"/>
  <c r="D2709" i="19"/>
  <c r="F2709" i="19" s="1"/>
  <c r="D2710" i="19"/>
  <c r="F2710" i="19" s="1"/>
  <c r="D2711" i="19"/>
  <c r="F2711" i="19" s="1"/>
  <c r="D2712" i="19"/>
  <c r="F2712" i="19" s="1"/>
  <c r="D2713" i="19"/>
  <c r="F2713" i="19" s="1"/>
  <c r="D2714" i="19"/>
  <c r="F2714" i="19" s="1"/>
  <c r="D2715" i="19"/>
  <c r="F2715" i="19" s="1"/>
  <c r="D2716" i="19"/>
  <c r="F2716" i="19" s="1"/>
  <c r="D2717" i="19"/>
  <c r="F2717" i="19" s="1"/>
  <c r="D2718" i="19"/>
  <c r="F2718" i="19" s="1"/>
  <c r="D2719" i="19"/>
  <c r="F2719" i="19" s="1"/>
  <c r="D2720" i="19"/>
  <c r="F2720" i="19" s="1"/>
  <c r="D2721" i="19"/>
  <c r="F2721" i="19" s="1"/>
  <c r="D2722" i="19"/>
  <c r="F2722" i="19" s="1"/>
  <c r="D2723" i="19"/>
  <c r="F2723" i="19" s="1"/>
  <c r="D2724" i="19"/>
  <c r="F2724" i="19" s="1"/>
  <c r="D2725" i="19"/>
  <c r="F2725" i="19" s="1"/>
  <c r="D2726" i="19"/>
  <c r="F2726" i="19" s="1"/>
  <c r="D2727" i="19"/>
  <c r="F2727" i="19" s="1"/>
  <c r="D2728" i="19"/>
  <c r="F2728" i="19" s="1"/>
  <c r="D2729" i="19"/>
  <c r="F2729" i="19" s="1"/>
  <c r="D2730" i="19"/>
  <c r="F2730" i="19" s="1"/>
  <c r="D2731" i="19"/>
  <c r="F2731" i="19" s="1"/>
  <c r="D2732" i="19"/>
  <c r="F2732" i="19" s="1"/>
  <c r="D2733" i="19"/>
  <c r="F2733" i="19" s="1"/>
  <c r="D2734" i="19"/>
  <c r="F2734" i="19" s="1"/>
  <c r="D2735" i="19"/>
  <c r="F2735" i="19" s="1"/>
  <c r="D2736" i="19"/>
  <c r="F2736" i="19" s="1"/>
  <c r="D2737" i="19"/>
  <c r="F2737" i="19" s="1"/>
  <c r="D2738" i="19"/>
  <c r="F2738" i="19" s="1"/>
  <c r="D2739" i="19"/>
  <c r="F2739" i="19" s="1"/>
  <c r="D2740" i="19"/>
  <c r="F2740" i="19" s="1"/>
  <c r="D2741" i="19"/>
  <c r="F2741" i="19" s="1"/>
  <c r="D2742" i="19"/>
  <c r="F2742" i="19" s="1"/>
  <c r="D2743" i="19"/>
  <c r="F2743" i="19" s="1"/>
  <c r="D2744" i="19"/>
  <c r="F2744" i="19" s="1"/>
  <c r="D2745" i="19"/>
  <c r="F2745" i="19" s="1"/>
  <c r="D2746" i="19"/>
  <c r="F2746" i="19" s="1"/>
  <c r="D2747" i="19"/>
  <c r="F2747" i="19" s="1"/>
  <c r="D2748" i="19"/>
  <c r="F2748" i="19" s="1"/>
  <c r="D2749" i="19"/>
  <c r="F2749" i="19" s="1"/>
  <c r="D2750" i="19"/>
  <c r="F2750" i="19" s="1"/>
  <c r="D2751" i="19"/>
  <c r="F2751" i="19" s="1"/>
  <c r="D2752" i="19"/>
  <c r="F2752" i="19" s="1"/>
  <c r="D2753" i="19"/>
  <c r="F2753" i="19" s="1"/>
  <c r="D2754" i="19"/>
  <c r="F2754" i="19" s="1"/>
  <c r="D2755" i="19"/>
  <c r="F2755" i="19" s="1"/>
  <c r="D2756" i="19"/>
  <c r="F2756" i="19" s="1"/>
  <c r="D2757" i="19"/>
  <c r="F2757" i="19" s="1"/>
  <c r="D2758" i="19"/>
  <c r="F2758" i="19" s="1"/>
  <c r="D2759" i="19"/>
  <c r="F2759" i="19" s="1"/>
  <c r="D2760" i="19"/>
  <c r="F2760" i="19" s="1"/>
  <c r="D2761" i="19"/>
  <c r="F2761" i="19" s="1"/>
  <c r="D2762" i="19"/>
  <c r="F2762" i="19" s="1"/>
  <c r="D2763" i="19"/>
  <c r="F2763" i="19" s="1"/>
  <c r="D2764" i="19"/>
  <c r="F2764" i="19" s="1"/>
  <c r="D2765" i="19"/>
  <c r="F2765" i="19" s="1"/>
  <c r="D2766" i="19"/>
  <c r="F2766" i="19" s="1"/>
  <c r="D2767" i="19"/>
  <c r="F2767" i="19" s="1"/>
  <c r="D2768" i="19"/>
  <c r="F2768" i="19" s="1"/>
  <c r="D2769" i="19"/>
  <c r="F2769" i="19" s="1"/>
  <c r="D2770" i="19"/>
  <c r="F2770" i="19" s="1"/>
  <c r="D2771" i="19"/>
  <c r="F2771" i="19" s="1"/>
  <c r="D2772" i="19"/>
  <c r="F2772" i="19" s="1"/>
  <c r="D2773" i="19"/>
  <c r="F2773" i="19" s="1"/>
  <c r="D2774" i="19"/>
  <c r="F2774" i="19" s="1"/>
  <c r="D2775" i="19"/>
  <c r="F2775" i="19" s="1"/>
  <c r="D2776" i="19"/>
  <c r="F2776" i="19" s="1"/>
  <c r="D2777" i="19"/>
  <c r="F2777" i="19" s="1"/>
  <c r="D2778" i="19"/>
  <c r="F2778" i="19" s="1"/>
  <c r="D2779" i="19"/>
  <c r="F2779" i="19" s="1"/>
  <c r="D2780" i="19"/>
  <c r="F2780" i="19" s="1"/>
  <c r="D2781" i="19"/>
  <c r="F2781" i="19" s="1"/>
  <c r="D2782" i="19"/>
  <c r="F2782" i="19" s="1"/>
  <c r="D2783" i="19"/>
  <c r="F2783" i="19" s="1"/>
  <c r="D2784" i="19"/>
  <c r="F2784" i="19" s="1"/>
  <c r="D2785" i="19"/>
  <c r="F2785" i="19" s="1"/>
  <c r="D2786" i="19"/>
  <c r="F2786" i="19" s="1"/>
  <c r="D2787" i="19"/>
  <c r="F2787" i="19" s="1"/>
  <c r="D2788" i="19"/>
  <c r="F2788" i="19" s="1"/>
  <c r="D2789" i="19"/>
  <c r="F2789" i="19" s="1"/>
  <c r="D2790" i="19"/>
  <c r="F2790" i="19" s="1"/>
  <c r="D2791" i="19"/>
  <c r="F2791" i="19" s="1"/>
  <c r="D2792" i="19"/>
  <c r="F2792" i="19" s="1"/>
  <c r="D2793" i="19"/>
  <c r="F2793" i="19" s="1"/>
  <c r="D2794" i="19"/>
  <c r="F2794" i="19" s="1"/>
  <c r="D2795" i="19"/>
  <c r="F2795" i="19" s="1"/>
  <c r="D2796" i="19"/>
  <c r="F2796" i="19" s="1"/>
  <c r="D2797" i="19"/>
  <c r="F2797" i="19" s="1"/>
  <c r="D2798" i="19"/>
  <c r="F2798" i="19" s="1"/>
  <c r="D2799" i="19"/>
  <c r="F2799" i="19" s="1"/>
  <c r="D2800" i="19"/>
  <c r="F2800" i="19" s="1"/>
  <c r="D2801" i="19"/>
  <c r="F2801" i="19" s="1"/>
  <c r="D2802" i="19"/>
  <c r="F2802" i="19" s="1"/>
  <c r="D2803" i="19"/>
  <c r="F2803" i="19" s="1"/>
  <c r="D2804" i="19"/>
  <c r="F2804" i="19" s="1"/>
  <c r="D2805" i="19"/>
  <c r="F2805" i="19" s="1"/>
  <c r="D2806" i="19"/>
  <c r="F2806" i="19" s="1"/>
  <c r="D2807" i="19"/>
  <c r="F2807" i="19" s="1"/>
  <c r="D2808" i="19"/>
  <c r="F2808" i="19" s="1"/>
  <c r="D2809" i="19"/>
  <c r="F2809" i="19" s="1"/>
  <c r="D2810" i="19"/>
  <c r="F2810" i="19" s="1"/>
  <c r="D2811" i="19"/>
  <c r="F2811" i="19" s="1"/>
  <c r="D2812" i="19"/>
  <c r="F2812" i="19" s="1"/>
  <c r="D2813" i="19"/>
  <c r="F2813" i="19" s="1"/>
  <c r="D2814" i="19"/>
  <c r="F2814" i="19" s="1"/>
  <c r="D2815" i="19"/>
  <c r="F2815" i="19" s="1"/>
  <c r="D2816" i="19"/>
  <c r="F2816" i="19" s="1"/>
  <c r="D2817" i="19"/>
  <c r="F2817" i="19" s="1"/>
  <c r="D2818" i="19"/>
  <c r="F2818" i="19" s="1"/>
  <c r="D2819" i="19"/>
  <c r="F2819" i="19" s="1"/>
  <c r="D2820" i="19"/>
  <c r="F2820" i="19" s="1"/>
  <c r="D2821" i="19"/>
  <c r="F2821" i="19" s="1"/>
  <c r="D2822" i="19"/>
  <c r="F2822" i="19" s="1"/>
  <c r="D2823" i="19"/>
  <c r="F2823" i="19" s="1"/>
  <c r="D2824" i="19"/>
  <c r="F2824" i="19" s="1"/>
  <c r="D2825" i="19"/>
  <c r="F2825" i="19" s="1"/>
  <c r="D2826" i="19"/>
  <c r="F2826" i="19" s="1"/>
  <c r="D2827" i="19"/>
  <c r="F2827" i="19" s="1"/>
  <c r="D2828" i="19"/>
  <c r="F2828" i="19" s="1"/>
  <c r="D2829" i="19"/>
  <c r="F2829" i="19" s="1"/>
  <c r="D2830" i="19"/>
  <c r="F2830" i="19" s="1"/>
  <c r="D2831" i="19"/>
  <c r="F2831" i="19" s="1"/>
  <c r="D2832" i="19"/>
  <c r="F2832" i="19" s="1"/>
  <c r="D2833" i="19"/>
  <c r="F2833" i="19" s="1"/>
  <c r="D2834" i="19"/>
  <c r="F2834" i="19" s="1"/>
  <c r="D2835" i="19"/>
  <c r="F2835" i="19" s="1"/>
  <c r="D2836" i="19"/>
  <c r="F2836" i="19" s="1"/>
  <c r="D2837" i="19"/>
  <c r="F2837" i="19" s="1"/>
  <c r="D2838" i="19"/>
  <c r="F2838" i="19" s="1"/>
  <c r="D2839" i="19"/>
  <c r="F2839" i="19" s="1"/>
  <c r="D2840" i="19"/>
  <c r="F2840" i="19" s="1"/>
  <c r="D2841" i="19"/>
  <c r="F2841" i="19" s="1"/>
  <c r="D2842" i="19"/>
  <c r="F2842" i="19" s="1"/>
  <c r="D2843" i="19"/>
  <c r="F2843" i="19" s="1"/>
  <c r="D2844" i="19"/>
  <c r="F2844" i="19" s="1"/>
  <c r="D2845" i="19"/>
  <c r="F2845" i="19" s="1"/>
  <c r="D2846" i="19"/>
  <c r="F2846" i="19" s="1"/>
  <c r="D2847" i="19"/>
  <c r="F2847" i="19" s="1"/>
  <c r="D2848" i="19"/>
  <c r="F2848" i="19" s="1"/>
  <c r="D2849" i="19"/>
  <c r="F2849" i="19" s="1"/>
  <c r="D2850" i="19"/>
  <c r="F2850" i="19" s="1"/>
  <c r="D2851" i="19"/>
  <c r="F2851" i="19" s="1"/>
  <c r="D2852" i="19"/>
  <c r="F2852" i="19" s="1"/>
  <c r="D2853" i="19"/>
  <c r="F2853" i="19" s="1"/>
  <c r="D2854" i="19"/>
  <c r="F2854" i="19" s="1"/>
  <c r="D2855" i="19"/>
  <c r="F2855" i="19" s="1"/>
  <c r="D2856" i="19"/>
  <c r="F2856" i="19" s="1"/>
  <c r="D2857" i="19"/>
  <c r="F2857" i="19" s="1"/>
  <c r="D2858" i="19"/>
  <c r="F2858" i="19" s="1"/>
  <c r="D2859" i="19"/>
  <c r="F2859" i="19" s="1"/>
  <c r="D2860" i="19"/>
  <c r="F2860" i="19" s="1"/>
  <c r="D2861" i="19"/>
  <c r="F2861" i="19" s="1"/>
  <c r="D2862" i="19"/>
  <c r="F2862" i="19" s="1"/>
  <c r="D2863" i="19"/>
  <c r="F2863" i="19" s="1"/>
  <c r="D2864" i="19"/>
  <c r="F2864" i="19" s="1"/>
  <c r="D2865" i="19"/>
  <c r="F2865" i="19" s="1"/>
  <c r="D2866" i="19"/>
  <c r="F2866" i="19" s="1"/>
  <c r="D2867" i="19"/>
  <c r="F2867" i="19" s="1"/>
  <c r="D2868" i="19"/>
  <c r="F2868" i="19" s="1"/>
  <c r="D2869" i="19"/>
  <c r="F2869" i="19" s="1"/>
  <c r="D2870" i="19"/>
  <c r="F2870" i="19" s="1"/>
  <c r="D2871" i="19"/>
  <c r="F2871" i="19" s="1"/>
  <c r="D2872" i="19"/>
  <c r="F2872" i="19" s="1"/>
  <c r="D2873" i="19"/>
  <c r="F2873" i="19" s="1"/>
  <c r="D2874" i="19"/>
  <c r="F2874" i="19" s="1"/>
  <c r="D2875" i="19"/>
  <c r="F2875" i="19" s="1"/>
  <c r="D2876" i="19"/>
  <c r="F2876" i="19" s="1"/>
  <c r="D2877" i="19"/>
  <c r="F2877" i="19" s="1"/>
  <c r="D2878" i="19"/>
  <c r="F2878" i="19" s="1"/>
  <c r="D2879" i="19"/>
  <c r="F2879" i="19" s="1"/>
  <c r="D2880" i="19"/>
  <c r="F2880" i="19" s="1"/>
  <c r="D2881" i="19"/>
  <c r="F2881" i="19" s="1"/>
  <c r="D2882" i="19"/>
  <c r="F2882" i="19" s="1"/>
  <c r="D2883" i="19"/>
  <c r="F2883" i="19" s="1"/>
  <c r="D2884" i="19"/>
  <c r="F2884" i="19" s="1"/>
  <c r="D2885" i="19"/>
  <c r="F2885" i="19" s="1"/>
  <c r="D2886" i="19"/>
  <c r="F2886" i="19" s="1"/>
  <c r="D2887" i="19"/>
  <c r="F2887" i="19" s="1"/>
  <c r="D2888" i="19"/>
  <c r="F2888" i="19" s="1"/>
  <c r="D2889" i="19"/>
  <c r="F2889" i="19" s="1"/>
  <c r="D2890" i="19"/>
  <c r="F2890" i="19" s="1"/>
  <c r="D2891" i="19"/>
  <c r="F2891" i="19" s="1"/>
  <c r="D2892" i="19"/>
  <c r="F2892" i="19" s="1"/>
  <c r="D2893" i="19"/>
  <c r="F2893" i="19" s="1"/>
  <c r="D2894" i="19"/>
  <c r="F2894" i="19" s="1"/>
  <c r="D2895" i="19"/>
  <c r="F2895" i="19" s="1"/>
  <c r="D2896" i="19"/>
  <c r="F2896" i="19" s="1"/>
  <c r="D2897" i="19"/>
  <c r="F2897" i="19" s="1"/>
  <c r="D2898" i="19"/>
  <c r="F2898" i="19" s="1"/>
  <c r="D2899" i="19"/>
  <c r="F2899" i="19" s="1"/>
  <c r="D2900" i="19"/>
  <c r="F2900" i="19" s="1"/>
  <c r="D2901" i="19"/>
  <c r="F2901" i="19" s="1"/>
  <c r="D2902" i="19"/>
  <c r="F2902" i="19" s="1"/>
  <c r="D2903" i="19"/>
  <c r="F2903" i="19" s="1"/>
  <c r="D2904" i="19"/>
  <c r="F2904" i="19" s="1"/>
  <c r="D2905" i="19"/>
  <c r="F2905" i="19" s="1"/>
  <c r="D2906" i="19"/>
  <c r="F2906" i="19" s="1"/>
  <c r="D2907" i="19"/>
  <c r="F2907" i="19" s="1"/>
  <c r="D2908" i="19"/>
  <c r="F2908" i="19" s="1"/>
  <c r="D2909" i="19"/>
  <c r="F2909" i="19" s="1"/>
  <c r="D2910" i="19"/>
  <c r="F2910" i="19" s="1"/>
  <c r="D2911" i="19"/>
  <c r="F2911" i="19" s="1"/>
  <c r="D2912" i="19"/>
  <c r="F2912" i="19" s="1"/>
  <c r="D2913" i="19"/>
  <c r="F2913" i="19" s="1"/>
  <c r="D2914" i="19"/>
  <c r="F2914" i="19" s="1"/>
  <c r="D2915" i="19"/>
  <c r="F2915" i="19" s="1"/>
  <c r="D2916" i="19"/>
  <c r="F2916" i="19" s="1"/>
  <c r="D2917" i="19"/>
  <c r="F2917" i="19" s="1"/>
  <c r="D2918" i="19"/>
  <c r="F2918" i="19" s="1"/>
  <c r="D2919" i="19"/>
  <c r="F2919" i="19" s="1"/>
  <c r="D2920" i="19"/>
  <c r="F2920" i="19" s="1"/>
  <c r="D2921" i="19"/>
  <c r="F2921" i="19" s="1"/>
  <c r="D2922" i="19"/>
  <c r="F2922" i="19" s="1"/>
  <c r="D2923" i="19"/>
  <c r="F2923" i="19" s="1"/>
  <c r="D2924" i="19"/>
  <c r="F2924" i="19" s="1"/>
  <c r="D2925" i="19"/>
  <c r="F2925" i="19" s="1"/>
  <c r="D2926" i="19"/>
  <c r="F2926" i="19" s="1"/>
  <c r="D2927" i="19"/>
  <c r="F2927" i="19" s="1"/>
  <c r="D2928" i="19"/>
  <c r="F2928" i="19" s="1"/>
  <c r="D2929" i="19"/>
  <c r="F2929" i="19" s="1"/>
  <c r="D2930" i="19"/>
  <c r="F2930" i="19" s="1"/>
  <c r="D2931" i="19"/>
  <c r="F2931" i="19" s="1"/>
  <c r="D2932" i="19"/>
  <c r="F2932" i="19" s="1"/>
  <c r="D2933" i="19"/>
  <c r="F2933" i="19" s="1"/>
  <c r="D2934" i="19"/>
  <c r="F2934" i="19" s="1"/>
  <c r="D2935" i="19"/>
  <c r="F2935" i="19" s="1"/>
  <c r="D2936" i="19"/>
  <c r="F2936" i="19" s="1"/>
  <c r="D2937" i="19"/>
  <c r="F2937" i="19" s="1"/>
  <c r="D2938" i="19"/>
  <c r="F2938" i="19" s="1"/>
  <c r="D2939" i="19"/>
  <c r="F2939" i="19" s="1"/>
  <c r="D2940" i="19"/>
  <c r="F2940" i="19" s="1"/>
  <c r="D2941" i="19"/>
  <c r="F2941" i="19" s="1"/>
  <c r="D2942" i="19"/>
  <c r="F2942" i="19" s="1"/>
  <c r="D2943" i="19"/>
  <c r="F2943" i="19" s="1"/>
  <c r="D2944" i="19"/>
  <c r="F2944" i="19" s="1"/>
  <c r="D2945" i="19"/>
  <c r="F2945" i="19" s="1"/>
  <c r="D2946" i="19"/>
  <c r="F2946" i="19" s="1"/>
  <c r="D2947" i="19"/>
  <c r="F2947" i="19" s="1"/>
  <c r="D2948" i="19"/>
  <c r="F2948" i="19" s="1"/>
  <c r="D2949" i="19"/>
  <c r="F2949" i="19" s="1"/>
  <c r="D2950" i="19"/>
  <c r="F2950" i="19" s="1"/>
  <c r="D2951" i="19"/>
  <c r="F2951" i="19" s="1"/>
  <c r="D2952" i="19"/>
  <c r="F2952" i="19" s="1"/>
  <c r="D2953" i="19"/>
  <c r="F2953" i="19" s="1"/>
  <c r="D2954" i="19"/>
  <c r="F2954" i="19" s="1"/>
  <c r="D2955" i="19"/>
  <c r="F2955" i="19" s="1"/>
  <c r="D2956" i="19"/>
  <c r="F2956" i="19" s="1"/>
  <c r="D2957" i="19"/>
  <c r="F2957" i="19" s="1"/>
  <c r="D2958" i="19"/>
  <c r="F2958" i="19" s="1"/>
  <c r="D2959" i="19"/>
  <c r="F2959" i="19" s="1"/>
  <c r="D2960" i="19"/>
  <c r="F2960" i="19" s="1"/>
  <c r="D2961" i="19"/>
  <c r="F2961" i="19" s="1"/>
  <c r="D2962" i="19"/>
  <c r="F2962" i="19" s="1"/>
  <c r="D2963" i="19"/>
  <c r="F2963" i="19" s="1"/>
  <c r="D2964" i="19"/>
  <c r="F2964" i="19" s="1"/>
  <c r="D2965" i="19"/>
  <c r="F2965" i="19" s="1"/>
  <c r="D2966" i="19"/>
  <c r="F2966" i="19" s="1"/>
  <c r="D2967" i="19"/>
  <c r="F2967" i="19" s="1"/>
  <c r="D2968" i="19"/>
  <c r="F2968" i="19" s="1"/>
  <c r="D2969" i="19"/>
  <c r="F2969" i="19" s="1"/>
  <c r="D2970" i="19"/>
  <c r="F2970" i="19" s="1"/>
  <c r="D2971" i="19"/>
  <c r="F2971" i="19" s="1"/>
  <c r="D2972" i="19"/>
  <c r="F2972" i="19" s="1"/>
  <c r="D2973" i="19"/>
  <c r="F2973" i="19" s="1"/>
  <c r="D2974" i="19"/>
  <c r="F2974" i="19" s="1"/>
  <c r="D2975" i="19"/>
  <c r="F2975" i="19" s="1"/>
  <c r="D2976" i="19"/>
  <c r="F2976" i="19" s="1"/>
  <c r="D2977" i="19"/>
  <c r="F2977" i="19" s="1"/>
  <c r="D2978" i="19"/>
  <c r="F2978" i="19" s="1"/>
  <c r="D2979" i="19"/>
  <c r="F2979" i="19" s="1"/>
  <c r="D2980" i="19"/>
  <c r="F2980" i="19" s="1"/>
  <c r="D2981" i="19"/>
  <c r="F2981" i="19" s="1"/>
  <c r="D2982" i="19"/>
  <c r="F2982" i="19" s="1"/>
  <c r="D2983" i="19"/>
  <c r="F2983" i="19" s="1"/>
  <c r="D2984" i="19"/>
  <c r="F2984" i="19" s="1"/>
  <c r="D2985" i="19"/>
  <c r="F2985" i="19" s="1"/>
  <c r="D2986" i="19"/>
  <c r="F2986" i="19" s="1"/>
  <c r="D2987" i="19"/>
  <c r="F2987" i="19" s="1"/>
  <c r="D2988" i="19"/>
  <c r="F2988" i="19" s="1"/>
  <c r="D2989" i="19"/>
  <c r="F2989" i="19" s="1"/>
  <c r="D2990" i="19"/>
  <c r="F2990" i="19" s="1"/>
  <c r="D2991" i="19"/>
  <c r="F2991" i="19" s="1"/>
  <c r="D2992" i="19"/>
  <c r="F2992" i="19" s="1"/>
  <c r="D2993" i="19"/>
  <c r="F2993" i="19" s="1"/>
  <c r="D2994" i="19"/>
  <c r="F2994" i="19" s="1"/>
  <c r="D2995" i="19"/>
  <c r="F2995" i="19" s="1"/>
  <c r="D2996" i="19"/>
  <c r="F2996" i="19" s="1"/>
  <c r="D2997" i="19"/>
  <c r="F2997" i="19" s="1"/>
  <c r="D2998" i="19"/>
  <c r="F2998" i="19" s="1"/>
  <c r="D2999" i="19"/>
  <c r="F2999" i="19" s="1"/>
  <c r="D3000" i="19"/>
  <c r="F3000" i="19" s="1"/>
  <c r="D3001" i="19"/>
  <c r="F3001" i="19" s="1"/>
  <c r="D3002" i="19"/>
  <c r="F3002" i="19" s="1"/>
  <c r="D3003" i="19"/>
  <c r="F3003" i="19" s="1"/>
  <c r="D3004" i="19"/>
  <c r="F3004" i="19" s="1"/>
  <c r="D3005" i="19"/>
  <c r="F3005" i="19" s="1"/>
  <c r="D3006" i="19"/>
  <c r="F3006" i="19" s="1"/>
  <c r="D3007" i="19"/>
  <c r="F3007" i="19" s="1"/>
  <c r="D3008" i="19"/>
  <c r="F3008" i="19" s="1"/>
  <c r="D3009" i="19"/>
  <c r="F3009" i="19" s="1"/>
  <c r="D3010" i="19"/>
  <c r="F3010" i="19" s="1"/>
  <c r="D3011" i="19"/>
  <c r="F3011" i="19" s="1"/>
  <c r="D3012" i="19"/>
  <c r="F3012" i="19" s="1"/>
  <c r="D3013" i="19"/>
  <c r="F3013" i="19" s="1"/>
  <c r="D3014" i="19"/>
  <c r="F3014" i="19" s="1"/>
  <c r="D3015" i="19"/>
  <c r="F3015" i="19" s="1"/>
  <c r="D3016" i="19"/>
  <c r="F3016" i="19" s="1"/>
  <c r="D3017" i="19"/>
  <c r="F3017" i="19" s="1"/>
  <c r="D3018" i="19"/>
  <c r="F3018" i="19" s="1"/>
  <c r="D3019" i="19"/>
  <c r="F3019" i="19" s="1"/>
  <c r="D3020" i="19"/>
  <c r="F3020" i="19" s="1"/>
  <c r="D3021" i="19"/>
  <c r="F3021" i="19" s="1"/>
  <c r="D3022" i="19"/>
  <c r="F3022" i="19" s="1"/>
  <c r="D3023" i="19"/>
  <c r="F3023" i="19" s="1"/>
  <c r="D3024" i="19"/>
  <c r="F3024" i="19" s="1"/>
  <c r="D3025" i="19"/>
  <c r="F3025" i="19" s="1"/>
  <c r="D3026" i="19"/>
  <c r="F3026" i="19" s="1"/>
  <c r="D3027" i="19"/>
  <c r="F3027" i="19" s="1"/>
  <c r="D3028" i="19"/>
  <c r="F3028" i="19" s="1"/>
  <c r="D3029" i="19"/>
  <c r="F3029" i="19" s="1"/>
  <c r="D3030" i="19"/>
  <c r="F3030" i="19" s="1"/>
  <c r="D3031" i="19"/>
  <c r="F3031" i="19" s="1"/>
  <c r="D3032" i="19"/>
  <c r="F3032" i="19" s="1"/>
  <c r="D3033" i="19"/>
  <c r="F3033" i="19" s="1"/>
  <c r="D3034" i="19"/>
  <c r="F3034" i="19" s="1"/>
  <c r="D3035" i="19"/>
  <c r="F3035" i="19" s="1"/>
  <c r="D3036" i="19"/>
  <c r="F3036" i="19" s="1"/>
  <c r="D3037" i="19"/>
  <c r="F3037" i="19" s="1"/>
  <c r="D3038" i="19"/>
  <c r="F3038" i="19" s="1"/>
  <c r="D3039" i="19"/>
  <c r="F3039" i="19" s="1"/>
  <c r="D3040" i="19"/>
  <c r="F3040" i="19" s="1"/>
  <c r="D3041" i="19"/>
  <c r="F3041" i="19" s="1"/>
  <c r="D3042" i="19"/>
  <c r="F3042" i="19" s="1"/>
  <c r="D3043" i="19"/>
  <c r="F3043" i="19" s="1"/>
  <c r="D3044" i="19"/>
  <c r="F3044" i="19" s="1"/>
  <c r="D3045" i="19"/>
  <c r="F3045" i="19" s="1"/>
  <c r="D3046" i="19"/>
  <c r="F3046" i="19" s="1"/>
  <c r="D3047" i="19"/>
  <c r="F3047" i="19" s="1"/>
  <c r="D3048" i="19"/>
  <c r="F3048" i="19" s="1"/>
  <c r="D3049" i="19"/>
  <c r="F3049" i="19" s="1"/>
  <c r="D3050" i="19"/>
  <c r="F3050" i="19" s="1"/>
  <c r="D3051" i="19"/>
  <c r="F3051" i="19" s="1"/>
  <c r="D3052" i="19"/>
  <c r="F3052" i="19" s="1"/>
  <c r="D3053" i="19"/>
  <c r="F3053" i="19" s="1"/>
  <c r="D3054" i="19"/>
  <c r="F3054" i="19" s="1"/>
  <c r="D3055" i="19"/>
  <c r="F3055" i="19" s="1"/>
  <c r="D3056" i="19"/>
  <c r="F3056" i="19" s="1"/>
  <c r="D3057" i="19"/>
  <c r="F3057" i="19" s="1"/>
  <c r="D3058" i="19"/>
  <c r="F3058" i="19" s="1"/>
  <c r="D3059" i="19"/>
  <c r="F3059" i="19" s="1"/>
  <c r="D3060" i="19"/>
  <c r="F3060" i="19" s="1"/>
  <c r="D3061" i="19"/>
  <c r="F3061" i="19" s="1"/>
  <c r="D3062" i="19"/>
  <c r="F3062" i="19" s="1"/>
  <c r="D3063" i="19"/>
  <c r="F3063" i="19" s="1"/>
  <c r="D3064" i="19"/>
  <c r="F3064" i="19" s="1"/>
  <c r="D3065" i="19"/>
  <c r="F3065" i="19" s="1"/>
  <c r="D3066" i="19"/>
  <c r="F3066" i="19" s="1"/>
  <c r="D3067" i="19"/>
  <c r="F3067" i="19" s="1"/>
  <c r="D3068" i="19"/>
  <c r="F3068" i="19" s="1"/>
  <c r="D3069" i="19"/>
  <c r="F3069" i="19" s="1"/>
  <c r="D3070" i="19"/>
  <c r="F3070" i="19" s="1"/>
  <c r="D3071" i="19"/>
  <c r="F3071" i="19" s="1"/>
  <c r="D3072" i="19"/>
  <c r="F3072" i="19" s="1"/>
  <c r="D3073" i="19"/>
  <c r="F3073" i="19" s="1"/>
  <c r="D3074" i="19"/>
  <c r="F3074" i="19" s="1"/>
  <c r="D3075" i="19"/>
  <c r="F3075" i="19" s="1"/>
  <c r="D3076" i="19"/>
  <c r="F3076" i="19" s="1"/>
  <c r="D3077" i="19"/>
  <c r="F3077" i="19" s="1"/>
  <c r="D3078" i="19"/>
  <c r="F3078" i="19" s="1"/>
  <c r="D3079" i="19"/>
  <c r="F3079" i="19" s="1"/>
  <c r="D3080" i="19"/>
  <c r="F3080" i="19" s="1"/>
  <c r="D3081" i="19"/>
  <c r="F3081" i="19" s="1"/>
  <c r="D3082" i="19"/>
  <c r="F3082" i="19" s="1"/>
  <c r="D3083" i="19"/>
  <c r="F3083" i="19" s="1"/>
  <c r="D3084" i="19"/>
  <c r="F3084" i="19" s="1"/>
  <c r="D3085" i="19"/>
  <c r="F3085" i="19" s="1"/>
  <c r="D3086" i="19"/>
  <c r="F3086" i="19" s="1"/>
  <c r="D3087" i="19"/>
  <c r="F3087" i="19" s="1"/>
  <c r="D3088" i="19"/>
  <c r="F3088" i="19" s="1"/>
  <c r="D3089" i="19"/>
  <c r="F3089" i="19" s="1"/>
  <c r="D3090" i="19"/>
  <c r="F3090" i="19" s="1"/>
  <c r="D3091" i="19"/>
  <c r="F3091" i="19" s="1"/>
  <c r="D3092" i="19"/>
  <c r="F3092" i="19" s="1"/>
  <c r="D3093" i="19"/>
  <c r="F3093" i="19" s="1"/>
  <c r="D3094" i="19"/>
  <c r="F3094" i="19" s="1"/>
  <c r="D3095" i="19"/>
  <c r="F3095" i="19" s="1"/>
  <c r="D3096" i="19"/>
  <c r="F3096" i="19" s="1"/>
  <c r="D3097" i="19"/>
  <c r="F3097" i="19" s="1"/>
  <c r="D3098" i="19"/>
  <c r="F3098" i="19" s="1"/>
  <c r="D3099" i="19"/>
  <c r="F3099" i="19" s="1"/>
  <c r="D3100" i="19"/>
  <c r="F3100" i="19" s="1"/>
  <c r="D3101" i="19"/>
  <c r="F3101" i="19" s="1"/>
  <c r="D3102" i="19"/>
  <c r="F3102" i="19" s="1"/>
  <c r="D3103" i="19"/>
  <c r="F3103" i="19" s="1"/>
  <c r="D3104" i="19"/>
  <c r="F3104" i="19" s="1"/>
  <c r="D3105" i="19"/>
  <c r="F3105" i="19" s="1"/>
  <c r="D3106" i="19"/>
  <c r="F3106" i="19" s="1"/>
  <c r="D3107" i="19"/>
  <c r="F3107" i="19" s="1"/>
  <c r="D3108" i="19"/>
  <c r="F3108" i="19" s="1"/>
  <c r="D3109" i="19"/>
  <c r="F3109" i="19" s="1"/>
  <c r="D3110" i="19"/>
  <c r="F3110" i="19" s="1"/>
  <c r="D3111" i="19"/>
  <c r="F3111" i="19" s="1"/>
  <c r="D3112" i="19"/>
  <c r="F3112" i="19" s="1"/>
  <c r="D3113" i="19"/>
  <c r="F3113" i="19" s="1"/>
  <c r="D3114" i="19"/>
  <c r="F3114" i="19" s="1"/>
  <c r="D3115" i="19"/>
  <c r="F3115" i="19" s="1"/>
  <c r="D3116" i="19"/>
  <c r="F3116" i="19" s="1"/>
  <c r="D3117" i="19"/>
  <c r="F3117" i="19" s="1"/>
  <c r="D3118" i="19"/>
  <c r="F3118" i="19" s="1"/>
  <c r="D3119" i="19"/>
  <c r="F3119" i="19" s="1"/>
  <c r="D3120" i="19"/>
  <c r="F3120" i="19" s="1"/>
  <c r="D3121" i="19"/>
  <c r="F3121" i="19" s="1"/>
  <c r="D3122" i="19"/>
  <c r="F3122" i="19" s="1"/>
  <c r="D3123" i="19"/>
  <c r="F3123" i="19" s="1"/>
  <c r="D3124" i="19"/>
  <c r="F3124" i="19" s="1"/>
  <c r="D3125" i="19"/>
  <c r="F3125" i="19" s="1"/>
  <c r="D3126" i="19"/>
  <c r="F3126" i="19" s="1"/>
  <c r="D3127" i="19"/>
  <c r="F3127" i="19" s="1"/>
  <c r="D3128" i="19"/>
  <c r="F3128" i="19" s="1"/>
  <c r="D3129" i="19"/>
  <c r="F3129" i="19" s="1"/>
  <c r="D3130" i="19"/>
  <c r="F3130" i="19" s="1"/>
  <c r="D3131" i="19"/>
  <c r="F3131" i="19" s="1"/>
  <c r="D3132" i="19"/>
  <c r="F3132" i="19" s="1"/>
  <c r="D3133" i="19"/>
  <c r="F3133" i="19" s="1"/>
  <c r="D3134" i="19"/>
  <c r="F3134" i="19" s="1"/>
  <c r="D3135" i="19"/>
  <c r="F3135" i="19" s="1"/>
  <c r="D3136" i="19"/>
  <c r="F3136" i="19" s="1"/>
  <c r="D3137" i="19"/>
  <c r="F3137" i="19" s="1"/>
  <c r="D3138" i="19"/>
  <c r="F3138" i="19" s="1"/>
  <c r="D3139" i="19"/>
  <c r="F3139" i="19" s="1"/>
  <c r="D3140" i="19"/>
  <c r="F3140" i="19" s="1"/>
  <c r="D3141" i="19"/>
  <c r="F3141" i="19" s="1"/>
  <c r="D3142" i="19"/>
  <c r="F3142" i="19" s="1"/>
  <c r="D3143" i="19"/>
  <c r="F3143" i="19" s="1"/>
  <c r="D3144" i="19"/>
  <c r="F3144" i="19" s="1"/>
  <c r="D3145" i="19"/>
  <c r="F3145" i="19" s="1"/>
  <c r="D3146" i="19"/>
  <c r="F3146" i="19" s="1"/>
  <c r="D3147" i="19"/>
  <c r="F3147" i="19" s="1"/>
  <c r="D3148" i="19"/>
  <c r="F3148" i="19" s="1"/>
  <c r="D3149" i="19"/>
  <c r="F3149" i="19" s="1"/>
  <c r="D3150" i="19"/>
  <c r="F3150" i="19" s="1"/>
  <c r="D3151" i="19"/>
  <c r="F3151" i="19" s="1"/>
  <c r="D3152" i="19"/>
  <c r="F3152" i="19" s="1"/>
  <c r="D3153" i="19"/>
  <c r="F3153" i="19" s="1"/>
  <c r="D3154" i="19"/>
  <c r="F3154" i="19" s="1"/>
  <c r="D3155" i="19"/>
  <c r="F3155" i="19" s="1"/>
  <c r="D3156" i="19"/>
  <c r="F3156" i="19" s="1"/>
  <c r="D3157" i="19"/>
  <c r="F3157" i="19" s="1"/>
  <c r="D3158" i="19"/>
  <c r="F3158" i="19" s="1"/>
  <c r="D3159" i="19"/>
  <c r="F3159" i="19" s="1"/>
  <c r="D3160" i="19"/>
  <c r="F3160" i="19" s="1"/>
  <c r="D3161" i="19"/>
  <c r="F3161" i="19" s="1"/>
  <c r="D3162" i="19"/>
  <c r="F3162" i="19" s="1"/>
  <c r="D3163" i="19"/>
  <c r="F3163" i="19" s="1"/>
  <c r="D3164" i="19"/>
  <c r="F3164" i="19" s="1"/>
  <c r="D3165" i="19"/>
  <c r="F3165" i="19" s="1"/>
  <c r="D3166" i="19"/>
  <c r="F3166" i="19" s="1"/>
  <c r="D3167" i="19"/>
  <c r="F3167" i="19" s="1"/>
  <c r="D3168" i="19"/>
  <c r="F3168" i="19" s="1"/>
  <c r="D3169" i="19"/>
  <c r="F3169" i="19" s="1"/>
  <c r="D3170" i="19"/>
  <c r="F3170" i="19" s="1"/>
  <c r="D3171" i="19"/>
  <c r="F3171" i="19" s="1"/>
  <c r="D3172" i="19"/>
  <c r="F3172" i="19" s="1"/>
  <c r="D3173" i="19"/>
  <c r="F3173" i="19" s="1"/>
  <c r="D3174" i="19"/>
  <c r="F3174" i="19" s="1"/>
  <c r="D3175" i="19"/>
  <c r="F3175" i="19" s="1"/>
  <c r="D3176" i="19"/>
  <c r="F3176" i="19" s="1"/>
  <c r="D3177" i="19"/>
  <c r="F3177" i="19" s="1"/>
  <c r="D3178" i="19"/>
  <c r="F3178" i="19" s="1"/>
  <c r="D3179" i="19"/>
  <c r="F3179" i="19" s="1"/>
  <c r="D3180" i="19"/>
  <c r="F3180" i="19" s="1"/>
  <c r="D3181" i="19"/>
  <c r="F3181" i="19" s="1"/>
  <c r="D3182" i="19"/>
  <c r="F3182" i="19" s="1"/>
  <c r="D3183" i="19"/>
  <c r="F3183" i="19" s="1"/>
  <c r="D3184" i="19"/>
  <c r="F3184" i="19" s="1"/>
  <c r="D3185" i="19"/>
  <c r="F3185" i="19" s="1"/>
  <c r="D3186" i="19"/>
  <c r="F3186" i="19" s="1"/>
  <c r="D3187" i="19"/>
  <c r="F3187" i="19" s="1"/>
  <c r="D3188" i="19"/>
  <c r="F3188" i="19" s="1"/>
  <c r="D3189" i="19"/>
  <c r="F3189" i="19" s="1"/>
  <c r="D3190" i="19"/>
  <c r="F3190" i="19" s="1"/>
  <c r="D3191" i="19"/>
  <c r="F3191" i="19" s="1"/>
  <c r="D3192" i="19"/>
  <c r="F3192" i="19" s="1"/>
  <c r="D3193" i="19"/>
  <c r="F3193" i="19" s="1"/>
  <c r="D3194" i="19"/>
  <c r="F3194" i="19" s="1"/>
  <c r="D3195" i="19"/>
  <c r="F3195" i="19" s="1"/>
  <c r="D3196" i="19"/>
  <c r="F3196" i="19" s="1"/>
  <c r="D3197" i="19"/>
  <c r="F3197" i="19" s="1"/>
  <c r="D3198" i="19"/>
  <c r="F3198" i="19" s="1"/>
  <c r="D3199" i="19"/>
  <c r="F3199" i="19" s="1"/>
  <c r="D3200" i="19"/>
  <c r="F3200" i="19" s="1"/>
  <c r="D3201" i="19"/>
  <c r="F3201" i="19" s="1"/>
  <c r="D3202" i="19"/>
  <c r="F3202" i="19" s="1"/>
  <c r="D3203" i="19"/>
  <c r="F3203" i="19" s="1"/>
  <c r="D3204" i="19"/>
  <c r="F3204" i="19" s="1"/>
  <c r="D3205" i="19"/>
  <c r="F3205" i="19" s="1"/>
  <c r="D3206" i="19"/>
  <c r="F3206" i="19" s="1"/>
  <c r="D3207" i="19"/>
  <c r="F3207" i="19" s="1"/>
  <c r="D3208" i="19"/>
  <c r="F3208" i="19" s="1"/>
  <c r="D3209" i="19"/>
  <c r="F3209" i="19" s="1"/>
  <c r="D3210" i="19"/>
  <c r="F3210" i="19" s="1"/>
  <c r="D3211" i="19"/>
  <c r="F3211" i="19" s="1"/>
  <c r="D3212" i="19"/>
  <c r="F3212" i="19" s="1"/>
  <c r="D3213" i="19"/>
  <c r="F3213" i="19" s="1"/>
  <c r="D3214" i="19"/>
  <c r="F3214" i="19" s="1"/>
  <c r="D3215" i="19"/>
  <c r="F3215" i="19" s="1"/>
  <c r="D3216" i="19"/>
  <c r="F3216" i="19" s="1"/>
  <c r="D3217" i="19"/>
  <c r="F3217" i="19" s="1"/>
  <c r="D3218" i="19"/>
  <c r="F3218" i="19" s="1"/>
  <c r="D3219" i="19"/>
  <c r="F3219" i="19" s="1"/>
  <c r="D3220" i="19"/>
  <c r="F3220" i="19" s="1"/>
  <c r="D3221" i="19"/>
  <c r="F3221" i="19" s="1"/>
  <c r="D3222" i="19"/>
  <c r="F3222" i="19" s="1"/>
  <c r="D3223" i="19"/>
  <c r="F3223" i="19" s="1"/>
  <c r="D3224" i="19"/>
  <c r="F3224" i="19" s="1"/>
  <c r="D3225" i="19"/>
  <c r="F3225" i="19" s="1"/>
  <c r="D3226" i="19"/>
  <c r="F3226" i="19" s="1"/>
  <c r="D3227" i="19"/>
  <c r="F3227" i="19" s="1"/>
  <c r="D3228" i="19"/>
  <c r="F3228" i="19" s="1"/>
  <c r="D3229" i="19"/>
  <c r="F3229" i="19" s="1"/>
  <c r="D3230" i="19"/>
  <c r="F3230" i="19" s="1"/>
  <c r="D3231" i="19"/>
  <c r="F3231" i="19" s="1"/>
  <c r="D3232" i="19"/>
  <c r="F3232" i="19" s="1"/>
  <c r="D3233" i="19"/>
  <c r="F3233" i="19" s="1"/>
  <c r="D3234" i="19"/>
  <c r="F3234" i="19" s="1"/>
  <c r="D3235" i="19"/>
  <c r="F3235" i="19" s="1"/>
  <c r="D3236" i="19"/>
  <c r="F3236" i="19" s="1"/>
  <c r="D3237" i="19"/>
  <c r="F3237" i="19" s="1"/>
  <c r="D3238" i="19"/>
  <c r="F3238" i="19" s="1"/>
  <c r="D3239" i="19"/>
  <c r="F3239" i="19" s="1"/>
  <c r="D3240" i="19"/>
  <c r="F3240" i="19" s="1"/>
  <c r="D3241" i="19"/>
  <c r="F3241" i="19" s="1"/>
  <c r="D3242" i="19"/>
  <c r="F3242" i="19" s="1"/>
  <c r="D3243" i="19"/>
  <c r="F3243" i="19" s="1"/>
  <c r="D3244" i="19"/>
  <c r="F3244" i="19" s="1"/>
  <c r="D3245" i="19"/>
  <c r="F3245" i="19" s="1"/>
  <c r="D3246" i="19"/>
  <c r="F3246" i="19" s="1"/>
  <c r="D3247" i="19"/>
  <c r="F3247" i="19" s="1"/>
  <c r="D3248" i="19"/>
  <c r="F3248" i="19" s="1"/>
  <c r="D3249" i="19"/>
  <c r="F3249" i="19" s="1"/>
  <c r="D3250" i="19"/>
  <c r="F3250" i="19" s="1"/>
  <c r="D3251" i="19"/>
  <c r="F3251" i="19" s="1"/>
  <c r="D3252" i="19"/>
  <c r="F3252" i="19" s="1"/>
  <c r="D3253" i="19"/>
  <c r="F3253" i="19" s="1"/>
  <c r="D3254" i="19"/>
  <c r="F3254" i="19" s="1"/>
  <c r="D3255" i="19"/>
  <c r="F3255" i="19" s="1"/>
  <c r="D3256" i="19"/>
  <c r="F3256" i="19" s="1"/>
  <c r="D3257" i="19"/>
  <c r="F3257" i="19" s="1"/>
  <c r="D3258" i="19"/>
  <c r="F3258" i="19" s="1"/>
  <c r="D3259" i="19"/>
  <c r="F3259" i="19" s="1"/>
  <c r="D3260" i="19"/>
  <c r="F3260" i="19" s="1"/>
  <c r="D3261" i="19"/>
  <c r="F3261" i="19" s="1"/>
  <c r="D3262" i="19"/>
  <c r="F3262" i="19" s="1"/>
  <c r="D3263" i="19"/>
  <c r="F3263" i="19" s="1"/>
  <c r="D3264" i="19"/>
  <c r="F3264" i="19" s="1"/>
  <c r="D3265" i="19"/>
  <c r="F3265" i="19" s="1"/>
  <c r="D3266" i="19"/>
  <c r="F3266" i="19" s="1"/>
  <c r="D3267" i="19"/>
  <c r="F3267" i="19" s="1"/>
  <c r="D3268" i="19"/>
  <c r="F3268" i="19" s="1"/>
  <c r="D3269" i="19"/>
  <c r="F3269" i="19" s="1"/>
  <c r="D3270" i="19"/>
  <c r="F3270" i="19" s="1"/>
  <c r="D3271" i="19"/>
  <c r="F3271" i="19" s="1"/>
  <c r="D3272" i="19"/>
  <c r="F3272" i="19" s="1"/>
  <c r="D3273" i="19"/>
  <c r="F3273" i="19" s="1"/>
  <c r="D3274" i="19"/>
  <c r="F3274" i="19" s="1"/>
  <c r="D3275" i="19"/>
  <c r="F3275" i="19" s="1"/>
  <c r="D3276" i="19"/>
  <c r="F3276" i="19" s="1"/>
  <c r="D3277" i="19"/>
  <c r="F3277" i="19" s="1"/>
  <c r="D3278" i="19"/>
  <c r="F3278" i="19" s="1"/>
  <c r="D3279" i="19"/>
  <c r="F3279" i="19" s="1"/>
  <c r="D3280" i="19"/>
  <c r="F3280" i="19" s="1"/>
  <c r="D3281" i="19"/>
  <c r="F3281" i="19" s="1"/>
  <c r="D3282" i="19"/>
  <c r="F3282" i="19" s="1"/>
  <c r="D3283" i="19"/>
  <c r="F3283" i="19" s="1"/>
  <c r="D3284" i="19"/>
  <c r="F3284" i="19" s="1"/>
  <c r="D3285" i="19"/>
  <c r="F3285" i="19" s="1"/>
  <c r="D3286" i="19"/>
  <c r="F3286" i="19" s="1"/>
  <c r="D3287" i="19"/>
  <c r="F3287" i="19" s="1"/>
  <c r="D3288" i="19"/>
  <c r="F3288" i="19" s="1"/>
  <c r="D3289" i="19"/>
  <c r="F3289" i="19" s="1"/>
  <c r="D3290" i="19"/>
  <c r="F3290" i="19" s="1"/>
  <c r="D3291" i="19"/>
  <c r="F3291" i="19" s="1"/>
  <c r="D3292" i="19"/>
  <c r="F3292" i="19" s="1"/>
  <c r="D3293" i="19"/>
  <c r="F3293" i="19" s="1"/>
  <c r="D3294" i="19"/>
  <c r="F3294" i="19" s="1"/>
  <c r="D3295" i="19"/>
  <c r="F3295" i="19" s="1"/>
  <c r="D3296" i="19"/>
  <c r="F3296" i="19" s="1"/>
  <c r="D3297" i="19"/>
  <c r="F3297" i="19" s="1"/>
  <c r="D3298" i="19"/>
  <c r="F3298" i="19" s="1"/>
  <c r="D3299" i="19"/>
  <c r="F3299" i="19" s="1"/>
  <c r="D3300" i="19"/>
  <c r="F3300" i="19" s="1"/>
  <c r="D3301" i="19"/>
  <c r="F3301" i="19" s="1"/>
  <c r="D3302" i="19"/>
  <c r="F3302" i="19" s="1"/>
  <c r="D3303" i="19"/>
  <c r="F3303" i="19" s="1"/>
  <c r="D3304" i="19"/>
  <c r="F3304" i="19" s="1"/>
  <c r="D3305" i="19"/>
  <c r="F3305" i="19" s="1"/>
  <c r="D3306" i="19"/>
  <c r="F3306" i="19" s="1"/>
  <c r="D3307" i="19"/>
  <c r="F3307" i="19" s="1"/>
  <c r="D3308" i="19"/>
  <c r="F3308" i="19" s="1"/>
  <c r="D3309" i="19"/>
  <c r="F3309" i="19" s="1"/>
  <c r="D3310" i="19"/>
  <c r="F3310" i="19" s="1"/>
  <c r="D3311" i="19"/>
  <c r="F3311" i="19" s="1"/>
  <c r="D3312" i="19"/>
  <c r="F3312" i="19" s="1"/>
  <c r="D3313" i="19"/>
  <c r="F3313" i="19" s="1"/>
  <c r="D3314" i="19"/>
  <c r="F3314" i="19" s="1"/>
  <c r="D3315" i="19"/>
  <c r="F3315" i="19" s="1"/>
  <c r="D3316" i="19"/>
  <c r="F3316" i="19" s="1"/>
  <c r="D3317" i="19"/>
  <c r="F3317" i="19" s="1"/>
  <c r="D3318" i="19"/>
  <c r="F3318" i="19" s="1"/>
  <c r="D3319" i="19"/>
  <c r="F3319" i="19" s="1"/>
  <c r="D3320" i="19"/>
  <c r="F3320" i="19" s="1"/>
  <c r="D3321" i="19"/>
  <c r="F3321" i="19" s="1"/>
  <c r="D3322" i="19"/>
  <c r="F3322" i="19" s="1"/>
  <c r="D3323" i="19"/>
  <c r="F3323" i="19" s="1"/>
  <c r="D3324" i="19"/>
  <c r="F3324" i="19" s="1"/>
  <c r="D3325" i="19"/>
  <c r="F3325" i="19" s="1"/>
  <c r="D3326" i="19"/>
  <c r="F3326" i="19" s="1"/>
  <c r="D3327" i="19"/>
  <c r="F3327" i="19" s="1"/>
  <c r="D3328" i="19"/>
  <c r="F3328" i="19" s="1"/>
  <c r="D3329" i="19"/>
  <c r="F3329" i="19" s="1"/>
  <c r="D3330" i="19"/>
  <c r="F3330" i="19" s="1"/>
  <c r="D3331" i="19"/>
  <c r="F3331" i="19" s="1"/>
  <c r="D3332" i="19"/>
  <c r="F3332" i="19" s="1"/>
  <c r="D3333" i="19"/>
  <c r="F3333" i="19" s="1"/>
  <c r="D3334" i="19"/>
  <c r="F3334" i="19" s="1"/>
  <c r="D3335" i="19"/>
  <c r="F3335" i="19" s="1"/>
  <c r="D3336" i="19"/>
  <c r="F3336" i="19" s="1"/>
  <c r="D3337" i="19"/>
  <c r="F3337" i="19" s="1"/>
  <c r="D3338" i="19"/>
  <c r="F3338" i="19" s="1"/>
  <c r="D3339" i="19"/>
  <c r="F3339" i="19" s="1"/>
  <c r="D3340" i="19"/>
  <c r="F3340" i="19" s="1"/>
  <c r="D3341" i="19"/>
  <c r="F3341" i="19" s="1"/>
  <c r="D3342" i="19"/>
  <c r="F3342" i="19" s="1"/>
  <c r="D3343" i="19"/>
  <c r="F3343" i="19" s="1"/>
  <c r="D3344" i="19"/>
  <c r="F3344" i="19" s="1"/>
  <c r="D3345" i="19"/>
  <c r="F3345" i="19" s="1"/>
  <c r="D3346" i="19"/>
  <c r="F3346" i="19" s="1"/>
  <c r="D3347" i="19"/>
  <c r="F3347" i="19" s="1"/>
  <c r="D3348" i="19"/>
  <c r="F3348" i="19" s="1"/>
  <c r="D3349" i="19"/>
  <c r="F3349" i="19" s="1"/>
  <c r="D3350" i="19"/>
  <c r="F3350" i="19" s="1"/>
  <c r="D3351" i="19"/>
  <c r="F3351" i="19" s="1"/>
  <c r="D3352" i="19"/>
  <c r="F3352" i="19" s="1"/>
  <c r="D3353" i="19"/>
  <c r="F3353" i="19" s="1"/>
  <c r="D3354" i="19"/>
  <c r="F3354" i="19" s="1"/>
  <c r="D3355" i="19"/>
  <c r="F3355" i="19" s="1"/>
  <c r="D3356" i="19"/>
  <c r="F3356" i="19" s="1"/>
  <c r="D3357" i="19"/>
  <c r="F3357" i="19" s="1"/>
  <c r="D3358" i="19"/>
  <c r="F3358" i="19" s="1"/>
  <c r="D3359" i="19"/>
  <c r="F3359" i="19" s="1"/>
  <c r="D3360" i="19"/>
  <c r="F3360" i="19" s="1"/>
  <c r="D3361" i="19"/>
  <c r="F3361" i="19" s="1"/>
  <c r="D3362" i="19"/>
  <c r="F3362" i="19" s="1"/>
  <c r="D3363" i="19"/>
  <c r="F3363" i="19" s="1"/>
  <c r="D3364" i="19"/>
  <c r="F3364" i="19" s="1"/>
  <c r="D3365" i="19"/>
  <c r="F3365" i="19" s="1"/>
  <c r="D3366" i="19"/>
  <c r="F3366" i="19" s="1"/>
  <c r="D3367" i="19"/>
  <c r="F3367" i="19" s="1"/>
  <c r="D3368" i="19"/>
  <c r="F3368" i="19" s="1"/>
  <c r="D3369" i="19"/>
  <c r="F3369" i="19" s="1"/>
  <c r="D3370" i="19"/>
  <c r="F3370" i="19" s="1"/>
  <c r="D3371" i="19"/>
  <c r="F3371" i="19" s="1"/>
  <c r="D3372" i="19"/>
  <c r="F3372" i="19" s="1"/>
  <c r="D3373" i="19"/>
  <c r="F3373" i="19" s="1"/>
  <c r="D3374" i="19"/>
  <c r="F3374" i="19" s="1"/>
  <c r="D3375" i="19"/>
  <c r="F3375" i="19" s="1"/>
  <c r="D3376" i="19"/>
  <c r="F3376" i="19" s="1"/>
  <c r="D3377" i="19"/>
  <c r="F3377" i="19" s="1"/>
  <c r="D3378" i="19"/>
  <c r="F3378" i="19" s="1"/>
  <c r="D3379" i="19"/>
  <c r="F3379" i="19" s="1"/>
  <c r="D3380" i="19"/>
  <c r="F3380" i="19" s="1"/>
  <c r="D3381" i="19"/>
  <c r="F3381" i="19" s="1"/>
  <c r="D3382" i="19"/>
  <c r="F3382" i="19" s="1"/>
  <c r="D3383" i="19"/>
  <c r="F3383" i="19" s="1"/>
  <c r="D3384" i="19"/>
  <c r="F3384" i="19" s="1"/>
  <c r="D3385" i="19"/>
  <c r="F3385" i="19" s="1"/>
  <c r="D3386" i="19"/>
  <c r="F3386" i="19" s="1"/>
  <c r="D3387" i="19"/>
  <c r="F3387" i="19" s="1"/>
  <c r="D3388" i="19"/>
  <c r="F3388" i="19" s="1"/>
  <c r="D3389" i="19"/>
  <c r="F3389" i="19" s="1"/>
  <c r="D3390" i="19"/>
  <c r="F3390" i="19" s="1"/>
  <c r="D3391" i="19"/>
  <c r="F3391" i="19" s="1"/>
  <c r="D3392" i="19"/>
  <c r="F3392" i="19" s="1"/>
  <c r="D3393" i="19"/>
  <c r="F3393" i="19" s="1"/>
  <c r="D3394" i="19"/>
  <c r="F3394" i="19" s="1"/>
  <c r="D3395" i="19"/>
  <c r="F3395" i="19" s="1"/>
  <c r="D3396" i="19"/>
  <c r="F3396" i="19" s="1"/>
  <c r="D3397" i="19"/>
  <c r="F3397" i="19" s="1"/>
  <c r="D3398" i="19"/>
  <c r="F3398" i="19" s="1"/>
  <c r="D3399" i="19"/>
  <c r="F3399" i="19" s="1"/>
  <c r="D3400" i="19"/>
  <c r="F3400" i="19" s="1"/>
  <c r="D3401" i="19"/>
  <c r="F3401" i="19" s="1"/>
  <c r="D3402" i="19"/>
  <c r="F3402" i="19" s="1"/>
  <c r="D3403" i="19"/>
  <c r="F3403" i="19" s="1"/>
  <c r="D3404" i="19"/>
  <c r="F3404" i="19" s="1"/>
  <c r="D3405" i="19"/>
  <c r="F3405" i="19" s="1"/>
  <c r="D3406" i="19"/>
  <c r="F3406" i="19" s="1"/>
  <c r="D3407" i="19"/>
  <c r="F3407" i="19" s="1"/>
  <c r="D3408" i="19"/>
  <c r="F3408" i="19" s="1"/>
  <c r="D3409" i="19"/>
  <c r="F3409" i="19" s="1"/>
  <c r="D3410" i="19"/>
  <c r="F3410" i="19" s="1"/>
  <c r="D3411" i="19"/>
  <c r="F3411" i="19" s="1"/>
  <c r="D3412" i="19"/>
  <c r="F3412" i="19" s="1"/>
  <c r="D3413" i="19"/>
  <c r="F3413" i="19" s="1"/>
  <c r="D3414" i="19"/>
  <c r="F3414" i="19" s="1"/>
  <c r="D3415" i="19"/>
  <c r="F3415" i="19" s="1"/>
  <c r="D3416" i="19"/>
  <c r="F3416" i="19" s="1"/>
  <c r="D3417" i="19"/>
  <c r="F3417" i="19" s="1"/>
  <c r="D3418" i="19"/>
  <c r="F3418" i="19" s="1"/>
  <c r="D3419" i="19"/>
  <c r="F3419" i="19" s="1"/>
  <c r="D3420" i="19"/>
  <c r="F3420" i="19" s="1"/>
  <c r="D3421" i="19"/>
  <c r="F3421" i="19" s="1"/>
  <c r="D3422" i="19"/>
  <c r="F3422" i="19" s="1"/>
  <c r="D3423" i="19"/>
  <c r="F3423" i="19" s="1"/>
  <c r="D3424" i="19"/>
  <c r="F3424" i="19" s="1"/>
  <c r="D3425" i="19"/>
  <c r="F3425" i="19" s="1"/>
  <c r="D3426" i="19"/>
  <c r="F3426" i="19" s="1"/>
  <c r="D3427" i="19"/>
  <c r="F3427" i="19" s="1"/>
  <c r="D3428" i="19"/>
  <c r="F3428" i="19" s="1"/>
  <c r="D3429" i="19"/>
  <c r="F3429" i="19" s="1"/>
  <c r="D3430" i="19"/>
  <c r="F3430" i="19" s="1"/>
  <c r="D3431" i="19"/>
  <c r="F3431" i="19" s="1"/>
  <c r="D3432" i="19"/>
  <c r="F3432" i="19" s="1"/>
  <c r="D3433" i="19"/>
  <c r="F3433" i="19" s="1"/>
  <c r="D3434" i="19"/>
  <c r="F3434" i="19" s="1"/>
  <c r="D3435" i="19"/>
  <c r="F3435" i="19" s="1"/>
  <c r="D3436" i="19"/>
  <c r="F3436" i="19" s="1"/>
  <c r="D3437" i="19"/>
  <c r="F3437" i="19" s="1"/>
  <c r="D3438" i="19"/>
  <c r="F3438" i="19" s="1"/>
  <c r="D3439" i="19"/>
  <c r="F3439" i="19" s="1"/>
  <c r="D3440" i="19"/>
  <c r="F3440" i="19" s="1"/>
  <c r="D3441" i="19"/>
  <c r="F3441" i="19" s="1"/>
  <c r="D3442" i="19"/>
  <c r="F3442" i="19" s="1"/>
  <c r="D3443" i="19"/>
  <c r="F3443" i="19" s="1"/>
  <c r="D3444" i="19"/>
  <c r="F3444" i="19" s="1"/>
  <c r="D3445" i="19"/>
  <c r="F3445" i="19" s="1"/>
  <c r="D3446" i="19"/>
  <c r="F3446" i="19" s="1"/>
  <c r="D3447" i="19"/>
  <c r="F3447" i="19" s="1"/>
  <c r="D3448" i="19"/>
  <c r="F3448" i="19" s="1"/>
  <c r="D3449" i="19"/>
  <c r="F3449" i="19" s="1"/>
  <c r="D3450" i="19"/>
  <c r="F3450" i="19" s="1"/>
  <c r="D3451" i="19"/>
  <c r="F3451" i="19" s="1"/>
  <c r="D3452" i="19"/>
  <c r="F3452" i="19" s="1"/>
  <c r="D3453" i="19"/>
  <c r="F3453" i="19" s="1"/>
  <c r="D3454" i="19"/>
  <c r="F3454" i="19" s="1"/>
  <c r="D3455" i="19"/>
  <c r="F3455" i="19" s="1"/>
  <c r="D3456" i="19"/>
  <c r="F3456" i="19" s="1"/>
  <c r="D3457" i="19"/>
  <c r="F3457" i="19" s="1"/>
  <c r="D3458" i="19"/>
  <c r="F3458" i="19" s="1"/>
  <c r="D3459" i="19"/>
  <c r="F3459" i="19" s="1"/>
  <c r="D3460" i="19"/>
  <c r="F3460" i="19" s="1"/>
  <c r="D3461" i="19"/>
  <c r="F3461" i="19" s="1"/>
  <c r="D3462" i="19"/>
  <c r="F3462" i="19" s="1"/>
  <c r="D3463" i="19"/>
  <c r="F3463" i="19" s="1"/>
  <c r="D3464" i="19"/>
  <c r="F3464" i="19" s="1"/>
  <c r="D3465" i="19"/>
  <c r="F3465" i="19" s="1"/>
  <c r="D3466" i="19"/>
  <c r="F3466" i="19" s="1"/>
  <c r="D3467" i="19"/>
  <c r="F3467" i="19" s="1"/>
  <c r="D3468" i="19"/>
  <c r="F3468" i="19" s="1"/>
  <c r="D3469" i="19"/>
  <c r="F3469" i="19" s="1"/>
  <c r="D3470" i="19"/>
  <c r="F3470" i="19" s="1"/>
  <c r="D3471" i="19"/>
  <c r="F3471" i="19" s="1"/>
  <c r="D3472" i="19"/>
  <c r="F3472" i="19" s="1"/>
  <c r="D3473" i="19"/>
  <c r="F3473" i="19" s="1"/>
  <c r="D3474" i="19"/>
  <c r="F3474" i="19" s="1"/>
  <c r="D3475" i="19"/>
  <c r="F3475" i="19" s="1"/>
  <c r="D3476" i="19"/>
  <c r="F3476" i="19" s="1"/>
  <c r="D3477" i="19"/>
  <c r="F3477" i="19" s="1"/>
  <c r="D3478" i="19"/>
  <c r="F3478" i="19" s="1"/>
  <c r="D3479" i="19"/>
  <c r="F3479" i="19" s="1"/>
  <c r="D3480" i="19"/>
  <c r="F3480" i="19" s="1"/>
  <c r="D3481" i="19"/>
  <c r="F3481" i="19" s="1"/>
  <c r="D3482" i="19"/>
  <c r="F3482" i="19" s="1"/>
  <c r="D3483" i="19"/>
  <c r="F3483" i="19" s="1"/>
  <c r="D3484" i="19"/>
  <c r="F3484" i="19" s="1"/>
  <c r="D3485" i="19"/>
  <c r="F3485" i="19" s="1"/>
  <c r="D3486" i="19"/>
  <c r="F3486" i="19" s="1"/>
  <c r="D3487" i="19"/>
  <c r="F3487" i="19" s="1"/>
  <c r="D3488" i="19"/>
  <c r="F3488" i="19" s="1"/>
  <c r="D3489" i="19"/>
  <c r="F3489" i="19" s="1"/>
  <c r="D3490" i="19"/>
  <c r="F3490" i="19" s="1"/>
  <c r="D3491" i="19"/>
  <c r="F3491" i="19" s="1"/>
  <c r="D3492" i="19"/>
  <c r="F3492" i="19" s="1"/>
  <c r="D3493" i="19"/>
  <c r="F3493" i="19" s="1"/>
  <c r="D3494" i="19"/>
  <c r="F3494" i="19" s="1"/>
  <c r="D3495" i="19"/>
  <c r="F3495" i="19" s="1"/>
  <c r="D3496" i="19"/>
  <c r="F3496" i="19" s="1"/>
  <c r="D3497" i="19"/>
  <c r="F3497" i="19" s="1"/>
  <c r="D3498" i="19"/>
  <c r="F3498" i="19" s="1"/>
  <c r="D3499" i="19"/>
  <c r="F3499" i="19" s="1"/>
  <c r="D3500" i="19"/>
  <c r="F3500" i="19" s="1"/>
  <c r="D3501" i="19"/>
  <c r="F3501" i="19" s="1"/>
  <c r="D3502" i="19"/>
  <c r="F3502" i="19" s="1"/>
  <c r="D3503" i="19"/>
  <c r="F3503" i="19" s="1"/>
  <c r="D3504" i="19"/>
  <c r="F3504" i="19" s="1"/>
  <c r="D3505" i="19"/>
  <c r="F3505" i="19" s="1"/>
  <c r="D3506" i="19"/>
  <c r="F3506" i="19" s="1"/>
  <c r="D3507" i="19"/>
  <c r="F3507" i="19" s="1"/>
  <c r="D3508" i="19"/>
  <c r="F3508" i="19" s="1"/>
  <c r="D3509" i="19"/>
  <c r="F3509" i="19" s="1"/>
  <c r="D3510" i="19"/>
  <c r="F3510" i="19" s="1"/>
  <c r="D3511" i="19"/>
  <c r="F3511" i="19" s="1"/>
  <c r="D3512" i="19"/>
  <c r="F3512" i="19" s="1"/>
  <c r="D3513" i="19"/>
  <c r="F3513" i="19" s="1"/>
  <c r="D3514" i="19"/>
  <c r="F3514" i="19" s="1"/>
  <c r="D3515" i="19"/>
  <c r="F3515" i="19" s="1"/>
  <c r="D3516" i="19"/>
  <c r="F3516" i="19" s="1"/>
  <c r="D3517" i="19"/>
  <c r="F3517" i="19" s="1"/>
  <c r="D3518" i="19"/>
  <c r="F3518" i="19" s="1"/>
  <c r="D3519" i="19"/>
  <c r="F3519" i="19" s="1"/>
  <c r="D3520" i="19"/>
  <c r="F3520" i="19" s="1"/>
  <c r="D3521" i="19"/>
  <c r="F3521" i="19" s="1"/>
  <c r="D3522" i="19"/>
  <c r="F3522" i="19" s="1"/>
  <c r="D3523" i="19"/>
  <c r="F3523" i="19" s="1"/>
  <c r="D3524" i="19"/>
  <c r="F3524" i="19" s="1"/>
  <c r="D3525" i="19"/>
  <c r="F3525" i="19" s="1"/>
  <c r="D3526" i="19"/>
  <c r="F3526" i="19" s="1"/>
  <c r="D3527" i="19"/>
  <c r="F3527" i="19" s="1"/>
  <c r="D3528" i="19"/>
  <c r="F3528" i="19" s="1"/>
  <c r="D3529" i="19"/>
  <c r="F3529" i="19" s="1"/>
  <c r="D3530" i="19"/>
  <c r="F3530" i="19" s="1"/>
  <c r="D3531" i="19"/>
  <c r="F3531" i="19" s="1"/>
  <c r="D3532" i="19"/>
  <c r="F3532" i="19" s="1"/>
  <c r="D3533" i="19"/>
  <c r="F3533" i="19" s="1"/>
  <c r="D3534" i="19"/>
  <c r="F3534" i="19" s="1"/>
  <c r="D3535" i="19"/>
  <c r="F3535" i="19" s="1"/>
  <c r="D3536" i="19"/>
  <c r="F3536" i="19" s="1"/>
  <c r="D3537" i="19"/>
  <c r="F3537" i="19" s="1"/>
  <c r="D3538" i="19"/>
  <c r="F3538" i="19" s="1"/>
  <c r="D3539" i="19"/>
  <c r="F3539" i="19" s="1"/>
  <c r="D3540" i="19"/>
  <c r="F3540" i="19" s="1"/>
  <c r="D3541" i="19"/>
  <c r="F3541" i="19" s="1"/>
  <c r="D3542" i="19"/>
  <c r="F3542" i="19" s="1"/>
  <c r="D3543" i="19"/>
  <c r="F3543" i="19" s="1"/>
  <c r="D3544" i="19"/>
  <c r="F3544" i="19" s="1"/>
  <c r="D3545" i="19"/>
  <c r="F3545" i="19" s="1"/>
  <c r="D3546" i="19"/>
  <c r="F3546" i="19" s="1"/>
  <c r="D3547" i="19"/>
  <c r="F3547" i="19" s="1"/>
  <c r="D3548" i="19"/>
  <c r="F3548" i="19" s="1"/>
  <c r="D3549" i="19"/>
  <c r="F3549" i="19" s="1"/>
  <c r="D3550" i="19"/>
  <c r="F3550" i="19" s="1"/>
  <c r="D3551" i="19"/>
  <c r="F3551" i="19" s="1"/>
  <c r="D3552" i="19"/>
  <c r="F3552" i="19" s="1"/>
  <c r="D3553" i="19"/>
  <c r="F3553" i="19" s="1"/>
  <c r="D3554" i="19"/>
  <c r="F3554" i="19" s="1"/>
  <c r="D3555" i="19"/>
  <c r="F3555" i="19" s="1"/>
  <c r="D3556" i="19"/>
  <c r="F3556" i="19" s="1"/>
  <c r="D3557" i="19"/>
  <c r="F3557" i="19" s="1"/>
  <c r="D3558" i="19"/>
  <c r="F3558" i="19" s="1"/>
  <c r="D3559" i="19"/>
  <c r="F3559" i="19" s="1"/>
  <c r="D3560" i="19"/>
  <c r="F3560" i="19" s="1"/>
  <c r="D3561" i="19"/>
  <c r="F3561" i="19" s="1"/>
  <c r="D3562" i="19"/>
  <c r="F3562" i="19" s="1"/>
  <c r="D3563" i="19"/>
  <c r="F3563" i="19" s="1"/>
  <c r="D3564" i="19"/>
  <c r="F3564" i="19" s="1"/>
  <c r="D3565" i="19"/>
  <c r="F3565" i="19" s="1"/>
  <c r="D3566" i="19"/>
  <c r="F3566" i="19" s="1"/>
  <c r="D3567" i="19"/>
  <c r="F3567" i="19" s="1"/>
  <c r="D3568" i="19"/>
  <c r="F3568" i="19" s="1"/>
  <c r="D3569" i="19"/>
  <c r="F3569" i="19" s="1"/>
  <c r="D3570" i="19"/>
  <c r="F3570" i="19" s="1"/>
  <c r="D3571" i="19"/>
  <c r="F3571" i="19" s="1"/>
  <c r="D3572" i="19"/>
  <c r="F3572" i="19" s="1"/>
  <c r="D3573" i="19"/>
  <c r="F3573" i="19" s="1"/>
  <c r="D3574" i="19"/>
  <c r="F3574" i="19" s="1"/>
  <c r="D3575" i="19"/>
  <c r="F3575" i="19" s="1"/>
  <c r="D3576" i="19"/>
  <c r="F3576" i="19" s="1"/>
  <c r="D3577" i="19"/>
  <c r="F3577" i="19" s="1"/>
  <c r="D3578" i="19"/>
  <c r="F3578" i="19" s="1"/>
  <c r="D3579" i="19"/>
  <c r="F3579" i="19" s="1"/>
  <c r="D3580" i="19"/>
  <c r="F3580" i="19" s="1"/>
  <c r="D3581" i="19"/>
  <c r="F3581" i="19" s="1"/>
  <c r="D3582" i="19"/>
  <c r="F3582" i="19" s="1"/>
  <c r="D3583" i="19"/>
  <c r="F3583" i="19" s="1"/>
  <c r="D3584" i="19"/>
  <c r="F3584" i="19" s="1"/>
  <c r="D3585" i="19"/>
  <c r="F3585" i="19" s="1"/>
  <c r="D3586" i="19"/>
  <c r="F3586" i="19" s="1"/>
  <c r="D3587" i="19"/>
  <c r="F3587" i="19" s="1"/>
  <c r="D3588" i="19"/>
  <c r="F3588" i="19" s="1"/>
  <c r="D3589" i="19"/>
  <c r="F3589" i="19" s="1"/>
  <c r="D3590" i="19"/>
  <c r="F3590" i="19" s="1"/>
  <c r="D3591" i="19"/>
  <c r="F3591" i="19" s="1"/>
  <c r="D3592" i="19"/>
  <c r="F3592" i="19" s="1"/>
  <c r="D3593" i="19"/>
  <c r="F3593" i="19" s="1"/>
  <c r="D3594" i="19"/>
  <c r="F3594" i="19" s="1"/>
  <c r="D3595" i="19"/>
  <c r="F3595" i="19" s="1"/>
  <c r="D3596" i="19"/>
  <c r="F3596" i="19" s="1"/>
  <c r="D3597" i="19"/>
  <c r="F3597" i="19" s="1"/>
  <c r="D3598" i="19"/>
  <c r="F3598" i="19" s="1"/>
  <c r="D3599" i="19"/>
  <c r="F3599" i="19" s="1"/>
  <c r="D3600" i="19"/>
  <c r="F3600" i="19" s="1"/>
  <c r="D3601" i="19"/>
  <c r="F3601" i="19" s="1"/>
  <c r="D3602" i="19"/>
  <c r="F3602" i="19" s="1"/>
  <c r="D3603" i="19"/>
  <c r="F3603" i="19" s="1"/>
  <c r="D3604" i="19"/>
  <c r="F3604" i="19" s="1"/>
  <c r="D3605" i="19"/>
  <c r="F3605" i="19" s="1"/>
  <c r="D3606" i="19"/>
  <c r="F3606" i="19" s="1"/>
  <c r="D3607" i="19"/>
  <c r="F3607" i="19" s="1"/>
  <c r="D3608" i="19"/>
  <c r="F3608" i="19" s="1"/>
  <c r="D3609" i="19"/>
  <c r="F3609" i="19" s="1"/>
  <c r="D3610" i="19"/>
  <c r="F3610" i="19" s="1"/>
  <c r="D3611" i="19"/>
  <c r="F3611" i="19" s="1"/>
  <c r="D3612" i="19"/>
  <c r="F3612" i="19" s="1"/>
  <c r="D3613" i="19"/>
  <c r="F3613" i="19" s="1"/>
  <c r="D3614" i="19"/>
  <c r="F3614" i="19" s="1"/>
  <c r="D3615" i="19"/>
  <c r="F3615" i="19" s="1"/>
  <c r="D3616" i="19"/>
  <c r="F3616" i="19" s="1"/>
  <c r="D3617" i="19"/>
  <c r="F3617" i="19" s="1"/>
  <c r="D3618" i="19"/>
  <c r="F3618" i="19" s="1"/>
  <c r="D3619" i="19"/>
  <c r="F3619" i="19" s="1"/>
  <c r="D3620" i="19"/>
  <c r="F3620" i="19" s="1"/>
  <c r="D3621" i="19"/>
  <c r="F3621" i="19" s="1"/>
  <c r="D3622" i="19"/>
  <c r="F3622" i="19" s="1"/>
  <c r="D3623" i="19"/>
  <c r="F3623" i="19" s="1"/>
  <c r="D3624" i="19"/>
  <c r="F3624" i="19" s="1"/>
  <c r="D3625" i="19"/>
  <c r="F3625" i="19" s="1"/>
  <c r="D3626" i="19"/>
  <c r="F3626" i="19" s="1"/>
  <c r="D3627" i="19"/>
  <c r="F3627" i="19" s="1"/>
  <c r="D3628" i="19"/>
  <c r="F3628" i="19" s="1"/>
  <c r="D3629" i="19"/>
  <c r="F3629" i="19" s="1"/>
  <c r="D3630" i="19"/>
  <c r="F3630" i="19" s="1"/>
  <c r="D3631" i="19"/>
  <c r="F3631" i="19" s="1"/>
  <c r="I4" i="19" s="1"/>
  <c r="I5" i="19" s="1"/>
  <c r="J1" i="19" s="1"/>
  <c r="D3632" i="19"/>
  <c r="F3632" i="19" s="1"/>
  <c r="D3633" i="19"/>
  <c r="F3633" i="19" s="1"/>
  <c r="D3634" i="19"/>
  <c r="F3634" i="19" s="1"/>
  <c r="D3635" i="19"/>
  <c r="F3635" i="19" s="1"/>
  <c r="D3636" i="19"/>
  <c r="F3636" i="19" s="1"/>
  <c r="D3637" i="19"/>
  <c r="F3637" i="19" s="1"/>
  <c r="D3638" i="19"/>
  <c r="F3638" i="19" s="1"/>
  <c r="D3639" i="19"/>
  <c r="F3639" i="19" s="1"/>
  <c r="D3640" i="19"/>
  <c r="F3640" i="19" s="1"/>
  <c r="D3641" i="19"/>
  <c r="F3641" i="19" s="1"/>
  <c r="D3642" i="19"/>
  <c r="F3642" i="19" s="1"/>
  <c r="D3643" i="19"/>
  <c r="F3643" i="19" s="1"/>
  <c r="D3644" i="19"/>
  <c r="F3644" i="19" s="1"/>
  <c r="D3645" i="19"/>
  <c r="F3645" i="19" s="1"/>
  <c r="D3646" i="19"/>
  <c r="F3646" i="19" s="1"/>
  <c r="D3647" i="19"/>
  <c r="F3647" i="19" s="1"/>
  <c r="D3648" i="19"/>
  <c r="F3648" i="19" s="1"/>
  <c r="D3649" i="19"/>
  <c r="F3649" i="19" s="1"/>
  <c r="D3650" i="19"/>
  <c r="F3650" i="19" s="1"/>
  <c r="D3651" i="19"/>
  <c r="F3651" i="19" s="1"/>
  <c r="D3652" i="19"/>
  <c r="F3652" i="19" s="1"/>
  <c r="D3653" i="19"/>
  <c r="F3653" i="19" s="1"/>
  <c r="D3654" i="19"/>
  <c r="F3654" i="19" s="1"/>
  <c r="D3655" i="19"/>
  <c r="F3655" i="19" s="1"/>
  <c r="D3656" i="19"/>
  <c r="F3656" i="19" s="1"/>
  <c r="D3657" i="19"/>
  <c r="F3657" i="19" s="1"/>
  <c r="D3658" i="19"/>
  <c r="F3658" i="19" s="1"/>
  <c r="D3659" i="19"/>
  <c r="F3659" i="19" s="1"/>
  <c r="D3660" i="19"/>
  <c r="F3660" i="19" s="1"/>
  <c r="D3661" i="19"/>
  <c r="F3661" i="19" s="1"/>
  <c r="D3662" i="19"/>
  <c r="F3662" i="19" s="1"/>
  <c r="D3663" i="19"/>
  <c r="F3663" i="19" s="1"/>
  <c r="D3664" i="19"/>
  <c r="F3664" i="19" s="1"/>
  <c r="D3665" i="19"/>
  <c r="F3665" i="19" s="1"/>
  <c r="D3666" i="19"/>
  <c r="F3666" i="19" s="1"/>
  <c r="D3667" i="19"/>
  <c r="F3667" i="19" s="1"/>
  <c r="D3668" i="19"/>
  <c r="F3668" i="19" s="1"/>
  <c r="D3669" i="19"/>
  <c r="F3669" i="19" s="1"/>
  <c r="D3670" i="19"/>
  <c r="F3670" i="19" s="1"/>
  <c r="D3671" i="19"/>
  <c r="F3671" i="19" s="1"/>
  <c r="D3672" i="19"/>
  <c r="F3672" i="19" s="1"/>
  <c r="D3673" i="19"/>
  <c r="F3673" i="19" s="1"/>
  <c r="D3674" i="19"/>
  <c r="F3674" i="19" s="1"/>
  <c r="D3675" i="19"/>
  <c r="F3675" i="19" s="1"/>
  <c r="D3676" i="19"/>
  <c r="F3676" i="19" s="1"/>
  <c r="D3677" i="19"/>
  <c r="F3677" i="19" s="1"/>
  <c r="D3678" i="19"/>
  <c r="F3678" i="19" s="1"/>
  <c r="D3679" i="19"/>
  <c r="F3679" i="19" s="1"/>
  <c r="D3680" i="19"/>
  <c r="F3680" i="19" s="1"/>
  <c r="D3681" i="19"/>
  <c r="F3681" i="19" s="1"/>
  <c r="D3682" i="19"/>
  <c r="F3682" i="19" s="1"/>
  <c r="D3683" i="19"/>
  <c r="F3683" i="19" s="1"/>
  <c r="D3684" i="19"/>
  <c r="F3684" i="19" s="1"/>
  <c r="D3685" i="19"/>
  <c r="F3685" i="19" s="1"/>
  <c r="D3686" i="19"/>
  <c r="F3686" i="19" s="1"/>
  <c r="D3687" i="19"/>
  <c r="F3687" i="19" s="1"/>
  <c r="D3688" i="19"/>
  <c r="F3688" i="19" s="1"/>
  <c r="D3689" i="19"/>
  <c r="F3689" i="19" s="1"/>
  <c r="D3690" i="19"/>
  <c r="F3690" i="19" s="1"/>
  <c r="D3691" i="19"/>
  <c r="F3691" i="19" s="1"/>
  <c r="D3692" i="19"/>
  <c r="F3692" i="19" s="1"/>
  <c r="D3693" i="19"/>
  <c r="F3693" i="19" s="1"/>
  <c r="D3694" i="19"/>
  <c r="F3694" i="19" s="1"/>
  <c r="D3695" i="19"/>
  <c r="F3695" i="19" s="1"/>
  <c r="D3696" i="19"/>
  <c r="F3696" i="19" s="1"/>
  <c r="D3697" i="19"/>
  <c r="F3697" i="19" s="1"/>
  <c r="D3698" i="19"/>
  <c r="F3698" i="19" s="1"/>
  <c r="D3699" i="19"/>
  <c r="F3699" i="19" s="1"/>
  <c r="D3700" i="19"/>
  <c r="F3700" i="19" s="1"/>
  <c r="D3701" i="19"/>
  <c r="F3701" i="19" s="1"/>
  <c r="D3702" i="19"/>
  <c r="F3702" i="19" s="1"/>
  <c r="D3703" i="19"/>
  <c r="F3703" i="19" s="1"/>
  <c r="D3704" i="19"/>
  <c r="F3704" i="19" s="1"/>
  <c r="D3705" i="19"/>
  <c r="F3705" i="19" s="1"/>
  <c r="D3706" i="19"/>
  <c r="F3706" i="19" s="1"/>
  <c r="D3707" i="19"/>
  <c r="F3707" i="19" s="1"/>
  <c r="D3708" i="19"/>
  <c r="F3708" i="19" s="1"/>
  <c r="D3709" i="19"/>
  <c r="F3709" i="19" s="1"/>
  <c r="D3710" i="19"/>
  <c r="F3710" i="19" s="1"/>
  <c r="D3711" i="19"/>
  <c r="F3711" i="19" s="1"/>
  <c r="D3712" i="19"/>
  <c r="F3712" i="19" s="1"/>
  <c r="D3713" i="19"/>
  <c r="F3713" i="19" s="1"/>
  <c r="D3714" i="19"/>
  <c r="F3714" i="19" s="1"/>
  <c r="D3715" i="19"/>
  <c r="F3715" i="19" s="1"/>
  <c r="D3716" i="19"/>
  <c r="F3716" i="19" s="1"/>
  <c r="D3717" i="19"/>
  <c r="F3717" i="19" s="1"/>
  <c r="D3718" i="19"/>
  <c r="F3718" i="19" s="1"/>
  <c r="D3719" i="19"/>
  <c r="F3719" i="19" s="1"/>
  <c r="D3720" i="19"/>
  <c r="F3720" i="19" s="1"/>
  <c r="D3721" i="19"/>
  <c r="F3721" i="19" s="1"/>
  <c r="D3722" i="19"/>
  <c r="F3722" i="19" s="1"/>
  <c r="D3723" i="19"/>
  <c r="F3723" i="19" s="1"/>
  <c r="D3724" i="19"/>
  <c r="F3724" i="19" s="1"/>
  <c r="D3725" i="19"/>
  <c r="F3725" i="19" s="1"/>
  <c r="D3726" i="19"/>
  <c r="F3726" i="19" s="1"/>
  <c r="D3727" i="19"/>
  <c r="F3727" i="19" s="1"/>
  <c r="D3728" i="19"/>
  <c r="F3728" i="19" s="1"/>
  <c r="D3729" i="19"/>
  <c r="F3729" i="19" s="1"/>
  <c r="D3730" i="19"/>
  <c r="F3730" i="19" s="1"/>
  <c r="D3731" i="19"/>
  <c r="F3731" i="19" s="1"/>
  <c r="D3732" i="19"/>
  <c r="F3732" i="19" s="1"/>
  <c r="D3733" i="19"/>
  <c r="F3733" i="19" s="1"/>
  <c r="D3734" i="19"/>
  <c r="F3734" i="19" s="1"/>
  <c r="D3735" i="19"/>
  <c r="F3735" i="19" s="1"/>
  <c r="D3736" i="19"/>
  <c r="F3736" i="19" s="1"/>
  <c r="D3737" i="19"/>
  <c r="F3737" i="19" s="1"/>
  <c r="D3738" i="19"/>
  <c r="F3738" i="19" s="1"/>
  <c r="D3739" i="19"/>
  <c r="F3739" i="19" s="1"/>
  <c r="D3740" i="19"/>
  <c r="F3740" i="19" s="1"/>
  <c r="D3741" i="19"/>
  <c r="F3741" i="19" s="1"/>
  <c r="D3742" i="19"/>
  <c r="F3742" i="19" s="1"/>
  <c r="D3743" i="19"/>
  <c r="F3743" i="19" s="1"/>
  <c r="D3744" i="19"/>
  <c r="F3744" i="19" s="1"/>
  <c r="D3745" i="19"/>
  <c r="F3745" i="19" s="1"/>
  <c r="D3746" i="19"/>
  <c r="F3746" i="19" s="1"/>
  <c r="D3747" i="19"/>
  <c r="F3747" i="19" s="1"/>
  <c r="D3748" i="19"/>
  <c r="F3748" i="19" s="1"/>
  <c r="D3749" i="19"/>
  <c r="F3749" i="19" s="1"/>
  <c r="D3750" i="19"/>
  <c r="F3750" i="19" s="1"/>
  <c r="D3751" i="19"/>
  <c r="F3751" i="19" s="1"/>
  <c r="D3752" i="19"/>
  <c r="F3752" i="19" s="1"/>
  <c r="D3753" i="19"/>
  <c r="F3753" i="19" s="1"/>
  <c r="D3754" i="19"/>
  <c r="F3754" i="19" s="1"/>
  <c r="D3755" i="19"/>
  <c r="F3755" i="19" s="1"/>
  <c r="D3756" i="19"/>
  <c r="F3756" i="19" s="1"/>
  <c r="D3757" i="19"/>
  <c r="F3757" i="19" s="1"/>
  <c r="D3758" i="19"/>
  <c r="F3758" i="19" s="1"/>
  <c r="D3759" i="19"/>
  <c r="F3759" i="19" s="1"/>
  <c r="D3760" i="19"/>
  <c r="F3760" i="19" s="1"/>
  <c r="D3761" i="19"/>
  <c r="F3761" i="19" s="1"/>
  <c r="D3762" i="19"/>
  <c r="F3762" i="19" s="1"/>
  <c r="D3763" i="19"/>
  <c r="F3763" i="19" s="1"/>
  <c r="D3764" i="19"/>
  <c r="F3764" i="19" s="1"/>
  <c r="D3765" i="19"/>
  <c r="F3765" i="19" s="1"/>
  <c r="D3766" i="19"/>
  <c r="F3766" i="19" s="1"/>
  <c r="D3767" i="19"/>
  <c r="F3767" i="19" s="1"/>
  <c r="D3768" i="19"/>
  <c r="F3768" i="19" s="1"/>
  <c r="D3769" i="19"/>
  <c r="F3769" i="19" s="1"/>
  <c r="D3770" i="19"/>
  <c r="F3770" i="19" s="1"/>
  <c r="D3771" i="19"/>
  <c r="F3771" i="19" s="1"/>
  <c r="D3772" i="19"/>
  <c r="F3772" i="19" s="1"/>
  <c r="D3773" i="19"/>
  <c r="F3773" i="19" s="1"/>
  <c r="D3774" i="19"/>
  <c r="F3774" i="19" s="1"/>
  <c r="D3775" i="19"/>
  <c r="F3775" i="19" s="1"/>
  <c r="D3776" i="19"/>
  <c r="F3776" i="19" s="1"/>
  <c r="D3777" i="19"/>
  <c r="F3777" i="19" s="1"/>
  <c r="D3778" i="19"/>
  <c r="F3778" i="19" s="1"/>
  <c r="D3779" i="19"/>
  <c r="F3779" i="19" s="1"/>
  <c r="D3780" i="19"/>
  <c r="F3780" i="19" s="1"/>
  <c r="D3781" i="19"/>
  <c r="F3781" i="19" s="1"/>
  <c r="D3782" i="19"/>
  <c r="F3782" i="19" s="1"/>
  <c r="D3783" i="19"/>
  <c r="F3783" i="19" s="1"/>
  <c r="D3784" i="19"/>
  <c r="F3784" i="19" s="1"/>
  <c r="D3785" i="19"/>
  <c r="F3785" i="19" s="1"/>
  <c r="D3786" i="19"/>
  <c r="F3786" i="19" s="1"/>
  <c r="D3787" i="19"/>
  <c r="F3787" i="19" s="1"/>
  <c r="D3788" i="19"/>
  <c r="F3788" i="19" s="1"/>
  <c r="D3789" i="19"/>
  <c r="F3789" i="19" s="1"/>
  <c r="D3790" i="19"/>
  <c r="F3790" i="19" s="1"/>
  <c r="D3791" i="19"/>
  <c r="F3791" i="19" s="1"/>
  <c r="D3792" i="19"/>
  <c r="F3792" i="19" s="1"/>
  <c r="D3793" i="19"/>
  <c r="F3793" i="19" s="1"/>
  <c r="D3794" i="19"/>
  <c r="F3794" i="19" s="1"/>
  <c r="D3795" i="19"/>
  <c r="F3795" i="19" s="1"/>
  <c r="D3796" i="19"/>
  <c r="F3796" i="19" s="1"/>
  <c r="D3797" i="19"/>
  <c r="F3797" i="19" s="1"/>
  <c r="D3798" i="19"/>
  <c r="F3798" i="19" s="1"/>
  <c r="D3799" i="19"/>
  <c r="F3799" i="19" s="1"/>
  <c r="D3800" i="19"/>
  <c r="F3800" i="19" s="1"/>
  <c r="D3801" i="19"/>
  <c r="F3801" i="19" s="1"/>
  <c r="D3802" i="19"/>
  <c r="F3802" i="19" s="1"/>
  <c r="D3803" i="19"/>
  <c r="F3803" i="19" s="1"/>
  <c r="D3804" i="19"/>
  <c r="F3804" i="19" s="1"/>
  <c r="D3805" i="19"/>
  <c r="F3805" i="19" s="1"/>
  <c r="D3806" i="19"/>
  <c r="F3806" i="19" s="1"/>
  <c r="D3807" i="19"/>
  <c r="F3807" i="19" s="1"/>
  <c r="D3808" i="19"/>
  <c r="F3808" i="19" s="1"/>
  <c r="D3809" i="19"/>
  <c r="F3809" i="19" s="1"/>
  <c r="D3810" i="19"/>
  <c r="F3810" i="19" s="1"/>
  <c r="D3811" i="19"/>
  <c r="F3811" i="19" s="1"/>
  <c r="D3812" i="19"/>
  <c r="F3812" i="19" s="1"/>
  <c r="D3813" i="19"/>
  <c r="F3813" i="19" s="1"/>
  <c r="D3814" i="19"/>
  <c r="F3814" i="19" s="1"/>
  <c r="D3815" i="19"/>
  <c r="F3815" i="19" s="1"/>
  <c r="D3816" i="19"/>
  <c r="F3816" i="19" s="1"/>
  <c r="D3817" i="19"/>
  <c r="F3817" i="19" s="1"/>
  <c r="D3818" i="19"/>
  <c r="F3818" i="19" s="1"/>
  <c r="D3819" i="19"/>
  <c r="F3819" i="19" s="1"/>
  <c r="D3820" i="19"/>
  <c r="F3820" i="19" s="1"/>
  <c r="D3821" i="19"/>
  <c r="F3821" i="19" s="1"/>
  <c r="D3822" i="19"/>
  <c r="F3822" i="19" s="1"/>
  <c r="D3823" i="19"/>
  <c r="F3823" i="19" s="1"/>
  <c r="D3824" i="19"/>
  <c r="F3824" i="19" s="1"/>
  <c r="D3825" i="19"/>
  <c r="F3825" i="19" s="1"/>
  <c r="D3826" i="19"/>
  <c r="F3826" i="19" s="1"/>
  <c r="D3827" i="19"/>
  <c r="F3827" i="19" s="1"/>
  <c r="D3828" i="19"/>
  <c r="F3828" i="19" s="1"/>
  <c r="D3829" i="19"/>
  <c r="F3829" i="19" s="1"/>
  <c r="D3830" i="19"/>
  <c r="F3830" i="19" s="1"/>
  <c r="D3831" i="19"/>
  <c r="F3831" i="19" s="1"/>
  <c r="D3832" i="19"/>
  <c r="F3832" i="19" s="1"/>
  <c r="D3833" i="19"/>
  <c r="F3833" i="19" s="1"/>
  <c r="D3834" i="19"/>
  <c r="F3834" i="19" s="1"/>
  <c r="D3835" i="19"/>
  <c r="F3835" i="19" s="1"/>
  <c r="D3836" i="19"/>
  <c r="F3836" i="19" s="1"/>
  <c r="D3837" i="19"/>
  <c r="F3837" i="19" s="1"/>
  <c r="D3838" i="19"/>
  <c r="F3838" i="19" s="1"/>
  <c r="D3839" i="19"/>
  <c r="F3839" i="19" s="1"/>
  <c r="D3840" i="19"/>
  <c r="F3840" i="19" s="1"/>
  <c r="D3841" i="19"/>
  <c r="F3841" i="19" s="1"/>
  <c r="D3842" i="19"/>
  <c r="F3842" i="19" s="1"/>
  <c r="D3843" i="19"/>
  <c r="F3843" i="19" s="1"/>
  <c r="D3844" i="19"/>
  <c r="F3844" i="19" s="1"/>
  <c r="D3845" i="19"/>
  <c r="F3845" i="19" s="1"/>
  <c r="D3846" i="19"/>
  <c r="F3846" i="19" s="1"/>
  <c r="D3847" i="19"/>
  <c r="F3847" i="19" s="1"/>
  <c r="D3848" i="19"/>
  <c r="F3848" i="19" s="1"/>
  <c r="D3849" i="19"/>
  <c r="F3849" i="19" s="1"/>
  <c r="D3850" i="19"/>
  <c r="F3850" i="19" s="1"/>
  <c r="D3851" i="19"/>
  <c r="F3851" i="19" s="1"/>
  <c r="D3852" i="19"/>
  <c r="F3852" i="19" s="1"/>
  <c r="D3853" i="19"/>
  <c r="F3853" i="19" s="1"/>
  <c r="D3854" i="19"/>
  <c r="F3854" i="19" s="1"/>
  <c r="D3855" i="19"/>
  <c r="F3855" i="19" s="1"/>
  <c r="D3856" i="19"/>
  <c r="F3856" i="19" s="1"/>
  <c r="D3857" i="19"/>
  <c r="F3857" i="19" s="1"/>
  <c r="D3858" i="19"/>
  <c r="F3858" i="19" s="1"/>
  <c r="D3859" i="19"/>
  <c r="F3859" i="19" s="1"/>
  <c r="D3860" i="19"/>
  <c r="F3860" i="19" s="1"/>
  <c r="D3861" i="19"/>
  <c r="F3861" i="19" s="1"/>
  <c r="D3862" i="19"/>
  <c r="F3862" i="19" s="1"/>
  <c r="D3863" i="19"/>
  <c r="F3863" i="19" s="1"/>
  <c r="D3864" i="19"/>
  <c r="F3864" i="19" s="1"/>
  <c r="D3865" i="19"/>
  <c r="F3865" i="19" s="1"/>
  <c r="D3866" i="19"/>
  <c r="F3866" i="19" s="1"/>
  <c r="D3867" i="19"/>
  <c r="F3867" i="19" s="1"/>
  <c r="D3868" i="19"/>
  <c r="F3868" i="19" s="1"/>
  <c r="D3869" i="19"/>
  <c r="F3869" i="19" s="1"/>
  <c r="D3870" i="19"/>
  <c r="F3870" i="19" s="1"/>
  <c r="D3871" i="19"/>
  <c r="F3871" i="19" s="1"/>
  <c r="D3872" i="19"/>
  <c r="F3872" i="19" s="1"/>
  <c r="D3873" i="19"/>
  <c r="F3873" i="19" s="1"/>
  <c r="D3874" i="19"/>
  <c r="F3874" i="19" s="1"/>
  <c r="D3875" i="19"/>
  <c r="F3875" i="19" s="1"/>
  <c r="D3876" i="19"/>
  <c r="F3876" i="19" s="1"/>
  <c r="D3877" i="19"/>
  <c r="F3877" i="19" s="1"/>
  <c r="D3878" i="19"/>
  <c r="F3878" i="19" s="1"/>
  <c r="D3879" i="19"/>
  <c r="F3879" i="19" s="1"/>
  <c r="D3880" i="19"/>
  <c r="F3880" i="19" s="1"/>
  <c r="D3881" i="19"/>
  <c r="F3881" i="19" s="1"/>
  <c r="D3882" i="19"/>
  <c r="F3882" i="19" s="1"/>
  <c r="D3883" i="19"/>
  <c r="F3883" i="19" s="1"/>
  <c r="D3884" i="19"/>
  <c r="F3884" i="19" s="1"/>
  <c r="D3885" i="19"/>
  <c r="F3885" i="19" s="1"/>
  <c r="D3886" i="19"/>
  <c r="F3886" i="19" s="1"/>
  <c r="D3887" i="19"/>
  <c r="F3887" i="19" s="1"/>
  <c r="D3888" i="19"/>
  <c r="F3888" i="19" s="1"/>
  <c r="D3889" i="19"/>
  <c r="F3889" i="19" s="1"/>
  <c r="D3890" i="19"/>
  <c r="F3890" i="19" s="1"/>
  <c r="D3891" i="19"/>
  <c r="F3891" i="19" s="1"/>
  <c r="D3892" i="19"/>
  <c r="F3892" i="19" s="1"/>
  <c r="D3893" i="19"/>
  <c r="F3893" i="19" s="1"/>
  <c r="D3894" i="19"/>
  <c r="F3894" i="19" s="1"/>
  <c r="D3895" i="19"/>
  <c r="F3895" i="19" s="1"/>
  <c r="D3896" i="19"/>
  <c r="F3896" i="19" s="1"/>
  <c r="D3897" i="19"/>
  <c r="F3897" i="19" s="1"/>
  <c r="D3898" i="19"/>
  <c r="F3898" i="19" s="1"/>
  <c r="D3899" i="19"/>
  <c r="F3899" i="19" s="1"/>
  <c r="D3900" i="19"/>
  <c r="F3900" i="19" s="1"/>
  <c r="D3901" i="19"/>
  <c r="F3901" i="19" s="1"/>
  <c r="D3902" i="19"/>
  <c r="F3902" i="19" s="1"/>
  <c r="D3903" i="19"/>
  <c r="F3903" i="19" s="1"/>
  <c r="D3904" i="19"/>
  <c r="F3904" i="19" s="1"/>
  <c r="D3905" i="19"/>
  <c r="F3905" i="19" s="1"/>
  <c r="D3906" i="19"/>
  <c r="F3906" i="19" s="1"/>
  <c r="D3907" i="19"/>
  <c r="F3907" i="19" s="1"/>
  <c r="D3908" i="19"/>
  <c r="F3908" i="19" s="1"/>
  <c r="D3909" i="19"/>
  <c r="F3909" i="19" s="1"/>
  <c r="D3910" i="19"/>
  <c r="F3910" i="19" s="1"/>
  <c r="D3911" i="19"/>
  <c r="F3911" i="19" s="1"/>
  <c r="D3912" i="19"/>
  <c r="F3912" i="19" s="1"/>
  <c r="D3913" i="19"/>
  <c r="F3913" i="19" s="1"/>
  <c r="D3914" i="19"/>
  <c r="F3914" i="19" s="1"/>
  <c r="D3915" i="19"/>
  <c r="F3915" i="19" s="1"/>
  <c r="D3916" i="19"/>
  <c r="F3916" i="19" s="1"/>
  <c r="D3917" i="19"/>
  <c r="F3917" i="19" s="1"/>
  <c r="D3918" i="19"/>
  <c r="F3918" i="19" s="1"/>
  <c r="D3919" i="19"/>
  <c r="F3919" i="19" s="1"/>
  <c r="D3920" i="19"/>
  <c r="F3920" i="19" s="1"/>
  <c r="D3921" i="19"/>
  <c r="F3921" i="19" s="1"/>
  <c r="D3922" i="19"/>
  <c r="F3922" i="19" s="1"/>
  <c r="D3923" i="19"/>
  <c r="F3923" i="19" s="1"/>
  <c r="D3924" i="19"/>
  <c r="F3924" i="19" s="1"/>
  <c r="D3925" i="19"/>
  <c r="F3925" i="19" s="1"/>
  <c r="D3926" i="19"/>
  <c r="F3926" i="19" s="1"/>
  <c r="D3927" i="19"/>
  <c r="F3927" i="19" s="1"/>
  <c r="D3928" i="19"/>
  <c r="F3928" i="19" s="1"/>
  <c r="D3929" i="19"/>
  <c r="F3929" i="19" s="1"/>
  <c r="D3930" i="19"/>
  <c r="F3930" i="19" s="1"/>
  <c r="D3931" i="19"/>
  <c r="F3931" i="19" s="1"/>
  <c r="D3932" i="19"/>
  <c r="F3932" i="19" s="1"/>
  <c r="D3933" i="19"/>
  <c r="F3933" i="19" s="1"/>
  <c r="D3934" i="19"/>
  <c r="F3934" i="19" s="1"/>
  <c r="D3935" i="19"/>
  <c r="F3935" i="19" s="1"/>
  <c r="D3936" i="19"/>
  <c r="F3936" i="19" s="1"/>
  <c r="D3937" i="19"/>
  <c r="F3937" i="19" s="1"/>
  <c r="D3938" i="19"/>
  <c r="F3938" i="19" s="1"/>
  <c r="D3939" i="19"/>
  <c r="F3939" i="19" s="1"/>
  <c r="D3940" i="19"/>
  <c r="F3940" i="19" s="1"/>
  <c r="D3941" i="19"/>
  <c r="F3941" i="19" s="1"/>
  <c r="D3942" i="19"/>
  <c r="F3942" i="19" s="1"/>
  <c r="D3943" i="19"/>
  <c r="F3943" i="19" s="1"/>
  <c r="D3944" i="19"/>
  <c r="F3944" i="19" s="1"/>
  <c r="D3945" i="19"/>
  <c r="F3945" i="19" s="1"/>
  <c r="D3946" i="19"/>
  <c r="F3946" i="19" s="1"/>
  <c r="D3947" i="19"/>
  <c r="F3947" i="19" s="1"/>
  <c r="D3948" i="19"/>
  <c r="F3948" i="19" s="1"/>
  <c r="D3949" i="19"/>
  <c r="F3949" i="19" s="1"/>
  <c r="D3950" i="19"/>
  <c r="F3950" i="19" s="1"/>
  <c r="D3951" i="19"/>
  <c r="F3951" i="19" s="1"/>
  <c r="D3952" i="19"/>
  <c r="F3952" i="19" s="1"/>
  <c r="D3953" i="19"/>
  <c r="F3953" i="19" s="1"/>
  <c r="D3954" i="19"/>
  <c r="F3954" i="19" s="1"/>
  <c r="D3955" i="19"/>
  <c r="F3955" i="19" s="1"/>
  <c r="D3956" i="19"/>
  <c r="F3956" i="19" s="1"/>
  <c r="D3957" i="19"/>
  <c r="F3957" i="19" s="1"/>
  <c r="D3958" i="19"/>
  <c r="F3958" i="19" s="1"/>
  <c r="D3959" i="19"/>
  <c r="F3959" i="19" s="1"/>
  <c r="D3960" i="19"/>
  <c r="F3960" i="19" s="1"/>
  <c r="D3961" i="19"/>
  <c r="F3961" i="19" s="1"/>
  <c r="D3962" i="19"/>
  <c r="F3962" i="19" s="1"/>
  <c r="D3963" i="19"/>
  <c r="F3963" i="19" s="1"/>
  <c r="D3964" i="19"/>
  <c r="F3964" i="19" s="1"/>
  <c r="D3965" i="19"/>
  <c r="F3965" i="19" s="1"/>
  <c r="D3966" i="19"/>
  <c r="F3966" i="19" s="1"/>
  <c r="D3967" i="19"/>
  <c r="F3967" i="19" s="1"/>
  <c r="D3968" i="19"/>
  <c r="F3968" i="19" s="1"/>
  <c r="D3969" i="19"/>
  <c r="F3969" i="19" s="1"/>
  <c r="D3970" i="19"/>
  <c r="F3970" i="19" s="1"/>
  <c r="D3971" i="19"/>
  <c r="F3971" i="19" s="1"/>
  <c r="D3972" i="19"/>
  <c r="F3972" i="19" s="1"/>
  <c r="D3973" i="19"/>
  <c r="F3973" i="19" s="1"/>
  <c r="D3974" i="19"/>
  <c r="F3974" i="19" s="1"/>
  <c r="D3975" i="19"/>
  <c r="F3975" i="19" s="1"/>
  <c r="D3976" i="19"/>
  <c r="F3976" i="19" s="1"/>
  <c r="D3977" i="19"/>
  <c r="F3977" i="19" s="1"/>
  <c r="D3978" i="19"/>
  <c r="F3978" i="19" s="1"/>
  <c r="D3979" i="19"/>
  <c r="F3979" i="19" s="1"/>
  <c r="D3980" i="19"/>
  <c r="F3980" i="19" s="1"/>
  <c r="D3981" i="19"/>
  <c r="F3981" i="19" s="1"/>
  <c r="D3982" i="19"/>
  <c r="F3982" i="19" s="1"/>
  <c r="D3983" i="19"/>
  <c r="F3983" i="19" s="1"/>
  <c r="D3984" i="19"/>
  <c r="F3984" i="19" s="1"/>
  <c r="D3985" i="19"/>
  <c r="F3985" i="19" s="1"/>
  <c r="D3986" i="19"/>
  <c r="F3986" i="19" s="1"/>
  <c r="D3987" i="19"/>
  <c r="F3987" i="19" s="1"/>
  <c r="D3988" i="19"/>
  <c r="F3988" i="19" s="1"/>
  <c r="D3989" i="19"/>
  <c r="F3989" i="19" s="1"/>
  <c r="D3990" i="19"/>
  <c r="F3990" i="19" s="1"/>
  <c r="D3991" i="19"/>
  <c r="F3991" i="19" s="1"/>
  <c r="D3992" i="19"/>
  <c r="F3992" i="19" s="1"/>
  <c r="D3993" i="19"/>
  <c r="F3993" i="19" s="1"/>
  <c r="D3994" i="19"/>
  <c r="F3994" i="19" s="1"/>
  <c r="D3995" i="19"/>
  <c r="F3995" i="19" s="1"/>
  <c r="D3996" i="19"/>
  <c r="F3996" i="19" s="1"/>
  <c r="D3997" i="19"/>
  <c r="F3997" i="19" s="1"/>
  <c r="D3998" i="19"/>
  <c r="F3998" i="19" s="1"/>
  <c r="D3999" i="19"/>
  <c r="F3999" i="19" s="1"/>
  <c r="D4000" i="19"/>
  <c r="F4000" i="19" s="1"/>
  <c r="D4001" i="19"/>
  <c r="F4001" i="19" s="1"/>
  <c r="D4002" i="19"/>
  <c r="F4002" i="19" s="1"/>
  <c r="D4003" i="19"/>
  <c r="F4003" i="19" s="1"/>
  <c r="D4004" i="19"/>
  <c r="F4004" i="19" s="1"/>
  <c r="D4005" i="19"/>
  <c r="F4005" i="19" s="1"/>
  <c r="D4006" i="19"/>
  <c r="F4006" i="19" s="1"/>
  <c r="D4007" i="19"/>
  <c r="F4007" i="19" s="1"/>
  <c r="D4008" i="19"/>
  <c r="F4008" i="19" s="1"/>
  <c r="D4009" i="19"/>
  <c r="F4009" i="19" s="1"/>
  <c r="D4010" i="19"/>
  <c r="F4010" i="19" s="1"/>
  <c r="D4011" i="19"/>
  <c r="F4011" i="19" s="1"/>
  <c r="D4012" i="19"/>
  <c r="F4012" i="19" s="1"/>
  <c r="D4013" i="19"/>
  <c r="F4013" i="19" s="1"/>
  <c r="D4014" i="19"/>
  <c r="F4014" i="19" s="1"/>
  <c r="D4015" i="19"/>
  <c r="F4015" i="19" s="1"/>
  <c r="D4016" i="19"/>
  <c r="F4016" i="19" s="1"/>
  <c r="D4017" i="19"/>
  <c r="F4017" i="19" s="1"/>
  <c r="D4018" i="19"/>
  <c r="F4018" i="19" s="1"/>
  <c r="D4019" i="19"/>
  <c r="F4019" i="19" s="1"/>
  <c r="D4020" i="19"/>
  <c r="F4020" i="19" s="1"/>
  <c r="D4021" i="19"/>
  <c r="F4021" i="19" s="1"/>
  <c r="D4022" i="19"/>
  <c r="F4022" i="19" s="1"/>
  <c r="D4023" i="19"/>
  <c r="F4023" i="19" s="1"/>
  <c r="D4024" i="19"/>
  <c r="F4024" i="19" s="1"/>
  <c r="D4025" i="19"/>
  <c r="F4025" i="19" s="1"/>
  <c r="D4026" i="19"/>
  <c r="F4026" i="19" s="1"/>
  <c r="D4027" i="19"/>
  <c r="F4027" i="19" s="1"/>
  <c r="D4028" i="19"/>
  <c r="F4028" i="19" s="1"/>
  <c r="D4029" i="19"/>
  <c r="F4029" i="19" s="1"/>
  <c r="D4030" i="19"/>
  <c r="F4030" i="19" s="1"/>
  <c r="D4031" i="19"/>
  <c r="F4031" i="19" s="1"/>
  <c r="D4032" i="19"/>
  <c r="F4032" i="19" s="1"/>
  <c r="D4033" i="19"/>
  <c r="F4033" i="19" s="1"/>
  <c r="D4034" i="19"/>
  <c r="F4034" i="19" s="1"/>
  <c r="D4035" i="19"/>
  <c r="F4035" i="19" s="1"/>
  <c r="D4036" i="19"/>
  <c r="F4036" i="19" s="1"/>
  <c r="D4037" i="19"/>
  <c r="F4037" i="19" s="1"/>
  <c r="D4038" i="19"/>
  <c r="F4038" i="19" s="1"/>
  <c r="D4039" i="19"/>
  <c r="F4039" i="19" s="1"/>
  <c r="D4040" i="19"/>
  <c r="F4040" i="19" s="1"/>
  <c r="D4041" i="19"/>
  <c r="F4041" i="19" s="1"/>
  <c r="D4042" i="19"/>
  <c r="F4042" i="19" s="1"/>
  <c r="D4043" i="19"/>
  <c r="F4043" i="19" s="1"/>
  <c r="D4044" i="19"/>
  <c r="F4044" i="19" s="1"/>
  <c r="D4045" i="19"/>
  <c r="F4045" i="19" s="1"/>
  <c r="D4046" i="19"/>
  <c r="F4046" i="19" s="1"/>
  <c r="D4047" i="19"/>
  <c r="F4047" i="19" s="1"/>
  <c r="D4048" i="19"/>
  <c r="F4048" i="19" s="1"/>
  <c r="D4049" i="19"/>
  <c r="F4049" i="19" s="1"/>
  <c r="D4050" i="19"/>
  <c r="F4050" i="19" s="1"/>
  <c r="D4051" i="19"/>
  <c r="F4051" i="19" s="1"/>
  <c r="D4052" i="19"/>
  <c r="F4052" i="19" s="1"/>
  <c r="D4053" i="19"/>
  <c r="F4053" i="19" s="1"/>
  <c r="D4054" i="19"/>
  <c r="F4054" i="19" s="1"/>
  <c r="D4055" i="19"/>
  <c r="F4055" i="19" s="1"/>
  <c r="D4056" i="19"/>
  <c r="F4056" i="19" s="1"/>
  <c r="D4057" i="19"/>
  <c r="F4057" i="19" s="1"/>
  <c r="D4058" i="19"/>
  <c r="F4058" i="19" s="1"/>
  <c r="D4059" i="19"/>
  <c r="F4059" i="19" s="1"/>
  <c r="D4060" i="19"/>
  <c r="F4060" i="19" s="1"/>
  <c r="D4061" i="19"/>
  <c r="F4061" i="19" s="1"/>
  <c r="D4062" i="19"/>
  <c r="F4062" i="19" s="1"/>
  <c r="D4063" i="19"/>
  <c r="F4063" i="19" s="1"/>
  <c r="D4064" i="19"/>
  <c r="F4064" i="19" s="1"/>
  <c r="D4065" i="19"/>
  <c r="F4065" i="19" s="1"/>
  <c r="D4066" i="19"/>
  <c r="F4066" i="19" s="1"/>
  <c r="D4067" i="19"/>
  <c r="F4067" i="19" s="1"/>
  <c r="D4068" i="19"/>
  <c r="F4068" i="19" s="1"/>
  <c r="D4069" i="19"/>
  <c r="F4069" i="19" s="1"/>
  <c r="D4070" i="19"/>
  <c r="F4070" i="19" s="1"/>
  <c r="D4071" i="19"/>
  <c r="F4071" i="19" s="1"/>
  <c r="D4072" i="19"/>
  <c r="F4072" i="19" s="1"/>
  <c r="D4073" i="19"/>
  <c r="F4073" i="19" s="1"/>
  <c r="D4074" i="19"/>
  <c r="F4074" i="19" s="1"/>
  <c r="D4075" i="19"/>
  <c r="F4075" i="19" s="1"/>
  <c r="D4076" i="19"/>
  <c r="F4076" i="19" s="1"/>
  <c r="D4077" i="19"/>
  <c r="F4077" i="19" s="1"/>
  <c r="D4078" i="19"/>
  <c r="F4078" i="19" s="1"/>
  <c r="D4079" i="19"/>
  <c r="F4079" i="19" s="1"/>
  <c r="D4080" i="19"/>
  <c r="F4080" i="19" s="1"/>
  <c r="D4081" i="19"/>
  <c r="F4081" i="19" s="1"/>
  <c r="D4082" i="19"/>
  <c r="F4082" i="19" s="1"/>
  <c r="D4083" i="19"/>
  <c r="F4083" i="19" s="1"/>
  <c r="D4084" i="19"/>
  <c r="F4084" i="19" s="1"/>
  <c r="D4085" i="19"/>
  <c r="F4085" i="19" s="1"/>
  <c r="D4086" i="19"/>
  <c r="F4086" i="19" s="1"/>
  <c r="D4087" i="19"/>
  <c r="F4087" i="19" s="1"/>
  <c r="D4088" i="19"/>
  <c r="F4088" i="19" s="1"/>
  <c r="D4089" i="19"/>
  <c r="F4089" i="19" s="1"/>
  <c r="D4090" i="19"/>
  <c r="F4090" i="19" s="1"/>
  <c r="D4091" i="19"/>
  <c r="F4091" i="19" s="1"/>
  <c r="D4092" i="19"/>
  <c r="F4092" i="19" s="1"/>
  <c r="D4093" i="19"/>
  <c r="F4093" i="19" s="1"/>
  <c r="D4094" i="19"/>
  <c r="F4094" i="19" s="1"/>
  <c r="D4095" i="19"/>
  <c r="F4095" i="19" s="1"/>
  <c r="D4096" i="19"/>
  <c r="F4096" i="19" s="1"/>
  <c r="D4097" i="19"/>
  <c r="F4097" i="19" s="1"/>
  <c r="D4098" i="19"/>
  <c r="F4098" i="19" s="1"/>
  <c r="D4099" i="19"/>
  <c r="F4099" i="19" s="1"/>
  <c r="D4100" i="19"/>
  <c r="F4100" i="19" s="1"/>
  <c r="D4101" i="19"/>
  <c r="F4101" i="19" s="1"/>
  <c r="D4102" i="19"/>
  <c r="F4102" i="19" s="1"/>
  <c r="D4103" i="19"/>
  <c r="F4103" i="19" s="1"/>
  <c r="D4104" i="19"/>
  <c r="F4104" i="19" s="1"/>
  <c r="D4105" i="19"/>
  <c r="F4105" i="19" s="1"/>
  <c r="D4106" i="19"/>
  <c r="F4106" i="19" s="1"/>
  <c r="D4107" i="19"/>
  <c r="F4107" i="19" s="1"/>
  <c r="D4108" i="19"/>
  <c r="F4108" i="19" s="1"/>
  <c r="D4109" i="19"/>
  <c r="F4109" i="19" s="1"/>
  <c r="D4110" i="19"/>
  <c r="F4110" i="19" s="1"/>
  <c r="D4111" i="19"/>
  <c r="F4111" i="19" s="1"/>
  <c r="D4112" i="19"/>
  <c r="F4112" i="19" s="1"/>
  <c r="D4113" i="19"/>
  <c r="F4113" i="19" s="1"/>
  <c r="D4114" i="19"/>
  <c r="F4114" i="19" s="1"/>
  <c r="D4115" i="19"/>
  <c r="F4115" i="19" s="1"/>
  <c r="D4116" i="19"/>
  <c r="F4116" i="19" s="1"/>
  <c r="D4117" i="19"/>
  <c r="F4117" i="19" s="1"/>
  <c r="D4118" i="19"/>
  <c r="F4118" i="19" s="1"/>
  <c r="D4119" i="19"/>
  <c r="F4119" i="19" s="1"/>
  <c r="D4120" i="19"/>
  <c r="F4120" i="19" s="1"/>
  <c r="D4121" i="19"/>
  <c r="F4121" i="19" s="1"/>
  <c r="D4122" i="19"/>
  <c r="F4122" i="19" s="1"/>
  <c r="D4123" i="19"/>
  <c r="F4123" i="19" s="1"/>
  <c r="D4124" i="19"/>
  <c r="F4124" i="19" s="1"/>
  <c r="D4125" i="19"/>
  <c r="F4125" i="19" s="1"/>
  <c r="D4126" i="19"/>
  <c r="F4126" i="19" s="1"/>
  <c r="D4127" i="19"/>
  <c r="F4127" i="19" s="1"/>
  <c r="D4128" i="19"/>
  <c r="F4128" i="19" s="1"/>
  <c r="D4129" i="19"/>
  <c r="F4129" i="19" s="1"/>
  <c r="D4130" i="19"/>
  <c r="F4130" i="19" s="1"/>
  <c r="D4131" i="19"/>
  <c r="F4131" i="19" s="1"/>
  <c r="D4132" i="19"/>
  <c r="F4132" i="19" s="1"/>
  <c r="D4133" i="19"/>
  <c r="F4133" i="19" s="1"/>
  <c r="D4134" i="19"/>
  <c r="F4134" i="19" s="1"/>
  <c r="D4135" i="19"/>
  <c r="F4135" i="19" s="1"/>
  <c r="D4136" i="19"/>
  <c r="F4136" i="19" s="1"/>
  <c r="D4137" i="19"/>
  <c r="F4137" i="19" s="1"/>
  <c r="D4138" i="19"/>
  <c r="F4138" i="19" s="1"/>
  <c r="D4139" i="19"/>
  <c r="F4139" i="19" s="1"/>
  <c r="D4140" i="19"/>
  <c r="F4140" i="19" s="1"/>
  <c r="D4141" i="19"/>
  <c r="F4141" i="19" s="1"/>
  <c r="D4142" i="19"/>
  <c r="F4142" i="19" s="1"/>
  <c r="D4143" i="19"/>
  <c r="F4143" i="19" s="1"/>
  <c r="D4144" i="19"/>
  <c r="F4144" i="19" s="1"/>
  <c r="D4145" i="19"/>
  <c r="F4145" i="19" s="1"/>
  <c r="D4146" i="19"/>
  <c r="F4146" i="19" s="1"/>
  <c r="D4147" i="19"/>
  <c r="F4147" i="19" s="1"/>
  <c r="D4148" i="19"/>
  <c r="F4148" i="19" s="1"/>
  <c r="D4149" i="19"/>
  <c r="F4149" i="19" s="1"/>
  <c r="D4150" i="19"/>
  <c r="F4150" i="19" s="1"/>
  <c r="D4151" i="19"/>
  <c r="F4151" i="19" s="1"/>
  <c r="D4152" i="19"/>
  <c r="F4152" i="19" s="1"/>
  <c r="D4153" i="19"/>
  <c r="F4153" i="19" s="1"/>
  <c r="D4154" i="19"/>
  <c r="F4154" i="19" s="1"/>
  <c r="D4155" i="19"/>
  <c r="F4155" i="19" s="1"/>
  <c r="D4156" i="19"/>
  <c r="F4156" i="19" s="1"/>
  <c r="D4157" i="19"/>
  <c r="F4157" i="19" s="1"/>
  <c r="D4158" i="19"/>
  <c r="F4158" i="19" s="1"/>
  <c r="D4159" i="19"/>
  <c r="F4159" i="19" s="1"/>
  <c r="D4160" i="19"/>
  <c r="F4160" i="19" s="1"/>
  <c r="D4161" i="19"/>
  <c r="F4161" i="19" s="1"/>
  <c r="D4162" i="19"/>
  <c r="F4162" i="19" s="1"/>
  <c r="D4163" i="19"/>
  <c r="F4163" i="19" s="1"/>
  <c r="D4164" i="19"/>
  <c r="F4164" i="19" s="1"/>
  <c r="D4165" i="19"/>
  <c r="F4165" i="19" s="1"/>
  <c r="D4166" i="19"/>
  <c r="F4166" i="19" s="1"/>
  <c r="D4167" i="19"/>
  <c r="F4167" i="19" s="1"/>
  <c r="D4168" i="19"/>
  <c r="F4168" i="19" s="1"/>
  <c r="D4169" i="19"/>
  <c r="F4169" i="19" s="1"/>
  <c r="D4170" i="19"/>
  <c r="F4170" i="19" s="1"/>
  <c r="D4171" i="19"/>
  <c r="F4171" i="19" s="1"/>
  <c r="D4172" i="19"/>
  <c r="F4172" i="19" s="1"/>
  <c r="D4173" i="19"/>
  <c r="F4173" i="19" s="1"/>
  <c r="D4174" i="19"/>
  <c r="F4174" i="19" s="1"/>
  <c r="D4175" i="19"/>
  <c r="F4175" i="19" s="1"/>
  <c r="D4176" i="19"/>
  <c r="F4176" i="19" s="1"/>
  <c r="D4177" i="19"/>
  <c r="F4177" i="19" s="1"/>
  <c r="D4178" i="19"/>
  <c r="F4178" i="19" s="1"/>
  <c r="D4179" i="19"/>
  <c r="F4179" i="19" s="1"/>
  <c r="D4180" i="19"/>
  <c r="F4180" i="19" s="1"/>
  <c r="D4181" i="19"/>
  <c r="F4181" i="19" s="1"/>
  <c r="D4182" i="19"/>
  <c r="F4182" i="19" s="1"/>
  <c r="D4183" i="19"/>
  <c r="F4183" i="19" s="1"/>
  <c r="D4184" i="19"/>
  <c r="F4184" i="19" s="1"/>
  <c r="D4185" i="19"/>
  <c r="F4185" i="19" s="1"/>
  <c r="D4186" i="19"/>
  <c r="F4186" i="19" s="1"/>
  <c r="D4187" i="19"/>
  <c r="F4187" i="19" s="1"/>
  <c r="D4188" i="19"/>
  <c r="F4188" i="19" s="1"/>
  <c r="D4189" i="19"/>
  <c r="F4189" i="19" s="1"/>
  <c r="D4190" i="19"/>
  <c r="F4190" i="19" s="1"/>
  <c r="D4191" i="19"/>
  <c r="F4191" i="19" s="1"/>
  <c r="D4192" i="19"/>
  <c r="F4192" i="19" s="1"/>
  <c r="D4193" i="19"/>
  <c r="F4193" i="19" s="1"/>
  <c r="D4194" i="19"/>
  <c r="F4194" i="19" s="1"/>
  <c r="D4195" i="19"/>
  <c r="F4195" i="19" s="1"/>
  <c r="D4196" i="19"/>
  <c r="F4196" i="19" s="1"/>
  <c r="D4197" i="19"/>
  <c r="F4197" i="19" s="1"/>
  <c r="D4198" i="19"/>
  <c r="F4198" i="19" s="1"/>
  <c r="D4199" i="19"/>
  <c r="F4199" i="19" s="1"/>
  <c r="D4200" i="19"/>
  <c r="F4200" i="19" s="1"/>
  <c r="D4201" i="19"/>
  <c r="F4201" i="19" s="1"/>
  <c r="D4202" i="19"/>
  <c r="F4202" i="19" s="1"/>
  <c r="D4203" i="19"/>
  <c r="F4203" i="19" s="1"/>
  <c r="D4204" i="19"/>
  <c r="F4204" i="19" s="1"/>
  <c r="D4205" i="19"/>
  <c r="F4205" i="19" s="1"/>
  <c r="D4206" i="19"/>
  <c r="F4206" i="19" s="1"/>
  <c r="D4207" i="19"/>
  <c r="F4207" i="19" s="1"/>
  <c r="D4208" i="19"/>
  <c r="F4208" i="19" s="1"/>
  <c r="D4209" i="19"/>
  <c r="F4209" i="19" s="1"/>
  <c r="D4210" i="19"/>
  <c r="F4210" i="19" s="1"/>
  <c r="D4211" i="19"/>
  <c r="F4211" i="19" s="1"/>
  <c r="D4212" i="19"/>
  <c r="F4212" i="19" s="1"/>
  <c r="D4213" i="19"/>
  <c r="F4213" i="19" s="1"/>
  <c r="D4214" i="19"/>
  <c r="F4214" i="19" s="1"/>
  <c r="D4215" i="19"/>
  <c r="F4215" i="19" s="1"/>
  <c r="D4216" i="19"/>
  <c r="F4216" i="19" s="1"/>
  <c r="D4217" i="19"/>
  <c r="F4217" i="19" s="1"/>
  <c r="D4218" i="19"/>
  <c r="F4218" i="19" s="1"/>
  <c r="D4219" i="19"/>
  <c r="F4219" i="19" s="1"/>
  <c r="D4220" i="19"/>
  <c r="F4220" i="19" s="1"/>
  <c r="D4221" i="19"/>
  <c r="F4221" i="19" s="1"/>
  <c r="D4222" i="19"/>
  <c r="F4222" i="19" s="1"/>
  <c r="D4223" i="19"/>
  <c r="F4223" i="19" s="1"/>
  <c r="D4224" i="19"/>
  <c r="F4224" i="19" s="1"/>
  <c r="D4225" i="19"/>
  <c r="F4225" i="19" s="1"/>
  <c r="D4226" i="19"/>
  <c r="F4226" i="19" s="1"/>
  <c r="D4227" i="19"/>
  <c r="F4227" i="19" s="1"/>
  <c r="D4228" i="19"/>
  <c r="F4228" i="19" s="1"/>
  <c r="D4229" i="19"/>
  <c r="F4229" i="19" s="1"/>
  <c r="D4230" i="19"/>
  <c r="F4230" i="19" s="1"/>
  <c r="D4231" i="19"/>
  <c r="F4231" i="19" s="1"/>
  <c r="D4232" i="19"/>
  <c r="F4232" i="19" s="1"/>
  <c r="D4233" i="19"/>
  <c r="F4233" i="19" s="1"/>
  <c r="D4234" i="19"/>
  <c r="F4234" i="19" s="1"/>
  <c r="D4235" i="19"/>
  <c r="F4235" i="19" s="1"/>
  <c r="D4236" i="19"/>
  <c r="F4236" i="19" s="1"/>
  <c r="D4237" i="19"/>
  <c r="F4237" i="19" s="1"/>
  <c r="D4238" i="19"/>
  <c r="F4238" i="19" s="1"/>
  <c r="D4239" i="19"/>
  <c r="F4239" i="19" s="1"/>
  <c r="D4240" i="19"/>
  <c r="F4240" i="19" s="1"/>
  <c r="D4241" i="19"/>
  <c r="F4241" i="19" s="1"/>
  <c r="D4242" i="19"/>
  <c r="F4242" i="19" s="1"/>
  <c r="D4243" i="19"/>
  <c r="F4243" i="19" s="1"/>
  <c r="D4244" i="19"/>
  <c r="F4244" i="19" s="1"/>
  <c r="D4245" i="19"/>
  <c r="F4245" i="19" s="1"/>
  <c r="D4246" i="19"/>
  <c r="F4246" i="19" s="1"/>
  <c r="D4247" i="19"/>
  <c r="F4247" i="19" s="1"/>
  <c r="D4248" i="19"/>
  <c r="F4248" i="19" s="1"/>
  <c r="D4249" i="19"/>
  <c r="F4249" i="19" s="1"/>
  <c r="D4250" i="19"/>
  <c r="F4250" i="19" s="1"/>
  <c r="D4251" i="19"/>
  <c r="F4251" i="19" s="1"/>
  <c r="D4252" i="19"/>
  <c r="F4252" i="19" s="1"/>
  <c r="D4253" i="19"/>
  <c r="F4253" i="19" s="1"/>
  <c r="D4254" i="19"/>
  <c r="F4254" i="19" s="1"/>
  <c r="D4255" i="19"/>
  <c r="F4255" i="19" s="1"/>
  <c r="D4256" i="19"/>
  <c r="F4256" i="19" s="1"/>
  <c r="D4257" i="19"/>
  <c r="F4257" i="19" s="1"/>
  <c r="D4258" i="19"/>
  <c r="F4258" i="19" s="1"/>
  <c r="D4259" i="19"/>
  <c r="F4259" i="19" s="1"/>
  <c r="D4260" i="19"/>
  <c r="F4260" i="19" s="1"/>
  <c r="D4261" i="19"/>
  <c r="F4261" i="19" s="1"/>
  <c r="D4262" i="19"/>
  <c r="F4262" i="19" s="1"/>
  <c r="D4263" i="19"/>
  <c r="F4263" i="19" s="1"/>
  <c r="D4264" i="19"/>
  <c r="F4264" i="19" s="1"/>
  <c r="D4265" i="19"/>
  <c r="F4265" i="19" s="1"/>
  <c r="D4266" i="19"/>
  <c r="F4266" i="19" s="1"/>
  <c r="D4267" i="19"/>
  <c r="F4267" i="19" s="1"/>
  <c r="D4268" i="19"/>
  <c r="F4268" i="19" s="1"/>
  <c r="D4269" i="19"/>
  <c r="F4269" i="19" s="1"/>
  <c r="D4270" i="19"/>
  <c r="F4270" i="19" s="1"/>
  <c r="D4271" i="19"/>
  <c r="F4271" i="19" s="1"/>
  <c r="D4272" i="19"/>
  <c r="F4272" i="19" s="1"/>
  <c r="D4273" i="19"/>
  <c r="F4273" i="19" s="1"/>
  <c r="D4274" i="19"/>
  <c r="F4274" i="19" s="1"/>
  <c r="D4275" i="19"/>
  <c r="F4275" i="19" s="1"/>
  <c r="D4276" i="19"/>
  <c r="F4276" i="19" s="1"/>
  <c r="D4277" i="19"/>
  <c r="F4277" i="19" s="1"/>
  <c r="D4278" i="19"/>
  <c r="F4278" i="19" s="1"/>
  <c r="D4279" i="19"/>
  <c r="F4279" i="19" s="1"/>
  <c r="D4280" i="19"/>
  <c r="F4280" i="19" s="1"/>
  <c r="D4281" i="19"/>
  <c r="F4281" i="19" s="1"/>
  <c r="D4282" i="19"/>
  <c r="F4282" i="19" s="1"/>
  <c r="D4283" i="19"/>
  <c r="F4283" i="19" s="1"/>
  <c r="D4284" i="19"/>
  <c r="F4284" i="19" s="1"/>
  <c r="D4285" i="19"/>
  <c r="F4285" i="19" s="1"/>
  <c r="D4286" i="19"/>
  <c r="F4286" i="19" s="1"/>
  <c r="D4287" i="19"/>
  <c r="F4287" i="19" s="1"/>
  <c r="D4288" i="19"/>
  <c r="F4288" i="19" s="1"/>
  <c r="D4289" i="19"/>
  <c r="F4289" i="19" s="1"/>
  <c r="D4290" i="19"/>
  <c r="F4290" i="19" s="1"/>
  <c r="D4291" i="19"/>
  <c r="F4291" i="19" s="1"/>
  <c r="D4292" i="19"/>
  <c r="F4292" i="19" s="1"/>
  <c r="D4293" i="19"/>
  <c r="F4293" i="19" s="1"/>
  <c r="D4294" i="19"/>
  <c r="F4294" i="19" s="1"/>
  <c r="D4295" i="19"/>
  <c r="F4295" i="19" s="1"/>
  <c r="D4296" i="19"/>
  <c r="F4296" i="19" s="1"/>
  <c r="D4297" i="19"/>
  <c r="F4297" i="19" s="1"/>
  <c r="D4298" i="19"/>
  <c r="F4298" i="19" s="1"/>
  <c r="D4299" i="19"/>
  <c r="F4299" i="19" s="1"/>
  <c r="D4300" i="19"/>
  <c r="F4300" i="19" s="1"/>
  <c r="D4301" i="19"/>
  <c r="F4301" i="19" s="1"/>
  <c r="D4302" i="19"/>
  <c r="F4302" i="19" s="1"/>
  <c r="D4303" i="19"/>
  <c r="F4303" i="19" s="1"/>
  <c r="D4304" i="19"/>
  <c r="F4304" i="19" s="1"/>
  <c r="D4305" i="19"/>
  <c r="F4305" i="19" s="1"/>
  <c r="D4306" i="19"/>
  <c r="F4306" i="19" s="1"/>
  <c r="D4307" i="19"/>
  <c r="F4307" i="19" s="1"/>
  <c r="D4308" i="19"/>
  <c r="F4308" i="19" s="1"/>
  <c r="D4309" i="19"/>
  <c r="F4309" i="19" s="1"/>
  <c r="D4310" i="19"/>
  <c r="F4310" i="19" s="1"/>
  <c r="D4311" i="19"/>
  <c r="F4311" i="19" s="1"/>
  <c r="D4312" i="19"/>
  <c r="F4312" i="19" s="1"/>
  <c r="D4313" i="19"/>
  <c r="F4313" i="19" s="1"/>
  <c r="D4314" i="19"/>
  <c r="F4314" i="19" s="1"/>
  <c r="D4315" i="19"/>
  <c r="F4315" i="19" s="1"/>
  <c r="D4316" i="19"/>
  <c r="F4316" i="19" s="1"/>
  <c r="D4317" i="19"/>
  <c r="F4317" i="19" s="1"/>
  <c r="D4318" i="19"/>
  <c r="F4318" i="19" s="1"/>
  <c r="D4319" i="19"/>
  <c r="F4319" i="19" s="1"/>
  <c r="D4320" i="19"/>
  <c r="F4320" i="19" s="1"/>
  <c r="D4321" i="19"/>
  <c r="F4321" i="19" s="1"/>
  <c r="D4322" i="19"/>
  <c r="F4322" i="19" s="1"/>
  <c r="D4323" i="19"/>
  <c r="F4323" i="19" s="1"/>
  <c r="D4324" i="19"/>
  <c r="F4324" i="19" s="1"/>
  <c r="D4325" i="19"/>
  <c r="F4325" i="19" s="1"/>
  <c r="D4326" i="19"/>
  <c r="F4326" i="19" s="1"/>
  <c r="D4327" i="19"/>
  <c r="F4327" i="19" s="1"/>
  <c r="D4328" i="19"/>
  <c r="F4328" i="19" s="1"/>
  <c r="D4329" i="19"/>
  <c r="F4329" i="19" s="1"/>
  <c r="D4330" i="19"/>
  <c r="F4330" i="19" s="1"/>
  <c r="D4331" i="19"/>
  <c r="F4331" i="19" s="1"/>
  <c r="D4332" i="19"/>
  <c r="F4332" i="19" s="1"/>
  <c r="D4333" i="19"/>
  <c r="F4333" i="19" s="1"/>
  <c r="D4334" i="19"/>
  <c r="F4334" i="19" s="1"/>
  <c r="D4335" i="19"/>
  <c r="F4335" i="19" s="1"/>
  <c r="D4336" i="19"/>
  <c r="F4336" i="19" s="1"/>
  <c r="D4337" i="19"/>
  <c r="F4337" i="19" s="1"/>
  <c r="D4338" i="19"/>
  <c r="F4338" i="19" s="1"/>
  <c r="D4339" i="19"/>
  <c r="F4339" i="19" s="1"/>
  <c r="D4340" i="19"/>
  <c r="F4340" i="19" s="1"/>
  <c r="D4341" i="19"/>
  <c r="F4341" i="19" s="1"/>
  <c r="D4342" i="19"/>
  <c r="F4342" i="19" s="1"/>
  <c r="D4343" i="19"/>
  <c r="F4343" i="19" s="1"/>
  <c r="D4344" i="19"/>
  <c r="F4344" i="19" s="1"/>
  <c r="D4345" i="19"/>
  <c r="F4345" i="19" s="1"/>
  <c r="D4346" i="19"/>
  <c r="F4346" i="19" s="1"/>
  <c r="D4347" i="19"/>
  <c r="F4347" i="19" s="1"/>
  <c r="D4348" i="19"/>
  <c r="F4348" i="19" s="1"/>
  <c r="D4349" i="19"/>
  <c r="F4349" i="19" s="1"/>
  <c r="D4350" i="19"/>
  <c r="F4350" i="19" s="1"/>
  <c r="D4351" i="19"/>
  <c r="F4351" i="19" s="1"/>
  <c r="D4352" i="19"/>
  <c r="F4352" i="19" s="1"/>
  <c r="D4353" i="19"/>
  <c r="F4353" i="19" s="1"/>
  <c r="D4354" i="19"/>
  <c r="F4354" i="19" s="1"/>
  <c r="D4355" i="19"/>
  <c r="F4355" i="19" s="1"/>
  <c r="D4356" i="19"/>
  <c r="F4356" i="19" s="1"/>
  <c r="D4357" i="19"/>
  <c r="F4357" i="19" s="1"/>
  <c r="D4358" i="19"/>
  <c r="F4358" i="19" s="1"/>
  <c r="D4359" i="19"/>
  <c r="F4359" i="19" s="1"/>
  <c r="D4360" i="19"/>
  <c r="F4360" i="19" s="1"/>
  <c r="D4361" i="19"/>
  <c r="F4361" i="19" s="1"/>
  <c r="D4362" i="19"/>
  <c r="F4362" i="19" s="1"/>
  <c r="D4363" i="19"/>
  <c r="F4363" i="19" s="1"/>
  <c r="D4364" i="19"/>
  <c r="F4364" i="19" s="1"/>
  <c r="D4365" i="19"/>
  <c r="F4365" i="19" s="1"/>
  <c r="D4366" i="19"/>
  <c r="F4366" i="19" s="1"/>
  <c r="D4367" i="19"/>
  <c r="F4367" i="19" s="1"/>
  <c r="D4368" i="19"/>
  <c r="F4368" i="19" s="1"/>
  <c r="D4369" i="19"/>
  <c r="F4369" i="19" s="1"/>
  <c r="D4370" i="19"/>
  <c r="F4370" i="19" s="1"/>
  <c r="D4371" i="19"/>
  <c r="F4371" i="19" s="1"/>
  <c r="D4372" i="19"/>
  <c r="F4372" i="19" s="1"/>
  <c r="D4373" i="19"/>
  <c r="F4373" i="19" s="1"/>
  <c r="D4374" i="19"/>
  <c r="F4374" i="19" s="1"/>
  <c r="D4375" i="19"/>
  <c r="F4375" i="19" s="1"/>
  <c r="D4376" i="19"/>
  <c r="F4376" i="19" s="1"/>
  <c r="D4377" i="19"/>
  <c r="F4377" i="19" s="1"/>
  <c r="D4378" i="19"/>
  <c r="F4378" i="19" s="1"/>
  <c r="D4379" i="19"/>
  <c r="F4379" i="19" s="1"/>
  <c r="D4380" i="19"/>
  <c r="F4380" i="19" s="1"/>
  <c r="D4381" i="19"/>
  <c r="F4381" i="19" s="1"/>
  <c r="D4382" i="19"/>
  <c r="F4382" i="19" s="1"/>
  <c r="D4383" i="19"/>
  <c r="F4383" i="19" s="1"/>
  <c r="D4384" i="19"/>
  <c r="F4384" i="19" s="1"/>
  <c r="D4385" i="19"/>
  <c r="F4385" i="19" s="1"/>
  <c r="D4386" i="19"/>
  <c r="F4386" i="19" s="1"/>
  <c r="D4387" i="19"/>
  <c r="F4387" i="19" s="1"/>
  <c r="D4388" i="19"/>
  <c r="F4388" i="19" s="1"/>
  <c r="D4389" i="19"/>
  <c r="F4389" i="19" s="1"/>
  <c r="D4390" i="19"/>
  <c r="F4390" i="19" s="1"/>
  <c r="D4391" i="19"/>
  <c r="F4391" i="19" s="1"/>
  <c r="D4392" i="19"/>
  <c r="F4392" i="19" s="1"/>
  <c r="D4393" i="19"/>
  <c r="F4393" i="19" s="1"/>
  <c r="D4394" i="19"/>
  <c r="F4394" i="19" s="1"/>
  <c r="D4395" i="19"/>
  <c r="F4395" i="19" s="1"/>
  <c r="D4396" i="19"/>
  <c r="F4396" i="19" s="1"/>
  <c r="D4397" i="19"/>
  <c r="F4397" i="19" s="1"/>
  <c r="D4398" i="19"/>
  <c r="F4398" i="19" s="1"/>
  <c r="D4399" i="19"/>
  <c r="F4399" i="19" s="1"/>
  <c r="D4400" i="19"/>
  <c r="F4400" i="19" s="1"/>
  <c r="D4401" i="19"/>
  <c r="F4401" i="19" s="1"/>
  <c r="D4402" i="19"/>
  <c r="F4402" i="19" s="1"/>
  <c r="D4403" i="19"/>
  <c r="F4403" i="19" s="1"/>
  <c r="D4404" i="19"/>
  <c r="F4404" i="19" s="1"/>
  <c r="D4405" i="19"/>
  <c r="F4405" i="19" s="1"/>
  <c r="D4406" i="19"/>
  <c r="F4406" i="19" s="1"/>
  <c r="D4407" i="19"/>
  <c r="F4407" i="19" s="1"/>
  <c r="D4408" i="19"/>
  <c r="F4408" i="19" s="1"/>
  <c r="D4409" i="19"/>
  <c r="F4409" i="19" s="1"/>
  <c r="D4410" i="19"/>
  <c r="F4410" i="19" s="1"/>
  <c r="D4411" i="19"/>
  <c r="F4411" i="19" s="1"/>
  <c r="D4412" i="19"/>
  <c r="F4412" i="19" s="1"/>
  <c r="D4413" i="19"/>
  <c r="F4413" i="19" s="1"/>
  <c r="D4414" i="19"/>
  <c r="F4414" i="19" s="1"/>
  <c r="D4415" i="19"/>
  <c r="F4415" i="19" s="1"/>
  <c r="D4416" i="19"/>
  <c r="F4416" i="19" s="1"/>
  <c r="D4417" i="19"/>
  <c r="F4417" i="19" s="1"/>
  <c r="D4418" i="19"/>
  <c r="F4418" i="19" s="1"/>
  <c r="D4419" i="19"/>
  <c r="F4419" i="19" s="1"/>
  <c r="D4420" i="19"/>
  <c r="F4420" i="19" s="1"/>
  <c r="D4421" i="19"/>
  <c r="F4421" i="19" s="1"/>
  <c r="D4422" i="19"/>
  <c r="F4422" i="19" s="1"/>
  <c r="D4423" i="19"/>
  <c r="F4423" i="19" s="1"/>
  <c r="D4424" i="19"/>
  <c r="F4424" i="19" s="1"/>
  <c r="D4425" i="19"/>
  <c r="F4425" i="19" s="1"/>
  <c r="D4426" i="19"/>
  <c r="F4426" i="19" s="1"/>
  <c r="D4427" i="19"/>
  <c r="F4427" i="19" s="1"/>
  <c r="D4428" i="19"/>
  <c r="F4428" i="19" s="1"/>
  <c r="D4429" i="19"/>
  <c r="F4429" i="19" s="1"/>
  <c r="D4430" i="19"/>
  <c r="F4430" i="19" s="1"/>
  <c r="D4431" i="19"/>
  <c r="F4431" i="19" s="1"/>
  <c r="D4432" i="19"/>
  <c r="F4432" i="19" s="1"/>
  <c r="D4433" i="19"/>
  <c r="F4433" i="19" s="1"/>
  <c r="D4434" i="19"/>
  <c r="F4434" i="19" s="1"/>
  <c r="D4435" i="19"/>
  <c r="F4435" i="19" s="1"/>
  <c r="D4436" i="19"/>
  <c r="F4436" i="19" s="1"/>
  <c r="D4437" i="19"/>
  <c r="F4437" i="19" s="1"/>
  <c r="D4438" i="19"/>
  <c r="F4438" i="19" s="1"/>
  <c r="D4439" i="19"/>
  <c r="F4439" i="19" s="1"/>
  <c r="D4440" i="19"/>
  <c r="F4440" i="19" s="1"/>
  <c r="D4441" i="19"/>
  <c r="F4441" i="19" s="1"/>
  <c r="D4442" i="19"/>
  <c r="F4442" i="19" s="1"/>
  <c r="D4443" i="19"/>
  <c r="F4443" i="19" s="1"/>
  <c r="D4444" i="19"/>
  <c r="F4444" i="19" s="1"/>
  <c r="D4445" i="19"/>
  <c r="F4445" i="19" s="1"/>
  <c r="D4446" i="19"/>
  <c r="F4446" i="19" s="1"/>
  <c r="D4447" i="19"/>
  <c r="F4447" i="19" s="1"/>
  <c r="D4448" i="19"/>
  <c r="F4448" i="19" s="1"/>
  <c r="D4449" i="19"/>
  <c r="F4449" i="19" s="1"/>
  <c r="D4450" i="19"/>
  <c r="F4450" i="19" s="1"/>
  <c r="D4451" i="19"/>
  <c r="F4451" i="19" s="1"/>
  <c r="D4452" i="19"/>
  <c r="F4452" i="19" s="1"/>
  <c r="D4453" i="19"/>
  <c r="F4453" i="19" s="1"/>
  <c r="D4454" i="19"/>
  <c r="F4454" i="19" s="1"/>
  <c r="D4455" i="19"/>
  <c r="F4455" i="19" s="1"/>
  <c r="D4456" i="19"/>
  <c r="F4456" i="19" s="1"/>
  <c r="D4457" i="19"/>
  <c r="F4457" i="19" s="1"/>
  <c r="D4458" i="19"/>
  <c r="F4458" i="19" s="1"/>
  <c r="D4459" i="19"/>
  <c r="F4459" i="19" s="1"/>
  <c r="D4460" i="19"/>
  <c r="F4460" i="19" s="1"/>
  <c r="D4461" i="19"/>
  <c r="F4461" i="19" s="1"/>
  <c r="D4462" i="19"/>
  <c r="F4462" i="19" s="1"/>
  <c r="D4463" i="19"/>
  <c r="F4463" i="19" s="1"/>
  <c r="D4464" i="19"/>
  <c r="F4464" i="19" s="1"/>
  <c r="D4465" i="19"/>
  <c r="F4465" i="19" s="1"/>
  <c r="D4466" i="19"/>
  <c r="F4466" i="19" s="1"/>
  <c r="D4467" i="19"/>
  <c r="F4467" i="19" s="1"/>
  <c r="D4468" i="19"/>
  <c r="F4468" i="19" s="1"/>
  <c r="D4469" i="19"/>
  <c r="F4469" i="19" s="1"/>
  <c r="D4470" i="19"/>
  <c r="F4470" i="19" s="1"/>
  <c r="D4471" i="19"/>
  <c r="F4471" i="19" s="1"/>
  <c r="D4472" i="19"/>
  <c r="F4472" i="19" s="1"/>
  <c r="D4473" i="19"/>
  <c r="F4473" i="19" s="1"/>
  <c r="D4474" i="19"/>
  <c r="F4474" i="19" s="1"/>
  <c r="D4475" i="19"/>
  <c r="F4475" i="19" s="1"/>
  <c r="D4476" i="19"/>
  <c r="F4476" i="19" s="1"/>
  <c r="D4477" i="19"/>
  <c r="F4477" i="19" s="1"/>
  <c r="D4478" i="19"/>
  <c r="F4478" i="19" s="1"/>
  <c r="D4479" i="19"/>
  <c r="F4479" i="19" s="1"/>
  <c r="D4480" i="19"/>
  <c r="F4480" i="19" s="1"/>
  <c r="D4481" i="19"/>
  <c r="F4481" i="19" s="1"/>
  <c r="D4482" i="19"/>
  <c r="F4482" i="19" s="1"/>
  <c r="D4483" i="19"/>
  <c r="F4483" i="19" s="1"/>
  <c r="D4484" i="19"/>
  <c r="F4484" i="19" s="1"/>
  <c r="D4485" i="19"/>
  <c r="F4485" i="19" s="1"/>
  <c r="D4486" i="19"/>
  <c r="F4486" i="19" s="1"/>
  <c r="D4487" i="19"/>
  <c r="F4487" i="19" s="1"/>
  <c r="D4488" i="19"/>
  <c r="F4488" i="19" s="1"/>
  <c r="D4489" i="19"/>
  <c r="F4489" i="19" s="1"/>
  <c r="D4490" i="19"/>
  <c r="F4490" i="19" s="1"/>
  <c r="D4491" i="19"/>
  <c r="F4491" i="19" s="1"/>
  <c r="D4492" i="19"/>
  <c r="F4492" i="19" s="1"/>
  <c r="D4493" i="19"/>
  <c r="F4493" i="19" s="1"/>
  <c r="D4494" i="19"/>
  <c r="F4494" i="19" s="1"/>
  <c r="D4495" i="19"/>
  <c r="F4495" i="19" s="1"/>
  <c r="D4496" i="19"/>
  <c r="F4496" i="19" s="1"/>
  <c r="D4497" i="19"/>
  <c r="F4497" i="19" s="1"/>
  <c r="D4498" i="19"/>
  <c r="F4498" i="19" s="1"/>
  <c r="D4499" i="19"/>
  <c r="F4499" i="19" s="1"/>
  <c r="D4500" i="19"/>
  <c r="F4500" i="19" s="1"/>
  <c r="D4501" i="19"/>
  <c r="F4501" i="19" s="1"/>
  <c r="D4502" i="19"/>
  <c r="F4502" i="19" s="1"/>
  <c r="D4503" i="19"/>
  <c r="F4503" i="19" s="1"/>
  <c r="D4504" i="19"/>
  <c r="F4504" i="19" s="1"/>
  <c r="D4505" i="19"/>
  <c r="F4505" i="19" s="1"/>
  <c r="D4506" i="19"/>
  <c r="F4506" i="19" s="1"/>
  <c r="D4507" i="19"/>
  <c r="F4507" i="19" s="1"/>
  <c r="D4508" i="19"/>
  <c r="F4508" i="19" s="1"/>
  <c r="D4509" i="19"/>
  <c r="F4509" i="19" s="1"/>
  <c r="D4510" i="19"/>
  <c r="F4510" i="19" s="1"/>
  <c r="D4511" i="19"/>
  <c r="F4511" i="19" s="1"/>
  <c r="D4512" i="19"/>
  <c r="F4512" i="19" s="1"/>
  <c r="D4513" i="19"/>
  <c r="F4513" i="19" s="1"/>
  <c r="D4514" i="19"/>
  <c r="F4514" i="19" s="1"/>
  <c r="D4515" i="19"/>
  <c r="F4515" i="19" s="1"/>
  <c r="D4516" i="19"/>
  <c r="F4516" i="19" s="1"/>
  <c r="D4517" i="19"/>
  <c r="F4517" i="19" s="1"/>
  <c r="D4518" i="19"/>
  <c r="F4518" i="19" s="1"/>
  <c r="D4519" i="19"/>
  <c r="F4519" i="19" s="1"/>
  <c r="D4520" i="19"/>
  <c r="F4520" i="19" s="1"/>
  <c r="D4521" i="19"/>
  <c r="F4521" i="19" s="1"/>
  <c r="D4522" i="19"/>
  <c r="F4522" i="19" s="1"/>
  <c r="D4523" i="19"/>
  <c r="F4523" i="19" s="1"/>
  <c r="D4524" i="19"/>
  <c r="F4524" i="19" s="1"/>
  <c r="D4525" i="19"/>
  <c r="F4525" i="19" s="1"/>
  <c r="D4526" i="19"/>
  <c r="F4526" i="19" s="1"/>
  <c r="D4527" i="19"/>
  <c r="F4527" i="19" s="1"/>
  <c r="D4528" i="19"/>
  <c r="F4528" i="19" s="1"/>
  <c r="D4529" i="19"/>
  <c r="F4529" i="19" s="1"/>
  <c r="D4530" i="19"/>
  <c r="F4530" i="19" s="1"/>
  <c r="D4531" i="19"/>
  <c r="F4531" i="19" s="1"/>
  <c r="D4532" i="19"/>
  <c r="F4532" i="19" s="1"/>
  <c r="D4533" i="19"/>
  <c r="F4533" i="19" s="1"/>
  <c r="D4534" i="19"/>
  <c r="F4534" i="19" s="1"/>
  <c r="D4535" i="19"/>
  <c r="F4535" i="19" s="1"/>
  <c r="D4536" i="19"/>
  <c r="F4536" i="19" s="1"/>
  <c r="D4537" i="19"/>
  <c r="F4537" i="19" s="1"/>
  <c r="D4538" i="19"/>
  <c r="F4538" i="19" s="1"/>
  <c r="D4539" i="19"/>
  <c r="F4539" i="19" s="1"/>
  <c r="D4540" i="19"/>
  <c r="F4540" i="19" s="1"/>
  <c r="D4541" i="19"/>
  <c r="F4541" i="19" s="1"/>
  <c r="D4542" i="19"/>
  <c r="F4542" i="19" s="1"/>
  <c r="D4543" i="19"/>
  <c r="F4543" i="19" s="1"/>
  <c r="D4544" i="19"/>
  <c r="F4544" i="19" s="1"/>
  <c r="D4545" i="19"/>
  <c r="F4545" i="19" s="1"/>
  <c r="D4546" i="19"/>
  <c r="F4546" i="19" s="1"/>
  <c r="D4547" i="19"/>
  <c r="F4547" i="19" s="1"/>
  <c r="D4548" i="19"/>
  <c r="F4548" i="19" s="1"/>
  <c r="D4549" i="19"/>
  <c r="F4549" i="19" s="1"/>
  <c r="D4550" i="19"/>
  <c r="F4550" i="19" s="1"/>
  <c r="D4551" i="19"/>
  <c r="F4551" i="19" s="1"/>
  <c r="D4552" i="19"/>
  <c r="F4552" i="19" s="1"/>
  <c r="D4553" i="19"/>
  <c r="F4553" i="19" s="1"/>
  <c r="D4554" i="19"/>
  <c r="F4554" i="19" s="1"/>
  <c r="D4555" i="19"/>
  <c r="F4555" i="19" s="1"/>
  <c r="D4556" i="19"/>
  <c r="F4556" i="19" s="1"/>
  <c r="D4557" i="19"/>
  <c r="F4557" i="19" s="1"/>
  <c r="D4558" i="19"/>
  <c r="F4558" i="19" s="1"/>
  <c r="D4559" i="19"/>
  <c r="F4559" i="19" s="1"/>
  <c r="D4560" i="19"/>
  <c r="F4560" i="19" s="1"/>
  <c r="D4561" i="19"/>
  <c r="F4561" i="19" s="1"/>
  <c r="D4562" i="19"/>
  <c r="F4562" i="19" s="1"/>
  <c r="D2" i="19"/>
  <c r="F2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A369" i="19" s="1"/>
  <c r="A370" i="19" s="1"/>
  <c r="A371" i="19" s="1"/>
  <c r="A372" i="19" s="1"/>
  <c r="A373" i="19" s="1"/>
  <c r="A374" i="19" s="1"/>
  <c r="A375" i="19" s="1"/>
  <c r="A376" i="19" s="1"/>
  <c r="A377" i="19" s="1"/>
  <c r="A378" i="19" s="1"/>
  <c r="A379" i="19" s="1"/>
  <c r="A380" i="19" s="1"/>
  <c r="A381" i="19" s="1"/>
  <c r="A382" i="19" s="1"/>
  <c r="A383" i="19" s="1"/>
  <c r="A384" i="19" s="1"/>
  <c r="A385" i="19" s="1"/>
  <c r="A386" i="19" s="1"/>
  <c r="A387" i="19" s="1"/>
  <c r="A388" i="19" s="1"/>
  <c r="A389" i="19" s="1"/>
  <c r="A390" i="19" s="1"/>
  <c r="A391" i="19" s="1"/>
  <c r="A392" i="19" s="1"/>
  <c r="A393" i="19" s="1"/>
  <c r="A394" i="19" s="1"/>
  <c r="A395" i="19" s="1"/>
  <c r="A396" i="19" s="1"/>
  <c r="A397" i="19" s="1"/>
  <c r="A398" i="19" s="1"/>
  <c r="A399" i="19" s="1"/>
  <c r="A400" i="19" s="1"/>
  <c r="A401" i="19" s="1"/>
  <c r="A402" i="19" s="1"/>
  <c r="A403" i="19" s="1"/>
  <c r="A404" i="19" s="1"/>
  <c r="A405" i="19" s="1"/>
  <c r="A406" i="19" s="1"/>
  <c r="A407" i="19" s="1"/>
  <c r="A408" i="19" s="1"/>
  <c r="A409" i="19" s="1"/>
  <c r="A410" i="19" s="1"/>
  <c r="A411" i="19" s="1"/>
  <c r="A412" i="19" s="1"/>
  <c r="A413" i="19" s="1"/>
  <c r="A414" i="19" s="1"/>
  <c r="A415" i="19" s="1"/>
  <c r="A416" i="19" s="1"/>
  <c r="A417" i="19" s="1"/>
  <c r="A418" i="19" s="1"/>
  <c r="A419" i="19" s="1"/>
  <c r="A420" i="19" s="1"/>
  <c r="A421" i="19" s="1"/>
  <c r="A422" i="19" s="1"/>
  <c r="A423" i="19" s="1"/>
  <c r="A424" i="19" s="1"/>
  <c r="A425" i="19" s="1"/>
  <c r="A426" i="19" s="1"/>
  <c r="A427" i="19" s="1"/>
  <c r="A428" i="19" s="1"/>
  <c r="A429" i="19" s="1"/>
  <c r="A430" i="19" s="1"/>
  <c r="A431" i="19" s="1"/>
  <c r="A432" i="19" s="1"/>
  <c r="A433" i="19" s="1"/>
  <c r="A434" i="19" s="1"/>
  <c r="A435" i="19" s="1"/>
  <c r="A436" i="19" s="1"/>
  <c r="A437" i="19" s="1"/>
  <c r="A438" i="19" s="1"/>
  <c r="A439" i="19" s="1"/>
  <c r="A440" i="19" s="1"/>
  <c r="A441" i="19" s="1"/>
  <c r="A442" i="19" s="1"/>
  <c r="A443" i="19" s="1"/>
  <c r="A444" i="19" s="1"/>
  <c r="A445" i="19" s="1"/>
  <c r="A446" i="19" s="1"/>
  <c r="A447" i="19" s="1"/>
  <c r="A448" i="19" s="1"/>
  <c r="A449" i="19" s="1"/>
  <c r="A450" i="19" s="1"/>
  <c r="A451" i="19" s="1"/>
  <c r="A452" i="19" s="1"/>
  <c r="A453" i="19" s="1"/>
  <c r="A454" i="19" s="1"/>
  <c r="A455" i="19" s="1"/>
  <c r="A456" i="19" s="1"/>
  <c r="A457" i="19" s="1"/>
  <c r="A458" i="19" s="1"/>
  <c r="A459" i="19" s="1"/>
  <c r="A460" i="19" s="1"/>
  <c r="A461" i="19" s="1"/>
  <c r="A462" i="19" s="1"/>
  <c r="A463" i="19" s="1"/>
  <c r="A464" i="19" s="1"/>
  <c r="A465" i="19" s="1"/>
  <c r="A466" i="19" s="1"/>
  <c r="A467" i="19" s="1"/>
  <c r="A468" i="19" s="1"/>
  <c r="A469" i="19" s="1"/>
  <c r="A470" i="19" s="1"/>
  <c r="A471" i="19" s="1"/>
  <c r="A472" i="19" s="1"/>
  <c r="A473" i="19" s="1"/>
  <c r="A474" i="19" s="1"/>
  <c r="A475" i="19" s="1"/>
  <c r="A476" i="19" s="1"/>
  <c r="A477" i="19" s="1"/>
  <c r="A478" i="19" s="1"/>
  <c r="A479" i="19" s="1"/>
  <c r="A480" i="19" s="1"/>
  <c r="A481" i="19" s="1"/>
  <c r="A482" i="19" s="1"/>
  <c r="A483" i="19" s="1"/>
  <c r="A484" i="19" s="1"/>
  <c r="A485" i="19" s="1"/>
  <c r="A486" i="19" s="1"/>
  <c r="A487" i="19" s="1"/>
  <c r="A488" i="19" s="1"/>
  <c r="A489" i="19" s="1"/>
  <c r="A490" i="19" s="1"/>
  <c r="A491" i="19" s="1"/>
  <c r="A492" i="19" s="1"/>
  <c r="A493" i="19" s="1"/>
  <c r="A494" i="19" s="1"/>
  <c r="A495" i="19" s="1"/>
  <c r="A496" i="19" s="1"/>
  <c r="A497" i="19" s="1"/>
  <c r="A498" i="19" s="1"/>
  <c r="A499" i="19" s="1"/>
  <c r="A500" i="19" s="1"/>
  <c r="A501" i="19" s="1"/>
  <c r="A502" i="19" s="1"/>
  <c r="A503" i="19" s="1"/>
  <c r="A504" i="19" s="1"/>
  <c r="A505" i="19" s="1"/>
  <c r="A506" i="19" s="1"/>
  <c r="A507" i="19" s="1"/>
  <c r="A508" i="19" s="1"/>
  <c r="A509" i="19" s="1"/>
  <c r="A510" i="19" s="1"/>
  <c r="A511" i="19" s="1"/>
  <c r="A512" i="19" s="1"/>
  <c r="A513" i="19" s="1"/>
  <c r="A514" i="19" s="1"/>
  <c r="A515" i="19" s="1"/>
  <c r="A516" i="19" s="1"/>
  <c r="A517" i="19" s="1"/>
  <c r="A518" i="19" s="1"/>
  <c r="A519" i="19" s="1"/>
  <c r="A520" i="19" s="1"/>
  <c r="A521" i="19" s="1"/>
  <c r="A522" i="19" s="1"/>
  <c r="A523" i="19" s="1"/>
  <c r="A524" i="19" s="1"/>
  <c r="A525" i="19" s="1"/>
  <c r="A526" i="19" s="1"/>
  <c r="A527" i="19" s="1"/>
  <c r="A528" i="19" s="1"/>
  <c r="A529" i="19" s="1"/>
  <c r="A530" i="19" s="1"/>
  <c r="A531" i="19" s="1"/>
  <c r="A532" i="19" s="1"/>
  <c r="A533" i="19" s="1"/>
  <c r="A534" i="19" s="1"/>
  <c r="A535" i="19" s="1"/>
  <c r="A536" i="19" s="1"/>
  <c r="A537" i="19" s="1"/>
  <c r="A538" i="19" s="1"/>
  <c r="A539" i="19" s="1"/>
  <c r="A540" i="19" s="1"/>
  <c r="A541" i="19" s="1"/>
  <c r="A542" i="19" s="1"/>
  <c r="A543" i="19" s="1"/>
  <c r="A544" i="19" s="1"/>
  <c r="A545" i="19" s="1"/>
  <c r="A546" i="19" s="1"/>
  <c r="A547" i="19" s="1"/>
  <c r="A548" i="19" s="1"/>
  <c r="A549" i="19" s="1"/>
  <c r="A550" i="19" s="1"/>
  <c r="A551" i="19" s="1"/>
  <c r="A552" i="19" s="1"/>
  <c r="A553" i="19" s="1"/>
  <c r="A554" i="19" s="1"/>
  <c r="A555" i="19" s="1"/>
  <c r="A556" i="19" s="1"/>
  <c r="A557" i="19" s="1"/>
  <c r="A558" i="19" s="1"/>
  <c r="A559" i="19" s="1"/>
  <c r="A560" i="19" s="1"/>
  <c r="A561" i="19" s="1"/>
  <c r="A562" i="19" s="1"/>
  <c r="A563" i="19" s="1"/>
  <c r="A564" i="19" s="1"/>
  <c r="A565" i="19" s="1"/>
  <c r="A566" i="19" s="1"/>
  <c r="A567" i="19" s="1"/>
  <c r="A568" i="19" s="1"/>
  <c r="A569" i="19" s="1"/>
  <c r="A570" i="19" s="1"/>
  <c r="A571" i="19" s="1"/>
  <c r="A572" i="19" s="1"/>
  <c r="A573" i="19" s="1"/>
  <c r="A574" i="19" s="1"/>
  <c r="A575" i="19" s="1"/>
  <c r="A576" i="19" s="1"/>
  <c r="A577" i="19" s="1"/>
  <c r="A578" i="19" s="1"/>
  <c r="A579" i="19" s="1"/>
  <c r="A580" i="19" s="1"/>
  <c r="A581" i="19" s="1"/>
  <c r="A582" i="19" s="1"/>
  <c r="A583" i="19" s="1"/>
  <c r="A584" i="19" s="1"/>
  <c r="A585" i="19" s="1"/>
  <c r="A586" i="19" s="1"/>
  <c r="A587" i="19" s="1"/>
  <c r="A588" i="19" s="1"/>
  <c r="A589" i="19" s="1"/>
  <c r="A590" i="19" s="1"/>
  <c r="A591" i="19" s="1"/>
  <c r="A592" i="19" s="1"/>
  <c r="A593" i="19" s="1"/>
  <c r="A594" i="19" s="1"/>
  <c r="A595" i="19" s="1"/>
  <c r="A596" i="19" s="1"/>
  <c r="A597" i="19" s="1"/>
  <c r="A598" i="19" s="1"/>
  <c r="A599" i="19" s="1"/>
  <c r="A600" i="19" s="1"/>
  <c r="A601" i="19" s="1"/>
  <c r="A602" i="19" s="1"/>
  <c r="A603" i="19" s="1"/>
  <c r="A604" i="19" s="1"/>
  <c r="A605" i="19" s="1"/>
  <c r="A606" i="19" s="1"/>
  <c r="A607" i="19" s="1"/>
  <c r="A608" i="19" s="1"/>
  <c r="A609" i="19" s="1"/>
  <c r="A610" i="19" s="1"/>
  <c r="A611" i="19" s="1"/>
  <c r="A612" i="19" s="1"/>
  <c r="A613" i="19" s="1"/>
  <c r="A614" i="19" s="1"/>
  <c r="A615" i="19" s="1"/>
  <c r="A616" i="19" s="1"/>
  <c r="A617" i="19" s="1"/>
  <c r="A618" i="19" s="1"/>
  <c r="A619" i="19" s="1"/>
  <c r="A620" i="19" s="1"/>
  <c r="A621" i="19" s="1"/>
  <c r="A622" i="19" s="1"/>
  <c r="A623" i="19" s="1"/>
  <c r="A624" i="19" s="1"/>
  <c r="A625" i="19" s="1"/>
  <c r="A626" i="19" s="1"/>
  <c r="A627" i="19" s="1"/>
  <c r="A628" i="19" s="1"/>
  <c r="A629" i="19" s="1"/>
  <c r="A630" i="19" s="1"/>
  <c r="A631" i="19" s="1"/>
  <c r="A632" i="19" s="1"/>
  <c r="A633" i="19" s="1"/>
  <c r="A634" i="19" s="1"/>
  <c r="A635" i="19" s="1"/>
  <c r="A636" i="19" s="1"/>
  <c r="A637" i="19" s="1"/>
  <c r="A638" i="19" s="1"/>
  <c r="A639" i="19" s="1"/>
  <c r="A640" i="19" s="1"/>
  <c r="A641" i="19" s="1"/>
  <c r="A642" i="19" s="1"/>
  <c r="A643" i="19" s="1"/>
  <c r="A644" i="19" s="1"/>
  <c r="A645" i="19" s="1"/>
  <c r="A646" i="19" s="1"/>
  <c r="A647" i="19" s="1"/>
  <c r="A648" i="19" s="1"/>
  <c r="A649" i="19" s="1"/>
  <c r="A650" i="19" s="1"/>
  <c r="A651" i="19" s="1"/>
  <c r="A652" i="19" s="1"/>
  <c r="A653" i="19" s="1"/>
  <c r="A654" i="19" s="1"/>
  <c r="A655" i="19" s="1"/>
  <c r="A656" i="19" s="1"/>
  <c r="A657" i="19" s="1"/>
  <c r="A658" i="19" s="1"/>
  <c r="A659" i="19" s="1"/>
  <c r="A660" i="19" s="1"/>
  <c r="A661" i="19" s="1"/>
  <c r="A662" i="19" s="1"/>
  <c r="A663" i="19" s="1"/>
  <c r="A664" i="19" s="1"/>
  <c r="A665" i="19" s="1"/>
  <c r="A666" i="19" s="1"/>
  <c r="A667" i="19" s="1"/>
  <c r="A668" i="19" s="1"/>
  <c r="A669" i="19" s="1"/>
  <c r="A670" i="19" s="1"/>
  <c r="A671" i="19" s="1"/>
  <c r="A672" i="19" s="1"/>
  <c r="A673" i="19" s="1"/>
  <c r="A674" i="19" s="1"/>
  <c r="A675" i="19" s="1"/>
  <c r="A676" i="19" s="1"/>
  <c r="A677" i="19" s="1"/>
  <c r="A678" i="19" s="1"/>
  <c r="A679" i="19" s="1"/>
  <c r="A680" i="19" s="1"/>
  <c r="A681" i="19" s="1"/>
  <c r="A682" i="19" s="1"/>
  <c r="A683" i="19" s="1"/>
  <c r="A684" i="19" s="1"/>
  <c r="A685" i="19" s="1"/>
  <c r="A686" i="19" s="1"/>
  <c r="A687" i="19" s="1"/>
  <c r="A688" i="19" s="1"/>
  <c r="A689" i="19" s="1"/>
  <c r="A690" i="19" s="1"/>
  <c r="A691" i="19" s="1"/>
  <c r="A692" i="19" s="1"/>
  <c r="A693" i="19" s="1"/>
  <c r="A694" i="19" s="1"/>
  <c r="A695" i="19" s="1"/>
  <c r="A696" i="19" s="1"/>
  <c r="A697" i="19" s="1"/>
  <c r="A698" i="19" s="1"/>
  <c r="A699" i="19" s="1"/>
  <c r="A700" i="19" s="1"/>
  <c r="A701" i="19" s="1"/>
  <c r="A702" i="19" s="1"/>
  <c r="A703" i="19" s="1"/>
  <c r="A704" i="19" s="1"/>
  <c r="A705" i="19" s="1"/>
  <c r="A706" i="19" s="1"/>
  <c r="A707" i="19" s="1"/>
  <c r="A708" i="19" s="1"/>
  <c r="A709" i="19" s="1"/>
  <c r="A710" i="19" s="1"/>
  <c r="A711" i="19" s="1"/>
  <c r="A712" i="19" s="1"/>
  <c r="A713" i="19" s="1"/>
  <c r="A714" i="19" s="1"/>
  <c r="A715" i="19" s="1"/>
  <c r="A716" i="19" s="1"/>
  <c r="A717" i="19" s="1"/>
  <c r="A718" i="19" s="1"/>
  <c r="A719" i="19" s="1"/>
  <c r="A720" i="19" s="1"/>
  <c r="A721" i="19" s="1"/>
  <c r="A722" i="19" s="1"/>
  <c r="A723" i="19" s="1"/>
  <c r="A724" i="19" s="1"/>
  <c r="A725" i="19" s="1"/>
  <c r="A726" i="19" s="1"/>
  <c r="A727" i="19" s="1"/>
  <c r="A728" i="19" s="1"/>
  <c r="A729" i="19" s="1"/>
  <c r="A730" i="19" s="1"/>
  <c r="A731" i="19" s="1"/>
  <c r="A732" i="19" s="1"/>
  <c r="A733" i="19" s="1"/>
  <c r="A734" i="19" s="1"/>
  <c r="A735" i="19" s="1"/>
  <c r="A736" i="19" s="1"/>
  <c r="A737" i="19" s="1"/>
  <c r="A738" i="19" s="1"/>
  <c r="A739" i="19" s="1"/>
  <c r="A740" i="19" s="1"/>
  <c r="A741" i="19" s="1"/>
  <c r="A742" i="19" s="1"/>
  <c r="A743" i="19" s="1"/>
  <c r="A744" i="19" s="1"/>
  <c r="A745" i="19" s="1"/>
  <c r="A746" i="19" s="1"/>
  <c r="A747" i="19" s="1"/>
  <c r="A748" i="19" s="1"/>
  <c r="A749" i="19" s="1"/>
  <c r="A750" i="19" s="1"/>
  <c r="A751" i="19" s="1"/>
  <c r="A752" i="19" s="1"/>
  <c r="A753" i="19" s="1"/>
  <c r="A754" i="19" s="1"/>
  <c r="A755" i="19" s="1"/>
  <c r="A756" i="19" s="1"/>
  <c r="A757" i="19" s="1"/>
  <c r="A758" i="19" s="1"/>
  <c r="A759" i="19" s="1"/>
  <c r="A760" i="19" s="1"/>
  <c r="A761" i="19" s="1"/>
  <c r="A762" i="19" s="1"/>
  <c r="A763" i="19" s="1"/>
  <c r="A764" i="19" s="1"/>
  <c r="A765" i="19" s="1"/>
  <c r="A766" i="19" s="1"/>
  <c r="A767" i="19" s="1"/>
  <c r="A768" i="19" s="1"/>
  <c r="A769" i="19" s="1"/>
  <c r="A770" i="19" s="1"/>
  <c r="A771" i="19" s="1"/>
  <c r="A772" i="19" s="1"/>
  <c r="A773" i="19" s="1"/>
  <c r="A774" i="19" s="1"/>
  <c r="A775" i="19" s="1"/>
  <c r="A776" i="19" s="1"/>
  <c r="A777" i="19" s="1"/>
  <c r="A778" i="19" s="1"/>
  <c r="A779" i="19" s="1"/>
  <c r="A780" i="19" s="1"/>
  <c r="A781" i="19" s="1"/>
  <c r="A782" i="19" s="1"/>
  <c r="A783" i="19" s="1"/>
  <c r="A784" i="19" s="1"/>
  <c r="A785" i="19" s="1"/>
  <c r="A786" i="19" s="1"/>
  <c r="A787" i="19" s="1"/>
  <c r="A788" i="19" s="1"/>
  <c r="A789" i="19" s="1"/>
  <c r="A790" i="19" s="1"/>
  <c r="A791" i="19" s="1"/>
  <c r="A792" i="19" s="1"/>
  <c r="A793" i="19" s="1"/>
  <c r="A794" i="19" s="1"/>
  <c r="A795" i="19" s="1"/>
  <c r="A796" i="19" s="1"/>
  <c r="A797" i="19" s="1"/>
  <c r="A798" i="19" s="1"/>
  <c r="A799" i="19" s="1"/>
  <c r="A800" i="19" s="1"/>
  <c r="A801" i="19" s="1"/>
  <c r="A802" i="19" s="1"/>
  <c r="A803" i="19" s="1"/>
  <c r="A804" i="19" s="1"/>
  <c r="A805" i="19" s="1"/>
  <c r="A806" i="19" s="1"/>
  <c r="A807" i="19" s="1"/>
  <c r="A808" i="19" s="1"/>
  <c r="A809" i="19" s="1"/>
  <c r="A810" i="19" s="1"/>
  <c r="A811" i="19" s="1"/>
  <c r="A812" i="19" s="1"/>
  <c r="A813" i="19" s="1"/>
  <c r="A814" i="19" s="1"/>
  <c r="A815" i="19" s="1"/>
  <c r="A816" i="19" s="1"/>
  <c r="A817" i="19" s="1"/>
  <c r="A818" i="19" s="1"/>
  <c r="A819" i="19" s="1"/>
  <c r="A820" i="19" s="1"/>
  <c r="A821" i="19" s="1"/>
  <c r="A822" i="19" s="1"/>
  <c r="A823" i="19" s="1"/>
  <c r="A824" i="19" s="1"/>
  <c r="A825" i="19" s="1"/>
  <c r="A826" i="19" s="1"/>
  <c r="A827" i="19" s="1"/>
  <c r="A828" i="19" s="1"/>
  <c r="A829" i="19" s="1"/>
  <c r="A830" i="19" s="1"/>
  <c r="A831" i="19" s="1"/>
  <c r="A832" i="19" s="1"/>
  <c r="A833" i="19" s="1"/>
  <c r="A834" i="19" s="1"/>
  <c r="A835" i="19" s="1"/>
  <c r="A836" i="19" s="1"/>
  <c r="A837" i="19" s="1"/>
  <c r="A838" i="19" s="1"/>
  <c r="A839" i="19" s="1"/>
  <c r="A840" i="19" s="1"/>
  <c r="A841" i="19" s="1"/>
  <c r="A842" i="19" s="1"/>
  <c r="A843" i="19" s="1"/>
  <c r="A844" i="19" s="1"/>
  <c r="A845" i="19" s="1"/>
  <c r="A846" i="19" s="1"/>
  <c r="A847" i="19" s="1"/>
  <c r="A848" i="19" s="1"/>
  <c r="A849" i="19" s="1"/>
  <c r="A850" i="19" s="1"/>
  <c r="A851" i="19" s="1"/>
  <c r="A852" i="19" s="1"/>
  <c r="A853" i="19" s="1"/>
  <c r="A854" i="19" s="1"/>
  <c r="A855" i="19" s="1"/>
  <c r="A856" i="19" s="1"/>
  <c r="A857" i="19" s="1"/>
  <c r="A858" i="19" s="1"/>
  <c r="A859" i="19" s="1"/>
  <c r="A860" i="19" s="1"/>
  <c r="A861" i="19" s="1"/>
  <c r="A862" i="19" s="1"/>
  <c r="A863" i="19" s="1"/>
  <c r="A864" i="19" s="1"/>
  <c r="A865" i="19" s="1"/>
  <c r="A866" i="19" s="1"/>
  <c r="A867" i="19" s="1"/>
  <c r="A868" i="19" s="1"/>
  <c r="A869" i="19" s="1"/>
  <c r="A870" i="19" s="1"/>
  <c r="A871" i="19" s="1"/>
  <c r="A872" i="19" s="1"/>
  <c r="A873" i="19" s="1"/>
  <c r="A874" i="19" s="1"/>
  <c r="A875" i="19" s="1"/>
  <c r="A876" i="19" s="1"/>
  <c r="A877" i="19" s="1"/>
  <c r="A878" i="19" s="1"/>
  <c r="A879" i="19" s="1"/>
  <c r="A880" i="19" s="1"/>
  <c r="A881" i="19" s="1"/>
  <c r="A882" i="19" s="1"/>
  <c r="A883" i="19" s="1"/>
  <c r="A884" i="19" s="1"/>
  <c r="A885" i="19" s="1"/>
  <c r="A886" i="19" s="1"/>
  <c r="A887" i="19" s="1"/>
  <c r="A888" i="19" s="1"/>
  <c r="A889" i="19" s="1"/>
  <c r="A890" i="19" s="1"/>
  <c r="A891" i="19" s="1"/>
  <c r="A892" i="19" s="1"/>
  <c r="A893" i="19" s="1"/>
  <c r="A894" i="19" s="1"/>
  <c r="A895" i="19" s="1"/>
  <c r="A896" i="19" s="1"/>
  <c r="A897" i="19" s="1"/>
  <c r="A898" i="19" s="1"/>
  <c r="A899" i="19" s="1"/>
  <c r="A900" i="19" s="1"/>
  <c r="A901" i="19" s="1"/>
  <c r="A902" i="19" s="1"/>
  <c r="A903" i="19" s="1"/>
  <c r="A904" i="19" s="1"/>
  <c r="A905" i="19" s="1"/>
  <c r="A906" i="19" s="1"/>
  <c r="A907" i="19" s="1"/>
  <c r="A908" i="19" s="1"/>
  <c r="A909" i="19" s="1"/>
  <c r="A910" i="19" s="1"/>
  <c r="A911" i="19" s="1"/>
  <c r="A912" i="19" s="1"/>
  <c r="A913" i="19" s="1"/>
  <c r="A914" i="19" s="1"/>
  <c r="A915" i="19" s="1"/>
  <c r="A916" i="19" s="1"/>
  <c r="A917" i="19" s="1"/>
  <c r="A918" i="19" s="1"/>
  <c r="A919" i="19" s="1"/>
  <c r="A920" i="19" s="1"/>
  <c r="A921" i="19" s="1"/>
  <c r="A922" i="19" s="1"/>
  <c r="A923" i="19" s="1"/>
  <c r="A924" i="19" s="1"/>
  <c r="A925" i="19" s="1"/>
  <c r="A926" i="19" s="1"/>
  <c r="A927" i="19" s="1"/>
  <c r="A928" i="19" s="1"/>
  <c r="A929" i="19" s="1"/>
  <c r="A930" i="19" s="1"/>
  <c r="A931" i="19" s="1"/>
  <c r="A932" i="19" s="1"/>
  <c r="A933" i="19" s="1"/>
  <c r="A934" i="19" s="1"/>
  <c r="A935" i="19" s="1"/>
  <c r="A936" i="19" s="1"/>
  <c r="A937" i="19" s="1"/>
  <c r="A938" i="19" s="1"/>
  <c r="A939" i="19" s="1"/>
  <c r="A940" i="19" s="1"/>
  <c r="A941" i="19" s="1"/>
  <c r="A942" i="19" s="1"/>
  <c r="A943" i="19" s="1"/>
  <c r="A944" i="19" s="1"/>
  <c r="A945" i="19" s="1"/>
  <c r="A946" i="19" s="1"/>
  <c r="A947" i="19" s="1"/>
  <c r="A948" i="19" s="1"/>
  <c r="A949" i="19" s="1"/>
  <c r="A950" i="19" s="1"/>
  <c r="A951" i="19" s="1"/>
  <c r="A952" i="19" s="1"/>
  <c r="A953" i="19" s="1"/>
  <c r="A954" i="19" s="1"/>
  <c r="A955" i="19" s="1"/>
  <c r="A956" i="19" s="1"/>
  <c r="A957" i="19" s="1"/>
  <c r="A958" i="19" s="1"/>
  <c r="A959" i="19" s="1"/>
  <c r="A960" i="19" s="1"/>
  <c r="A961" i="19" s="1"/>
  <c r="A962" i="19" s="1"/>
  <c r="A963" i="19" s="1"/>
  <c r="A964" i="19" s="1"/>
  <c r="A965" i="19" s="1"/>
  <c r="A966" i="19" s="1"/>
  <c r="A967" i="19" s="1"/>
  <c r="A968" i="19" s="1"/>
  <c r="A969" i="19" s="1"/>
  <c r="A970" i="19" s="1"/>
  <c r="A971" i="19" s="1"/>
  <c r="A972" i="19" s="1"/>
  <c r="A973" i="19" s="1"/>
  <c r="A974" i="19" s="1"/>
  <c r="A975" i="19" s="1"/>
  <c r="A976" i="19" s="1"/>
  <c r="A977" i="19" s="1"/>
  <c r="A978" i="19" s="1"/>
  <c r="A979" i="19" s="1"/>
  <c r="A980" i="19" s="1"/>
  <c r="A981" i="19" s="1"/>
  <c r="A982" i="19" s="1"/>
  <c r="A983" i="19" s="1"/>
  <c r="A984" i="19" s="1"/>
  <c r="A985" i="19" s="1"/>
  <c r="A986" i="19" s="1"/>
  <c r="A987" i="19" s="1"/>
  <c r="A988" i="19" s="1"/>
  <c r="A989" i="19" s="1"/>
  <c r="A990" i="19" s="1"/>
  <c r="A991" i="19" s="1"/>
  <c r="A992" i="19" s="1"/>
  <c r="A993" i="19" s="1"/>
  <c r="A994" i="19" s="1"/>
  <c r="A995" i="19" s="1"/>
  <c r="A996" i="19" s="1"/>
  <c r="A997" i="19" s="1"/>
  <c r="A998" i="19" s="1"/>
  <c r="A999" i="19" s="1"/>
  <c r="A1000" i="19" s="1"/>
  <c r="A1001" i="19" s="1"/>
  <c r="A1002" i="19" s="1"/>
  <c r="A1003" i="19" s="1"/>
  <c r="A1004" i="19" s="1"/>
  <c r="A1005" i="19" s="1"/>
  <c r="A1006" i="19" s="1"/>
  <c r="A1007" i="19" s="1"/>
  <c r="A1008" i="19" s="1"/>
  <c r="A1009" i="19" s="1"/>
  <c r="A1010" i="19" s="1"/>
  <c r="A1011" i="19" s="1"/>
  <c r="A1012" i="19" s="1"/>
  <c r="A1013" i="19" s="1"/>
  <c r="A1014" i="19" s="1"/>
  <c r="A1015" i="19" s="1"/>
  <c r="A1016" i="19" s="1"/>
  <c r="A1017" i="19" s="1"/>
  <c r="A1018" i="19" s="1"/>
  <c r="A1019" i="19" s="1"/>
  <c r="A1020" i="19" s="1"/>
  <c r="A1021" i="19" s="1"/>
  <c r="A1022" i="19" s="1"/>
  <c r="A1023" i="19" s="1"/>
  <c r="A1024" i="19" s="1"/>
  <c r="A1025" i="19" s="1"/>
  <c r="A1026" i="19" s="1"/>
  <c r="A1027" i="19" s="1"/>
  <c r="A1028" i="19" s="1"/>
  <c r="A1029" i="19" s="1"/>
  <c r="A1030" i="19" s="1"/>
  <c r="A1031" i="19" s="1"/>
  <c r="A1032" i="19" s="1"/>
  <c r="A1033" i="19" s="1"/>
  <c r="A1034" i="19" s="1"/>
  <c r="A1035" i="19" s="1"/>
  <c r="A1036" i="19" s="1"/>
  <c r="A1037" i="19" s="1"/>
  <c r="A1038" i="19" s="1"/>
  <c r="A1039" i="19" s="1"/>
  <c r="A1040" i="19" s="1"/>
  <c r="A1041" i="19" s="1"/>
  <c r="A1042" i="19" s="1"/>
  <c r="A1043" i="19" s="1"/>
  <c r="A1044" i="19" s="1"/>
  <c r="A1045" i="19" s="1"/>
  <c r="A1046" i="19" s="1"/>
  <c r="A1047" i="19" s="1"/>
  <c r="A1048" i="19" s="1"/>
  <c r="A1049" i="19" s="1"/>
  <c r="A1050" i="19" s="1"/>
  <c r="A1051" i="19" s="1"/>
  <c r="A1052" i="19" s="1"/>
  <c r="A1053" i="19" s="1"/>
  <c r="A1054" i="19" s="1"/>
  <c r="A1055" i="19" s="1"/>
  <c r="A1056" i="19" s="1"/>
  <c r="A1057" i="19" s="1"/>
  <c r="A1058" i="19" s="1"/>
  <c r="A1059" i="19" s="1"/>
  <c r="A1060" i="19" s="1"/>
  <c r="A1061" i="19" s="1"/>
  <c r="A1062" i="19" s="1"/>
  <c r="A1063" i="19" s="1"/>
  <c r="A1064" i="19" s="1"/>
  <c r="A1065" i="19" s="1"/>
  <c r="A1066" i="19" s="1"/>
  <c r="A1067" i="19" s="1"/>
  <c r="A1068" i="19" s="1"/>
  <c r="A1069" i="19" s="1"/>
  <c r="A1070" i="19" s="1"/>
  <c r="A1071" i="19" s="1"/>
  <c r="A1072" i="19" s="1"/>
  <c r="A1073" i="19" s="1"/>
  <c r="A1074" i="19" s="1"/>
  <c r="A1075" i="19" s="1"/>
  <c r="A1076" i="19" s="1"/>
  <c r="A1077" i="19" s="1"/>
  <c r="A1078" i="19" s="1"/>
  <c r="A1079" i="19" s="1"/>
  <c r="A1080" i="19" s="1"/>
  <c r="A1081" i="19" s="1"/>
  <c r="A1082" i="19" s="1"/>
  <c r="A1083" i="19" s="1"/>
  <c r="A1084" i="19" s="1"/>
  <c r="A1085" i="19" s="1"/>
  <c r="A1086" i="19" s="1"/>
  <c r="A1087" i="19" s="1"/>
  <c r="A1088" i="19" s="1"/>
  <c r="A1089" i="19" s="1"/>
  <c r="A1090" i="19" s="1"/>
  <c r="A1091" i="19" s="1"/>
  <c r="A1092" i="19" s="1"/>
  <c r="A1093" i="19" s="1"/>
  <c r="A1094" i="19" s="1"/>
  <c r="A1095" i="19" s="1"/>
  <c r="A1096" i="19" s="1"/>
  <c r="A1097" i="19" s="1"/>
  <c r="A1098" i="19" s="1"/>
  <c r="A1099" i="19" s="1"/>
  <c r="A1100" i="19" s="1"/>
  <c r="A1101" i="19" s="1"/>
  <c r="A1102" i="19" s="1"/>
  <c r="A1103" i="19" s="1"/>
  <c r="A1104" i="19" s="1"/>
  <c r="A1105" i="19" s="1"/>
  <c r="A1106" i="19" s="1"/>
  <c r="A1107" i="19" s="1"/>
  <c r="A1108" i="19" s="1"/>
  <c r="A1109" i="19" s="1"/>
  <c r="A1110" i="19" s="1"/>
  <c r="A1111" i="19" s="1"/>
  <c r="A1112" i="19" s="1"/>
  <c r="A1113" i="19" s="1"/>
  <c r="A1114" i="19" s="1"/>
  <c r="A1115" i="19" s="1"/>
  <c r="A1116" i="19" s="1"/>
  <c r="A1117" i="19" s="1"/>
  <c r="A1118" i="19" s="1"/>
  <c r="A1119" i="19" s="1"/>
  <c r="A1120" i="19" s="1"/>
  <c r="A1121" i="19" s="1"/>
  <c r="A1122" i="19" s="1"/>
  <c r="A1123" i="19" s="1"/>
  <c r="A1124" i="19" s="1"/>
  <c r="A1125" i="19" s="1"/>
  <c r="A1126" i="19" s="1"/>
  <c r="A1127" i="19" s="1"/>
  <c r="A1128" i="19" s="1"/>
  <c r="A1129" i="19" s="1"/>
  <c r="A1130" i="19" s="1"/>
  <c r="A1131" i="19" s="1"/>
  <c r="A1132" i="19" s="1"/>
  <c r="A1133" i="19" s="1"/>
  <c r="A1134" i="19" s="1"/>
  <c r="A1135" i="19" s="1"/>
  <c r="A1136" i="19" s="1"/>
  <c r="A1137" i="19" s="1"/>
  <c r="A1138" i="19" s="1"/>
  <c r="A1139" i="19" s="1"/>
  <c r="A1140" i="19" s="1"/>
  <c r="A1141" i="19" s="1"/>
  <c r="A1142" i="19" s="1"/>
  <c r="A1143" i="19" s="1"/>
  <c r="A1144" i="19" s="1"/>
  <c r="A1145" i="19" s="1"/>
  <c r="A1146" i="19" s="1"/>
  <c r="A1147" i="19" s="1"/>
  <c r="A1148" i="19" s="1"/>
  <c r="A1149" i="19" s="1"/>
  <c r="A1150" i="19" s="1"/>
  <c r="A1151" i="19" s="1"/>
  <c r="A1152" i="19" s="1"/>
  <c r="A1153" i="19" s="1"/>
  <c r="A1154" i="19" s="1"/>
  <c r="A1155" i="19" s="1"/>
  <c r="A1156" i="19" s="1"/>
  <c r="A1157" i="19" s="1"/>
  <c r="A1158" i="19" s="1"/>
  <c r="A1159" i="19" s="1"/>
  <c r="A1160" i="19" s="1"/>
  <c r="A1161" i="19" s="1"/>
  <c r="A1162" i="19" s="1"/>
  <c r="A1163" i="19" s="1"/>
  <c r="A1164" i="19" s="1"/>
  <c r="A1165" i="19" s="1"/>
  <c r="A1166" i="19" s="1"/>
  <c r="A1167" i="19" s="1"/>
  <c r="A1168" i="19" s="1"/>
  <c r="A1169" i="19" s="1"/>
  <c r="A1170" i="19" s="1"/>
  <c r="A1171" i="19" s="1"/>
  <c r="A1172" i="19" s="1"/>
  <c r="A1173" i="19" s="1"/>
  <c r="A1174" i="19" s="1"/>
  <c r="A1175" i="19" s="1"/>
  <c r="A1176" i="19" s="1"/>
  <c r="A1177" i="19" s="1"/>
  <c r="A1178" i="19" s="1"/>
  <c r="A1179" i="19" s="1"/>
  <c r="A1180" i="19" s="1"/>
  <c r="A1181" i="19" s="1"/>
  <c r="A1182" i="19" s="1"/>
  <c r="A1183" i="19" s="1"/>
  <c r="A1184" i="19" s="1"/>
  <c r="A1185" i="19" s="1"/>
  <c r="A1186" i="19" s="1"/>
  <c r="A1187" i="19" s="1"/>
  <c r="A1188" i="19" s="1"/>
  <c r="A1189" i="19" s="1"/>
  <c r="A1190" i="19" s="1"/>
  <c r="A1191" i="19" s="1"/>
  <c r="A1192" i="19" s="1"/>
  <c r="A1193" i="19" s="1"/>
  <c r="A1194" i="19" s="1"/>
  <c r="A1195" i="19" s="1"/>
  <c r="A1196" i="19" s="1"/>
  <c r="A1197" i="19" s="1"/>
  <c r="A1198" i="19" s="1"/>
  <c r="A1199" i="19" s="1"/>
  <c r="A1200" i="19" s="1"/>
  <c r="A1201" i="19" s="1"/>
  <c r="A1202" i="19" s="1"/>
  <c r="A1203" i="19" s="1"/>
  <c r="A1204" i="19" s="1"/>
  <c r="A1205" i="19" s="1"/>
  <c r="A1206" i="19" s="1"/>
  <c r="A1207" i="19" s="1"/>
  <c r="A1208" i="19" s="1"/>
  <c r="A1209" i="19" s="1"/>
  <c r="A1210" i="19" s="1"/>
  <c r="A1211" i="19" s="1"/>
  <c r="A1212" i="19" s="1"/>
  <c r="A1213" i="19" s="1"/>
  <c r="A1214" i="19" s="1"/>
  <c r="A1215" i="19" s="1"/>
  <c r="A1216" i="19" s="1"/>
  <c r="A1217" i="19" s="1"/>
  <c r="A1218" i="19" s="1"/>
  <c r="A1219" i="19" s="1"/>
  <c r="A1220" i="19" s="1"/>
  <c r="A1221" i="19" s="1"/>
  <c r="A1222" i="19" s="1"/>
  <c r="A1223" i="19" s="1"/>
  <c r="A1224" i="19" s="1"/>
  <c r="A1225" i="19" s="1"/>
  <c r="A1226" i="19" s="1"/>
  <c r="A1227" i="19" s="1"/>
  <c r="A1228" i="19" s="1"/>
  <c r="A1229" i="19" s="1"/>
  <c r="A1230" i="19" s="1"/>
  <c r="A1231" i="19" s="1"/>
  <c r="A1232" i="19" s="1"/>
  <c r="A1233" i="19" s="1"/>
  <c r="A1234" i="19" s="1"/>
  <c r="A1235" i="19" s="1"/>
  <c r="A1236" i="19" s="1"/>
  <c r="A1237" i="19" s="1"/>
  <c r="A1238" i="19" s="1"/>
  <c r="A1239" i="19" s="1"/>
  <c r="A1240" i="19" s="1"/>
  <c r="A1241" i="19" s="1"/>
  <c r="A1242" i="19" s="1"/>
  <c r="A1243" i="19" s="1"/>
  <c r="A1244" i="19" s="1"/>
  <c r="A1245" i="19" s="1"/>
  <c r="A1246" i="19" s="1"/>
  <c r="A1247" i="19" s="1"/>
  <c r="A1248" i="19" s="1"/>
  <c r="A1249" i="19" s="1"/>
  <c r="A1250" i="19" s="1"/>
  <c r="A1251" i="19" s="1"/>
  <c r="A1252" i="19" s="1"/>
  <c r="A1253" i="19" s="1"/>
  <c r="A1254" i="19" s="1"/>
  <c r="A1255" i="19" s="1"/>
  <c r="A1256" i="19" s="1"/>
  <c r="A1257" i="19" s="1"/>
  <c r="A1258" i="19" s="1"/>
  <c r="A1259" i="19" s="1"/>
  <c r="A1260" i="19" s="1"/>
  <c r="A1261" i="19" s="1"/>
  <c r="A1262" i="19" s="1"/>
  <c r="A1263" i="19" s="1"/>
  <c r="A1264" i="19" s="1"/>
  <c r="A1265" i="19" s="1"/>
  <c r="A1266" i="19" s="1"/>
  <c r="A1267" i="19" s="1"/>
  <c r="A1268" i="19" s="1"/>
  <c r="A1269" i="19" s="1"/>
  <c r="A1270" i="19" s="1"/>
  <c r="A1271" i="19" s="1"/>
  <c r="A1272" i="19" s="1"/>
  <c r="A1273" i="19" s="1"/>
  <c r="A1274" i="19" s="1"/>
  <c r="A1275" i="19" s="1"/>
  <c r="A1276" i="19" s="1"/>
  <c r="A1277" i="19" s="1"/>
  <c r="A1278" i="19" s="1"/>
  <c r="A1279" i="19" s="1"/>
  <c r="A1280" i="19" s="1"/>
  <c r="A1281" i="19" s="1"/>
  <c r="A1282" i="19" s="1"/>
  <c r="A1283" i="19" s="1"/>
  <c r="A1284" i="19" s="1"/>
  <c r="A1285" i="19" s="1"/>
  <c r="A1286" i="19" s="1"/>
  <c r="A1287" i="19" s="1"/>
  <c r="A1288" i="19" s="1"/>
  <c r="A1289" i="19" s="1"/>
  <c r="A1290" i="19" s="1"/>
  <c r="A1291" i="19" s="1"/>
  <c r="A1292" i="19" s="1"/>
  <c r="A1293" i="19" s="1"/>
  <c r="A1294" i="19" s="1"/>
  <c r="A1295" i="19" s="1"/>
  <c r="A1296" i="19" s="1"/>
  <c r="A1297" i="19" s="1"/>
  <c r="A1298" i="19" s="1"/>
  <c r="A1299" i="19" s="1"/>
  <c r="A1300" i="19" s="1"/>
  <c r="A1301" i="19" s="1"/>
  <c r="A1302" i="19" s="1"/>
  <c r="A1303" i="19" s="1"/>
  <c r="A1304" i="19" s="1"/>
  <c r="A1305" i="19" s="1"/>
  <c r="A1306" i="19" s="1"/>
  <c r="A1307" i="19" s="1"/>
  <c r="A1308" i="19" s="1"/>
  <c r="A1309" i="19" s="1"/>
  <c r="A1310" i="19" s="1"/>
  <c r="A1311" i="19" s="1"/>
  <c r="A1312" i="19" s="1"/>
  <c r="A1313" i="19" s="1"/>
  <c r="A1314" i="19" s="1"/>
  <c r="A1315" i="19" s="1"/>
  <c r="A1316" i="19" s="1"/>
  <c r="A1317" i="19" s="1"/>
  <c r="A1318" i="19" s="1"/>
  <c r="A1319" i="19" s="1"/>
  <c r="A1320" i="19" s="1"/>
  <c r="A1321" i="19" s="1"/>
  <c r="A1322" i="19" s="1"/>
  <c r="A1323" i="19" s="1"/>
  <c r="A1324" i="19" s="1"/>
  <c r="A1325" i="19" s="1"/>
  <c r="A1326" i="19" s="1"/>
  <c r="A1327" i="19" s="1"/>
  <c r="A1328" i="19" s="1"/>
  <c r="A1329" i="19" s="1"/>
  <c r="A1330" i="19" s="1"/>
  <c r="A1331" i="19" s="1"/>
  <c r="A1332" i="19" s="1"/>
  <c r="A1333" i="19" s="1"/>
  <c r="A1334" i="19" s="1"/>
  <c r="A1335" i="19" s="1"/>
  <c r="A1336" i="19" s="1"/>
  <c r="A1337" i="19" s="1"/>
  <c r="A1338" i="19" s="1"/>
  <c r="A1339" i="19" s="1"/>
  <c r="A1340" i="19" s="1"/>
  <c r="A1341" i="19" s="1"/>
  <c r="A1342" i="19" s="1"/>
  <c r="A1343" i="19" s="1"/>
  <c r="A1344" i="19" s="1"/>
  <c r="A1345" i="19" s="1"/>
  <c r="A1346" i="19" s="1"/>
  <c r="A1347" i="19" s="1"/>
  <c r="A1348" i="19" s="1"/>
  <c r="A1349" i="19" s="1"/>
  <c r="A1350" i="19" s="1"/>
  <c r="A1351" i="19" s="1"/>
  <c r="A1352" i="19" s="1"/>
  <c r="A1353" i="19" s="1"/>
  <c r="A1354" i="19" s="1"/>
  <c r="A1355" i="19" s="1"/>
  <c r="A1356" i="19" s="1"/>
  <c r="A1357" i="19" s="1"/>
  <c r="A1358" i="19" s="1"/>
  <c r="A1359" i="19" s="1"/>
  <c r="A1360" i="19" s="1"/>
  <c r="A1361" i="19" s="1"/>
  <c r="A1362" i="19" s="1"/>
  <c r="A1363" i="19" s="1"/>
  <c r="A1364" i="19" s="1"/>
  <c r="A1365" i="19" s="1"/>
  <c r="A1366" i="19" s="1"/>
  <c r="A1367" i="19" s="1"/>
  <c r="A1368" i="19" s="1"/>
  <c r="A1369" i="19" s="1"/>
  <c r="A1370" i="19" s="1"/>
  <c r="A1371" i="19" s="1"/>
  <c r="A1372" i="19" s="1"/>
  <c r="A1373" i="19" s="1"/>
  <c r="A1374" i="19" s="1"/>
  <c r="A1375" i="19" s="1"/>
  <c r="A1376" i="19" s="1"/>
  <c r="A1377" i="19" s="1"/>
  <c r="A1378" i="19" s="1"/>
  <c r="A1379" i="19" s="1"/>
  <c r="A1380" i="19" s="1"/>
  <c r="A1381" i="19" s="1"/>
  <c r="A1382" i="19" s="1"/>
  <c r="A1383" i="19" s="1"/>
  <c r="A1384" i="19" s="1"/>
  <c r="A1385" i="19" s="1"/>
  <c r="A1386" i="19" s="1"/>
  <c r="A1387" i="19" s="1"/>
  <c r="A1388" i="19" s="1"/>
  <c r="A1389" i="19" s="1"/>
  <c r="A1390" i="19" s="1"/>
  <c r="A1391" i="19" s="1"/>
  <c r="A1392" i="19" s="1"/>
  <c r="A1393" i="19" s="1"/>
  <c r="A1394" i="19" s="1"/>
  <c r="A1395" i="19" s="1"/>
  <c r="A1396" i="19" s="1"/>
  <c r="A1397" i="19" s="1"/>
  <c r="A1398" i="19" s="1"/>
  <c r="A1399" i="19" s="1"/>
  <c r="A1400" i="19" s="1"/>
  <c r="A1401" i="19" s="1"/>
  <c r="A1402" i="19" s="1"/>
  <c r="A1403" i="19" s="1"/>
  <c r="A1404" i="19" s="1"/>
  <c r="A1405" i="19" s="1"/>
  <c r="A1406" i="19" s="1"/>
  <c r="A1407" i="19" s="1"/>
  <c r="A1408" i="19" s="1"/>
  <c r="A1409" i="19" s="1"/>
  <c r="A1410" i="19" s="1"/>
  <c r="A1411" i="19" s="1"/>
  <c r="A1412" i="19" s="1"/>
  <c r="A1413" i="19" s="1"/>
  <c r="A1414" i="19" s="1"/>
  <c r="A1415" i="19" s="1"/>
  <c r="A1416" i="19" s="1"/>
  <c r="A1417" i="19" s="1"/>
  <c r="A1418" i="19" s="1"/>
  <c r="A1419" i="19" s="1"/>
  <c r="A1420" i="19" s="1"/>
  <c r="A1421" i="19" s="1"/>
  <c r="A1422" i="19" s="1"/>
  <c r="A1423" i="19" s="1"/>
  <c r="A1424" i="19" s="1"/>
  <c r="A1425" i="19" s="1"/>
  <c r="A1426" i="19" s="1"/>
  <c r="A1427" i="19" s="1"/>
  <c r="A1428" i="19" s="1"/>
  <c r="A1429" i="19" s="1"/>
  <c r="A1430" i="19" s="1"/>
  <c r="A1431" i="19" s="1"/>
  <c r="A1432" i="19" s="1"/>
  <c r="A1433" i="19" s="1"/>
  <c r="A1434" i="19" s="1"/>
  <c r="A1435" i="19" s="1"/>
  <c r="A1436" i="19" s="1"/>
  <c r="A1437" i="19" s="1"/>
  <c r="A1438" i="19" s="1"/>
  <c r="A1439" i="19" s="1"/>
  <c r="A1440" i="19" s="1"/>
  <c r="A1441" i="19" s="1"/>
  <c r="A1442" i="19" s="1"/>
  <c r="A1443" i="19" s="1"/>
  <c r="A1444" i="19" s="1"/>
  <c r="A1445" i="19" s="1"/>
  <c r="A1446" i="19" s="1"/>
  <c r="A1447" i="19" s="1"/>
  <c r="A1448" i="19" s="1"/>
  <c r="A1449" i="19" s="1"/>
  <c r="A1450" i="19" s="1"/>
  <c r="A1451" i="19" s="1"/>
  <c r="A1452" i="19" s="1"/>
  <c r="A1453" i="19" s="1"/>
  <c r="A1454" i="19" s="1"/>
  <c r="A1455" i="19" s="1"/>
  <c r="A1456" i="19" s="1"/>
  <c r="A1457" i="19" s="1"/>
  <c r="A1458" i="19" s="1"/>
  <c r="A1459" i="19" s="1"/>
  <c r="A1460" i="19" s="1"/>
  <c r="A1461" i="19" s="1"/>
  <c r="A1462" i="19" s="1"/>
  <c r="A1463" i="19" s="1"/>
  <c r="A1464" i="19" s="1"/>
  <c r="A1465" i="19" s="1"/>
  <c r="A1466" i="19" s="1"/>
  <c r="A1467" i="19" s="1"/>
  <c r="A1468" i="19" s="1"/>
  <c r="A1469" i="19" s="1"/>
  <c r="A1470" i="19" s="1"/>
  <c r="A1471" i="19" s="1"/>
  <c r="A1472" i="19" s="1"/>
  <c r="A1473" i="19" s="1"/>
  <c r="A1474" i="19" s="1"/>
  <c r="A1475" i="19" s="1"/>
  <c r="A1476" i="19" s="1"/>
  <c r="A1477" i="19" s="1"/>
  <c r="A1478" i="19" s="1"/>
  <c r="A1479" i="19" s="1"/>
  <c r="A1480" i="19" s="1"/>
  <c r="A1481" i="19" s="1"/>
  <c r="A1482" i="19" s="1"/>
  <c r="A1483" i="19" s="1"/>
  <c r="A1484" i="19" s="1"/>
  <c r="A1485" i="19" s="1"/>
  <c r="A1486" i="19" s="1"/>
  <c r="A1487" i="19" s="1"/>
  <c r="A1488" i="19" s="1"/>
  <c r="A1489" i="19" s="1"/>
  <c r="A1490" i="19" s="1"/>
  <c r="A1491" i="19" s="1"/>
  <c r="A1492" i="19" s="1"/>
  <c r="A1493" i="19" s="1"/>
  <c r="A1494" i="19" s="1"/>
  <c r="A1495" i="19" s="1"/>
  <c r="A1496" i="19" s="1"/>
  <c r="A1497" i="19" s="1"/>
  <c r="A1498" i="19" s="1"/>
  <c r="A1499" i="19" s="1"/>
  <c r="A1500" i="19" s="1"/>
  <c r="A1501" i="19" s="1"/>
  <c r="A1502" i="19" s="1"/>
  <c r="A1503" i="19" s="1"/>
  <c r="A1504" i="19" s="1"/>
  <c r="A1505" i="19" s="1"/>
  <c r="A1506" i="19" s="1"/>
  <c r="A1507" i="19" s="1"/>
  <c r="A1508" i="19" s="1"/>
  <c r="A1509" i="19" s="1"/>
  <c r="A1510" i="19" s="1"/>
  <c r="A1511" i="19" s="1"/>
  <c r="A1512" i="19" s="1"/>
  <c r="A1513" i="19" s="1"/>
  <c r="A1514" i="19" s="1"/>
  <c r="A1515" i="19" s="1"/>
  <c r="A1516" i="19" s="1"/>
  <c r="A1517" i="19" s="1"/>
  <c r="A1518" i="19" s="1"/>
  <c r="A1519" i="19" s="1"/>
  <c r="A1520" i="19" s="1"/>
  <c r="A1521" i="19" s="1"/>
  <c r="A1522" i="19" s="1"/>
  <c r="A1523" i="19" s="1"/>
  <c r="A1524" i="19" s="1"/>
  <c r="A1525" i="19" s="1"/>
  <c r="A1526" i="19" s="1"/>
  <c r="A1527" i="19" s="1"/>
  <c r="A1528" i="19" s="1"/>
  <c r="A1529" i="19" s="1"/>
  <c r="A1530" i="19" s="1"/>
  <c r="A1531" i="19" s="1"/>
  <c r="A1532" i="19" s="1"/>
  <c r="A1533" i="19" s="1"/>
  <c r="A1534" i="19" s="1"/>
  <c r="A1535" i="19" s="1"/>
  <c r="A1536" i="19" s="1"/>
  <c r="A1537" i="19" s="1"/>
  <c r="A1538" i="19" s="1"/>
  <c r="A1539" i="19" s="1"/>
  <c r="A1540" i="19" s="1"/>
  <c r="A1541" i="19" s="1"/>
  <c r="A1542" i="19" s="1"/>
  <c r="A1543" i="19" s="1"/>
  <c r="A1544" i="19" s="1"/>
  <c r="A1545" i="19" s="1"/>
  <c r="A1546" i="19" s="1"/>
  <c r="A1547" i="19" s="1"/>
  <c r="A1548" i="19" s="1"/>
  <c r="A1549" i="19" s="1"/>
  <c r="A1550" i="19" s="1"/>
  <c r="A1551" i="19" s="1"/>
  <c r="A1552" i="19" s="1"/>
  <c r="A1553" i="19" s="1"/>
  <c r="A1554" i="19" s="1"/>
  <c r="A1555" i="19" s="1"/>
  <c r="A1556" i="19" s="1"/>
  <c r="A1557" i="19" s="1"/>
  <c r="A1558" i="19" s="1"/>
  <c r="A1559" i="19" s="1"/>
  <c r="A1560" i="19" s="1"/>
  <c r="A1561" i="19" s="1"/>
  <c r="A1562" i="19" s="1"/>
  <c r="A1563" i="19" s="1"/>
  <c r="A1564" i="19" s="1"/>
  <c r="A1565" i="19" s="1"/>
  <c r="A1566" i="19" s="1"/>
  <c r="A1567" i="19" s="1"/>
  <c r="A1568" i="19" s="1"/>
  <c r="A1569" i="19" s="1"/>
  <c r="A1570" i="19" s="1"/>
  <c r="A1571" i="19" s="1"/>
  <c r="A1572" i="19" s="1"/>
  <c r="A1573" i="19" s="1"/>
  <c r="A1574" i="19" s="1"/>
  <c r="A1575" i="19" s="1"/>
  <c r="A1576" i="19" s="1"/>
  <c r="A1577" i="19" s="1"/>
  <c r="A1578" i="19" s="1"/>
  <c r="A1579" i="19" s="1"/>
  <c r="A1580" i="19" s="1"/>
  <c r="A1581" i="19" s="1"/>
  <c r="A1582" i="19" s="1"/>
  <c r="A1583" i="19" s="1"/>
  <c r="A1584" i="19" s="1"/>
  <c r="A1585" i="19" s="1"/>
  <c r="A1586" i="19" s="1"/>
  <c r="A1587" i="19" s="1"/>
  <c r="A1588" i="19" s="1"/>
  <c r="A1589" i="19" s="1"/>
  <c r="A1590" i="19" s="1"/>
  <c r="A1591" i="19" s="1"/>
  <c r="A1592" i="19" s="1"/>
  <c r="A1593" i="19" s="1"/>
  <c r="A1594" i="19" s="1"/>
  <c r="A1595" i="19" s="1"/>
  <c r="A1596" i="19" s="1"/>
  <c r="A1597" i="19" s="1"/>
  <c r="A1598" i="19" s="1"/>
  <c r="A1599" i="19" s="1"/>
  <c r="A1600" i="19" s="1"/>
  <c r="A1601" i="19" s="1"/>
  <c r="A1602" i="19" s="1"/>
  <c r="A1603" i="19" s="1"/>
  <c r="A1604" i="19" s="1"/>
  <c r="A1605" i="19" s="1"/>
  <c r="A1606" i="19" s="1"/>
  <c r="A1607" i="19" s="1"/>
  <c r="A1608" i="19" s="1"/>
  <c r="A1609" i="19" s="1"/>
  <c r="A1610" i="19" s="1"/>
  <c r="A1611" i="19" s="1"/>
  <c r="A1612" i="19" s="1"/>
  <c r="A1613" i="19" s="1"/>
  <c r="A1614" i="19" s="1"/>
  <c r="A1615" i="19" s="1"/>
  <c r="A1616" i="19" s="1"/>
  <c r="A1617" i="19" s="1"/>
  <c r="A1618" i="19" s="1"/>
  <c r="A1619" i="19" s="1"/>
  <c r="A1620" i="19" s="1"/>
  <c r="A1621" i="19" s="1"/>
  <c r="A1622" i="19" s="1"/>
  <c r="A1623" i="19" s="1"/>
  <c r="A1624" i="19" s="1"/>
  <c r="A1625" i="19" s="1"/>
  <c r="A1626" i="19" s="1"/>
  <c r="A1627" i="19" s="1"/>
  <c r="A1628" i="19" s="1"/>
  <c r="A1629" i="19" s="1"/>
  <c r="A1630" i="19" s="1"/>
  <c r="A1631" i="19" s="1"/>
  <c r="A1632" i="19" s="1"/>
  <c r="A1633" i="19" s="1"/>
  <c r="A1634" i="19" s="1"/>
  <c r="A1635" i="19" s="1"/>
  <c r="A1636" i="19" s="1"/>
  <c r="A1637" i="19" s="1"/>
  <c r="A1638" i="19" s="1"/>
  <c r="A1639" i="19" s="1"/>
  <c r="A1640" i="19" s="1"/>
  <c r="A1641" i="19" s="1"/>
  <c r="A1642" i="19" s="1"/>
  <c r="A1643" i="19" s="1"/>
  <c r="A1644" i="19" s="1"/>
  <c r="A1645" i="19" s="1"/>
  <c r="A1646" i="19" s="1"/>
  <c r="A1647" i="19" s="1"/>
  <c r="A1648" i="19" s="1"/>
  <c r="A1649" i="19" s="1"/>
  <c r="A1650" i="19" s="1"/>
  <c r="A1651" i="19" s="1"/>
  <c r="A1652" i="19" s="1"/>
  <c r="A1653" i="19" s="1"/>
  <c r="A1654" i="19" s="1"/>
  <c r="A1655" i="19" s="1"/>
  <c r="A1656" i="19" s="1"/>
  <c r="A1657" i="19" s="1"/>
  <c r="A1658" i="19" s="1"/>
  <c r="A1659" i="19" s="1"/>
  <c r="A1660" i="19" s="1"/>
  <c r="A1661" i="19" s="1"/>
  <c r="A1662" i="19" s="1"/>
  <c r="A1663" i="19" s="1"/>
  <c r="A1664" i="19" s="1"/>
  <c r="A1665" i="19" s="1"/>
  <c r="A1666" i="19" s="1"/>
  <c r="A1667" i="19" s="1"/>
  <c r="A1668" i="19" s="1"/>
  <c r="A1669" i="19" s="1"/>
  <c r="A1670" i="19" s="1"/>
  <c r="A1671" i="19" s="1"/>
  <c r="A1672" i="19" s="1"/>
  <c r="A1673" i="19" s="1"/>
  <c r="A1674" i="19" s="1"/>
  <c r="A1675" i="19" s="1"/>
  <c r="A1676" i="19" s="1"/>
  <c r="A1677" i="19" s="1"/>
  <c r="A1678" i="19" s="1"/>
  <c r="A1679" i="19" s="1"/>
  <c r="A1680" i="19" s="1"/>
  <c r="A1681" i="19" s="1"/>
  <c r="A1682" i="19" s="1"/>
  <c r="A1683" i="19" s="1"/>
  <c r="A1684" i="19" s="1"/>
  <c r="A1685" i="19" s="1"/>
  <c r="A1686" i="19" s="1"/>
  <c r="A1687" i="19" s="1"/>
  <c r="A1688" i="19" s="1"/>
  <c r="A1689" i="19" s="1"/>
  <c r="A1690" i="19" s="1"/>
  <c r="A1691" i="19" s="1"/>
  <c r="A1692" i="19" s="1"/>
  <c r="A1693" i="19" s="1"/>
  <c r="A1694" i="19" s="1"/>
  <c r="A1695" i="19" s="1"/>
  <c r="A1696" i="19" s="1"/>
  <c r="A1697" i="19" s="1"/>
  <c r="A1698" i="19" s="1"/>
  <c r="A1699" i="19" s="1"/>
  <c r="A1700" i="19" s="1"/>
  <c r="A1701" i="19" s="1"/>
  <c r="A1702" i="19" s="1"/>
  <c r="A1703" i="19" s="1"/>
  <c r="A1704" i="19" s="1"/>
  <c r="A1705" i="19" s="1"/>
  <c r="A1706" i="19" s="1"/>
  <c r="A1707" i="19" s="1"/>
  <c r="A1708" i="19" s="1"/>
  <c r="A1709" i="19" s="1"/>
  <c r="A1710" i="19" s="1"/>
  <c r="A1711" i="19" s="1"/>
  <c r="A1712" i="19" s="1"/>
  <c r="A1713" i="19" s="1"/>
  <c r="A1714" i="19" s="1"/>
  <c r="A1715" i="19" s="1"/>
  <c r="A1716" i="19" s="1"/>
  <c r="A1717" i="19" s="1"/>
  <c r="A1718" i="19" s="1"/>
  <c r="A1719" i="19" s="1"/>
  <c r="A1720" i="19" s="1"/>
  <c r="A1721" i="19" s="1"/>
  <c r="A1722" i="19" s="1"/>
  <c r="A1723" i="19" s="1"/>
  <c r="A1724" i="19" s="1"/>
  <c r="A1725" i="19" s="1"/>
  <c r="A1726" i="19" s="1"/>
  <c r="A1727" i="19" s="1"/>
  <c r="A1728" i="19" s="1"/>
  <c r="A1729" i="19" s="1"/>
  <c r="A1730" i="19" s="1"/>
  <c r="A1731" i="19" s="1"/>
  <c r="A1732" i="19" s="1"/>
  <c r="A1733" i="19" s="1"/>
  <c r="A1734" i="19" s="1"/>
  <c r="A1735" i="19" s="1"/>
  <c r="A1736" i="19" s="1"/>
  <c r="A1737" i="19" s="1"/>
  <c r="A1738" i="19" s="1"/>
  <c r="A1739" i="19" s="1"/>
  <c r="A1740" i="19" s="1"/>
  <c r="A1741" i="19" s="1"/>
  <c r="A1742" i="19" s="1"/>
  <c r="A1743" i="19" s="1"/>
  <c r="A1744" i="19" s="1"/>
  <c r="A1745" i="19" s="1"/>
  <c r="A1746" i="19" s="1"/>
  <c r="A1747" i="19" s="1"/>
  <c r="A1748" i="19" s="1"/>
  <c r="A1749" i="19" s="1"/>
  <c r="A1750" i="19" s="1"/>
  <c r="A1751" i="19" s="1"/>
  <c r="A1752" i="19" s="1"/>
  <c r="A1753" i="19" s="1"/>
  <c r="A1754" i="19" s="1"/>
  <c r="A1755" i="19" s="1"/>
  <c r="A1756" i="19" s="1"/>
  <c r="A1757" i="19" s="1"/>
  <c r="A1758" i="19" s="1"/>
  <c r="A1759" i="19" s="1"/>
  <c r="A1760" i="19" s="1"/>
  <c r="A1761" i="19" s="1"/>
  <c r="A1762" i="19" s="1"/>
  <c r="A1763" i="19" s="1"/>
  <c r="A1764" i="19" s="1"/>
  <c r="A1765" i="19" s="1"/>
  <c r="A1766" i="19" s="1"/>
  <c r="A1767" i="19" s="1"/>
  <c r="A1768" i="19" s="1"/>
  <c r="A1769" i="19" s="1"/>
  <c r="A1770" i="19" s="1"/>
  <c r="A1771" i="19" s="1"/>
  <c r="A1772" i="19" s="1"/>
  <c r="A1773" i="19" s="1"/>
  <c r="A1774" i="19" s="1"/>
  <c r="A1775" i="19" s="1"/>
  <c r="A1776" i="19" s="1"/>
  <c r="A1777" i="19" s="1"/>
  <c r="A1778" i="19" s="1"/>
  <c r="A1779" i="19" s="1"/>
  <c r="A1780" i="19" s="1"/>
  <c r="A1781" i="19" s="1"/>
  <c r="A1782" i="19" s="1"/>
  <c r="A1783" i="19" s="1"/>
  <c r="A1784" i="19" s="1"/>
  <c r="A1785" i="19" s="1"/>
  <c r="A1786" i="19" s="1"/>
  <c r="A1787" i="19" s="1"/>
  <c r="A1788" i="19" s="1"/>
  <c r="A1789" i="19" s="1"/>
  <c r="A1790" i="19" s="1"/>
  <c r="A1791" i="19" s="1"/>
  <c r="A1792" i="19" s="1"/>
  <c r="A1793" i="19" s="1"/>
  <c r="A1794" i="19" s="1"/>
  <c r="A1795" i="19" s="1"/>
  <c r="A1796" i="19" s="1"/>
  <c r="A1797" i="19" s="1"/>
  <c r="A1798" i="19" s="1"/>
  <c r="A1799" i="19" s="1"/>
  <c r="A1800" i="19" s="1"/>
  <c r="A1801" i="19" s="1"/>
  <c r="A1802" i="19" s="1"/>
  <c r="A1803" i="19" s="1"/>
  <c r="A1804" i="19" s="1"/>
  <c r="A1805" i="19" s="1"/>
  <c r="A1806" i="19" s="1"/>
  <c r="A1807" i="19" s="1"/>
  <c r="A1808" i="19" s="1"/>
  <c r="A1809" i="19" s="1"/>
  <c r="A1810" i="19" s="1"/>
  <c r="A1811" i="19" s="1"/>
  <c r="A1812" i="19" s="1"/>
  <c r="A1813" i="19" s="1"/>
  <c r="A1814" i="19" s="1"/>
  <c r="A1815" i="19" s="1"/>
  <c r="A1816" i="19" s="1"/>
  <c r="A1817" i="19" s="1"/>
  <c r="A1818" i="19" s="1"/>
  <c r="A1819" i="19" s="1"/>
  <c r="A1820" i="19" s="1"/>
  <c r="A1821" i="19" s="1"/>
  <c r="A1822" i="19" s="1"/>
  <c r="A1823" i="19" s="1"/>
  <c r="A1824" i="19" s="1"/>
  <c r="A1825" i="19" s="1"/>
  <c r="A1826" i="19" s="1"/>
  <c r="A1827" i="19" s="1"/>
  <c r="A1828" i="19" s="1"/>
  <c r="A1829" i="19" s="1"/>
  <c r="A1830" i="19" s="1"/>
  <c r="A1831" i="19" s="1"/>
  <c r="A1832" i="19" s="1"/>
  <c r="A1833" i="19" s="1"/>
  <c r="A1834" i="19" s="1"/>
  <c r="A1835" i="19" s="1"/>
  <c r="A1836" i="19" s="1"/>
  <c r="A1837" i="19" s="1"/>
  <c r="A1838" i="19" s="1"/>
  <c r="A1839" i="19" s="1"/>
  <c r="A1840" i="19" s="1"/>
  <c r="A1841" i="19" s="1"/>
  <c r="A1842" i="19" s="1"/>
  <c r="A1843" i="19" s="1"/>
  <c r="A1844" i="19" s="1"/>
  <c r="A1845" i="19" s="1"/>
  <c r="A1846" i="19" s="1"/>
  <c r="A1847" i="19" s="1"/>
  <c r="A1848" i="19" s="1"/>
  <c r="A1849" i="19" s="1"/>
  <c r="A1850" i="19" s="1"/>
  <c r="A1851" i="19" s="1"/>
  <c r="A1852" i="19" s="1"/>
  <c r="A1853" i="19" s="1"/>
  <c r="A1854" i="19" s="1"/>
  <c r="A1855" i="19" s="1"/>
  <c r="A1856" i="19" s="1"/>
  <c r="A1857" i="19" s="1"/>
  <c r="A1858" i="19" s="1"/>
  <c r="A1859" i="19" s="1"/>
  <c r="A1860" i="19" s="1"/>
  <c r="A1861" i="19" s="1"/>
  <c r="A1862" i="19" s="1"/>
  <c r="A1863" i="19" s="1"/>
  <c r="A1864" i="19" s="1"/>
  <c r="A1865" i="19" s="1"/>
  <c r="A1866" i="19" s="1"/>
  <c r="A1867" i="19" s="1"/>
  <c r="A1868" i="19" s="1"/>
  <c r="A1869" i="19" s="1"/>
  <c r="A1870" i="19" s="1"/>
  <c r="A1871" i="19" s="1"/>
  <c r="A1872" i="19" s="1"/>
  <c r="A1873" i="19" s="1"/>
  <c r="A1874" i="19" s="1"/>
  <c r="A1875" i="19" s="1"/>
  <c r="A1876" i="19" s="1"/>
  <c r="A1877" i="19" s="1"/>
  <c r="A1878" i="19" s="1"/>
  <c r="A1879" i="19" s="1"/>
  <c r="A1880" i="19" s="1"/>
  <c r="A1881" i="19" s="1"/>
  <c r="A1882" i="19" s="1"/>
  <c r="A1883" i="19" s="1"/>
  <c r="A1884" i="19" s="1"/>
  <c r="A1885" i="19" s="1"/>
  <c r="A1886" i="19" s="1"/>
  <c r="A1887" i="19" s="1"/>
  <c r="A1888" i="19" s="1"/>
  <c r="A1889" i="19" s="1"/>
  <c r="A1890" i="19" s="1"/>
  <c r="A1891" i="19" s="1"/>
  <c r="A1892" i="19" s="1"/>
  <c r="A1893" i="19" s="1"/>
  <c r="A1894" i="19" s="1"/>
  <c r="A1895" i="19" s="1"/>
  <c r="A1896" i="19" s="1"/>
  <c r="A1897" i="19" s="1"/>
  <c r="A1898" i="19" s="1"/>
  <c r="A1899" i="19" s="1"/>
  <c r="A1900" i="19" s="1"/>
  <c r="A1901" i="19" s="1"/>
  <c r="A1902" i="19" s="1"/>
  <c r="A1903" i="19" s="1"/>
  <c r="A1904" i="19" s="1"/>
  <c r="A1905" i="19" s="1"/>
  <c r="A1906" i="19" s="1"/>
  <c r="A1907" i="19" s="1"/>
  <c r="A1908" i="19" s="1"/>
  <c r="A1909" i="19" s="1"/>
  <c r="A1910" i="19" s="1"/>
  <c r="A1911" i="19" s="1"/>
  <c r="A1912" i="19" s="1"/>
  <c r="A1913" i="19" s="1"/>
  <c r="A1914" i="19" s="1"/>
  <c r="A1915" i="19" s="1"/>
  <c r="A1916" i="19" s="1"/>
  <c r="A1917" i="19" s="1"/>
  <c r="A1918" i="19" s="1"/>
  <c r="A1919" i="19" s="1"/>
  <c r="A1920" i="19" s="1"/>
  <c r="A1921" i="19" s="1"/>
  <c r="A1922" i="19" s="1"/>
  <c r="A1923" i="19" s="1"/>
  <c r="A1924" i="19" s="1"/>
  <c r="A1925" i="19" s="1"/>
  <c r="A1926" i="19" s="1"/>
  <c r="A1927" i="19" s="1"/>
  <c r="A1928" i="19" s="1"/>
  <c r="A1929" i="19" s="1"/>
  <c r="A1930" i="19" s="1"/>
  <c r="A1931" i="19" s="1"/>
  <c r="A1932" i="19" s="1"/>
  <c r="A1933" i="19" s="1"/>
  <c r="A1934" i="19" s="1"/>
  <c r="A1935" i="19" s="1"/>
  <c r="A1936" i="19" s="1"/>
  <c r="A1937" i="19" s="1"/>
  <c r="A1938" i="19" s="1"/>
  <c r="A1939" i="19" s="1"/>
  <c r="A1940" i="19" s="1"/>
  <c r="A1941" i="19" s="1"/>
  <c r="A1942" i="19" s="1"/>
  <c r="A1943" i="19" s="1"/>
  <c r="A1944" i="19" s="1"/>
  <c r="A1945" i="19" s="1"/>
  <c r="A1946" i="19" s="1"/>
  <c r="A1947" i="19" s="1"/>
  <c r="A1948" i="19" s="1"/>
  <c r="A1949" i="19" s="1"/>
  <c r="A1950" i="19" s="1"/>
  <c r="A1951" i="19" s="1"/>
  <c r="A1952" i="19" s="1"/>
  <c r="A1953" i="19" s="1"/>
  <c r="A1954" i="19" s="1"/>
  <c r="A1955" i="19" s="1"/>
  <c r="A1956" i="19" s="1"/>
  <c r="A1957" i="19" s="1"/>
  <c r="A1958" i="19" s="1"/>
  <c r="A1959" i="19" s="1"/>
  <c r="A1960" i="19" s="1"/>
  <c r="A1961" i="19" s="1"/>
  <c r="A1962" i="19" s="1"/>
  <c r="A1963" i="19" s="1"/>
  <c r="A1964" i="19" s="1"/>
  <c r="A1965" i="19" s="1"/>
  <c r="A1966" i="19" s="1"/>
  <c r="A1967" i="19" s="1"/>
  <c r="A1968" i="19" s="1"/>
  <c r="A1969" i="19" s="1"/>
  <c r="A1970" i="19" s="1"/>
  <c r="A1971" i="19" s="1"/>
  <c r="A1972" i="19" s="1"/>
  <c r="A1973" i="19" s="1"/>
  <c r="A1974" i="19" s="1"/>
  <c r="A1975" i="19" s="1"/>
  <c r="A1976" i="19" s="1"/>
  <c r="A1977" i="19" s="1"/>
  <c r="A1978" i="19" s="1"/>
  <c r="A1979" i="19" s="1"/>
  <c r="A1980" i="19" s="1"/>
  <c r="A1981" i="19" s="1"/>
  <c r="A1982" i="19" s="1"/>
  <c r="A1983" i="19" s="1"/>
  <c r="A1984" i="19" s="1"/>
  <c r="A1985" i="19" s="1"/>
  <c r="A1986" i="19" s="1"/>
  <c r="A1987" i="19" s="1"/>
  <c r="A1988" i="19" s="1"/>
  <c r="A1989" i="19" s="1"/>
  <c r="A1990" i="19" s="1"/>
  <c r="A1991" i="19" s="1"/>
  <c r="A1992" i="19" s="1"/>
  <c r="A1993" i="19" s="1"/>
  <c r="A1994" i="19" s="1"/>
  <c r="A1995" i="19" s="1"/>
  <c r="A1996" i="19" s="1"/>
  <c r="A1997" i="19" s="1"/>
  <c r="A1998" i="19" s="1"/>
  <c r="A1999" i="19" s="1"/>
  <c r="A2000" i="19" s="1"/>
  <c r="A2001" i="19" s="1"/>
  <c r="A2002" i="19" s="1"/>
  <c r="A2003" i="19" s="1"/>
  <c r="A2004" i="19" s="1"/>
  <c r="A2005" i="19" s="1"/>
  <c r="A2006" i="19" s="1"/>
  <c r="A2007" i="19" s="1"/>
  <c r="A2008" i="19" s="1"/>
  <c r="A2009" i="19" s="1"/>
  <c r="A2010" i="19" s="1"/>
  <c r="A2011" i="19" s="1"/>
  <c r="A2012" i="19" s="1"/>
  <c r="A2013" i="19" s="1"/>
  <c r="A2014" i="19" s="1"/>
  <c r="A2015" i="19" s="1"/>
  <c r="A2016" i="19" s="1"/>
  <c r="A2017" i="19" s="1"/>
  <c r="A2018" i="19" s="1"/>
  <c r="A2019" i="19" s="1"/>
  <c r="A2020" i="19" s="1"/>
  <c r="A2021" i="19" s="1"/>
  <c r="A2022" i="19" s="1"/>
  <c r="A2023" i="19" s="1"/>
  <c r="A2024" i="19" s="1"/>
  <c r="A2025" i="19" s="1"/>
  <c r="A2026" i="19" s="1"/>
  <c r="A2027" i="19" s="1"/>
  <c r="A2028" i="19" s="1"/>
  <c r="A2029" i="19" s="1"/>
  <c r="A2030" i="19" s="1"/>
  <c r="A2031" i="19" s="1"/>
  <c r="A2032" i="19" s="1"/>
  <c r="A2033" i="19" s="1"/>
  <c r="A2034" i="19" s="1"/>
  <c r="A2035" i="19" s="1"/>
  <c r="A2036" i="19" s="1"/>
  <c r="A2037" i="19" s="1"/>
  <c r="A2038" i="19" s="1"/>
  <c r="A2039" i="19" s="1"/>
  <c r="A2040" i="19" s="1"/>
  <c r="A2041" i="19" s="1"/>
  <c r="A2042" i="19" s="1"/>
  <c r="A2043" i="19" s="1"/>
  <c r="A2044" i="19" s="1"/>
  <c r="A2045" i="19" s="1"/>
  <c r="A2046" i="19" s="1"/>
  <c r="A2047" i="19" s="1"/>
  <c r="A2048" i="19" s="1"/>
  <c r="A2049" i="19" s="1"/>
  <c r="A2050" i="19" s="1"/>
  <c r="A2051" i="19" s="1"/>
  <c r="A2052" i="19" s="1"/>
  <c r="A2053" i="19" s="1"/>
  <c r="A2054" i="19" s="1"/>
  <c r="A2055" i="19" s="1"/>
  <c r="A2056" i="19" s="1"/>
  <c r="A2057" i="19" s="1"/>
  <c r="A2058" i="19" s="1"/>
  <c r="A2059" i="19" s="1"/>
  <c r="A2060" i="19" s="1"/>
  <c r="A2061" i="19" s="1"/>
  <c r="A2062" i="19" s="1"/>
  <c r="A2063" i="19" s="1"/>
  <c r="A2064" i="19" s="1"/>
  <c r="A2065" i="19" s="1"/>
  <c r="A2066" i="19" s="1"/>
  <c r="A2067" i="19" s="1"/>
  <c r="A2068" i="19" s="1"/>
  <c r="A2069" i="19" s="1"/>
  <c r="A2070" i="19" s="1"/>
  <c r="A2071" i="19" s="1"/>
  <c r="A2072" i="19" s="1"/>
  <c r="A2073" i="19" s="1"/>
  <c r="A2074" i="19" s="1"/>
  <c r="A2075" i="19" s="1"/>
  <c r="A2076" i="19" s="1"/>
  <c r="A2077" i="19" s="1"/>
  <c r="A2078" i="19" s="1"/>
  <c r="A2079" i="19" s="1"/>
  <c r="A2080" i="19" s="1"/>
  <c r="A2081" i="19" s="1"/>
  <c r="A2082" i="19" s="1"/>
  <c r="A2083" i="19" s="1"/>
  <c r="A2084" i="19" s="1"/>
  <c r="A2085" i="19" s="1"/>
  <c r="A2086" i="19" s="1"/>
  <c r="A2087" i="19" s="1"/>
  <c r="A2088" i="19" s="1"/>
  <c r="A2089" i="19" s="1"/>
  <c r="A2090" i="19" s="1"/>
  <c r="A2091" i="19" s="1"/>
  <c r="A2092" i="19" s="1"/>
  <c r="A2093" i="19" s="1"/>
  <c r="A2094" i="19" s="1"/>
  <c r="A2095" i="19" s="1"/>
  <c r="A2096" i="19" s="1"/>
  <c r="A2097" i="19" s="1"/>
  <c r="A2098" i="19" s="1"/>
  <c r="A2099" i="19" s="1"/>
  <c r="A2100" i="19" s="1"/>
  <c r="A2101" i="19" s="1"/>
  <c r="A2102" i="19" s="1"/>
  <c r="A2103" i="19" s="1"/>
  <c r="A2104" i="19" s="1"/>
  <c r="A2105" i="19" s="1"/>
  <c r="A2106" i="19" s="1"/>
  <c r="A2107" i="19" s="1"/>
  <c r="A2108" i="19" s="1"/>
  <c r="A2109" i="19" s="1"/>
  <c r="A2110" i="19" s="1"/>
  <c r="A2111" i="19" s="1"/>
  <c r="A2112" i="19" s="1"/>
  <c r="A2113" i="19" s="1"/>
  <c r="A2114" i="19" s="1"/>
  <c r="A2115" i="19" s="1"/>
  <c r="A2116" i="19" s="1"/>
  <c r="A2117" i="19" s="1"/>
  <c r="A2118" i="19" s="1"/>
  <c r="A2119" i="19" s="1"/>
  <c r="A2120" i="19" s="1"/>
  <c r="A2121" i="19" s="1"/>
  <c r="A2122" i="19" s="1"/>
  <c r="A2123" i="19" s="1"/>
  <c r="A2124" i="19" s="1"/>
  <c r="A2125" i="19" s="1"/>
  <c r="A2126" i="19" s="1"/>
  <c r="A2127" i="19" s="1"/>
  <c r="A2128" i="19" s="1"/>
  <c r="A2129" i="19" s="1"/>
  <c r="A2130" i="19" s="1"/>
  <c r="A2131" i="19" s="1"/>
  <c r="A2132" i="19" s="1"/>
  <c r="A2133" i="19" s="1"/>
  <c r="A2134" i="19" s="1"/>
  <c r="A2135" i="19" s="1"/>
  <c r="A2136" i="19" s="1"/>
  <c r="A2137" i="19" s="1"/>
  <c r="A2138" i="19" s="1"/>
  <c r="A2139" i="19" s="1"/>
  <c r="A2140" i="19" s="1"/>
  <c r="A2141" i="19" s="1"/>
  <c r="A2142" i="19" s="1"/>
  <c r="A2143" i="19" s="1"/>
  <c r="A2144" i="19" s="1"/>
  <c r="A2145" i="19" s="1"/>
  <c r="A2146" i="19" s="1"/>
  <c r="A2147" i="19" s="1"/>
  <c r="A2148" i="19" s="1"/>
  <c r="A2149" i="19" s="1"/>
  <c r="A2150" i="19" s="1"/>
  <c r="A2151" i="19" s="1"/>
  <c r="A2152" i="19" s="1"/>
  <c r="A2153" i="19" s="1"/>
  <c r="A2154" i="19" s="1"/>
  <c r="A2155" i="19" s="1"/>
  <c r="A2156" i="19" s="1"/>
  <c r="A2157" i="19" s="1"/>
  <c r="A2158" i="19" s="1"/>
  <c r="A2159" i="19" s="1"/>
  <c r="A2160" i="19" s="1"/>
  <c r="A2161" i="19" s="1"/>
  <c r="A2162" i="19" s="1"/>
  <c r="A2163" i="19" s="1"/>
  <c r="A2164" i="19" s="1"/>
  <c r="A2165" i="19" s="1"/>
  <c r="A2166" i="19" s="1"/>
  <c r="A2167" i="19" s="1"/>
  <c r="A2168" i="19" s="1"/>
  <c r="A2169" i="19" s="1"/>
  <c r="A2170" i="19" s="1"/>
  <c r="A2171" i="19" s="1"/>
  <c r="A2172" i="19" s="1"/>
  <c r="A2173" i="19" s="1"/>
  <c r="A2174" i="19" s="1"/>
  <c r="A2175" i="19" s="1"/>
  <c r="A2176" i="19" s="1"/>
  <c r="A2177" i="19" s="1"/>
  <c r="A2178" i="19" s="1"/>
  <c r="A2179" i="19" s="1"/>
  <c r="A2180" i="19" s="1"/>
  <c r="A2181" i="19" s="1"/>
  <c r="A2182" i="19" s="1"/>
  <c r="A2183" i="19" s="1"/>
  <c r="A2184" i="19" s="1"/>
  <c r="A2185" i="19" s="1"/>
  <c r="A2186" i="19" s="1"/>
  <c r="A2187" i="19" s="1"/>
  <c r="A2188" i="19" s="1"/>
  <c r="A2189" i="19" s="1"/>
  <c r="A2190" i="19" s="1"/>
  <c r="A2191" i="19" s="1"/>
  <c r="A2192" i="19" s="1"/>
  <c r="A2193" i="19" s="1"/>
  <c r="A2194" i="19" s="1"/>
  <c r="A2195" i="19" s="1"/>
  <c r="A2196" i="19" s="1"/>
  <c r="A2197" i="19" s="1"/>
  <c r="A2198" i="19" s="1"/>
  <c r="A2199" i="19" s="1"/>
  <c r="A2200" i="19" s="1"/>
  <c r="A2201" i="19" s="1"/>
  <c r="A2202" i="19" s="1"/>
  <c r="A2203" i="19" s="1"/>
  <c r="A2204" i="19" s="1"/>
  <c r="A2205" i="19" s="1"/>
  <c r="A2206" i="19" s="1"/>
  <c r="A2207" i="19" s="1"/>
  <c r="A2208" i="19" s="1"/>
  <c r="A2209" i="19" s="1"/>
  <c r="A2210" i="19" s="1"/>
  <c r="A2211" i="19" s="1"/>
  <c r="A2212" i="19" s="1"/>
  <c r="A2213" i="19" s="1"/>
  <c r="A2214" i="19" s="1"/>
  <c r="A2215" i="19" s="1"/>
  <c r="A2216" i="19" s="1"/>
  <c r="A2217" i="19" s="1"/>
  <c r="A2218" i="19" s="1"/>
  <c r="A2219" i="19" s="1"/>
  <c r="A2220" i="19" s="1"/>
  <c r="A2221" i="19" s="1"/>
  <c r="A2222" i="19" s="1"/>
  <c r="A2223" i="19" s="1"/>
  <c r="A2224" i="19" s="1"/>
  <c r="A2225" i="19" s="1"/>
  <c r="A2226" i="19" s="1"/>
  <c r="A2227" i="19" s="1"/>
  <c r="A2228" i="19" s="1"/>
  <c r="A2229" i="19" s="1"/>
  <c r="A2230" i="19" s="1"/>
  <c r="A2231" i="19" s="1"/>
  <c r="A2232" i="19" s="1"/>
  <c r="A2233" i="19" s="1"/>
  <c r="A2234" i="19" s="1"/>
  <c r="A2235" i="19" s="1"/>
  <c r="A2236" i="19" s="1"/>
  <c r="A2237" i="19" s="1"/>
  <c r="A2238" i="19" s="1"/>
  <c r="A2239" i="19" s="1"/>
  <c r="A2240" i="19" s="1"/>
  <c r="A2241" i="19" s="1"/>
  <c r="A2242" i="19" s="1"/>
  <c r="A2243" i="19" s="1"/>
  <c r="A2244" i="19" s="1"/>
  <c r="A2245" i="19" s="1"/>
  <c r="A2246" i="19" s="1"/>
  <c r="A2247" i="19" s="1"/>
  <c r="A2248" i="19" s="1"/>
  <c r="A2249" i="19" s="1"/>
  <c r="A2250" i="19" s="1"/>
  <c r="A2251" i="19" s="1"/>
  <c r="A2252" i="19" s="1"/>
  <c r="A2253" i="19" s="1"/>
  <c r="A2254" i="19" s="1"/>
  <c r="A2255" i="19" s="1"/>
  <c r="A2256" i="19" s="1"/>
  <c r="A2257" i="19" s="1"/>
  <c r="A2258" i="19" s="1"/>
  <c r="A2259" i="19" s="1"/>
  <c r="A2260" i="19" s="1"/>
  <c r="A2261" i="19" s="1"/>
  <c r="A2262" i="19" s="1"/>
  <c r="A2263" i="19" s="1"/>
  <c r="A2264" i="19" s="1"/>
  <c r="A2265" i="19" s="1"/>
  <c r="A2266" i="19" s="1"/>
  <c r="A2267" i="19" s="1"/>
  <c r="A2268" i="19" s="1"/>
  <c r="A2269" i="19" s="1"/>
  <c r="A2270" i="19" s="1"/>
  <c r="A2271" i="19" s="1"/>
  <c r="A2272" i="19" s="1"/>
  <c r="A2273" i="19" s="1"/>
  <c r="A2274" i="19" s="1"/>
  <c r="A2275" i="19" s="1"/>
  <c r="A2276" i="19" s="1"/>
  <c r="A2277" i="19" s="1"/>
  <c r="A2278" i="19" s="1"/>
  <c r="A2279" i="19" s="1"/>
  <c r="A2280" i="19" s="1"/>
  <c r="A2281" i="19" s="1"/>
  <c r="A2282" i="19" s="1"/>
  <c r="A2283" i="19" s="1"/>
  <c r="A2284" i="19" s="1"/>
  <c r="A2285" i="19" s="1"/>
  <c r="A2286" i="19" s="1"/>
  <c r="A2287" i="19" s="1"/>
  <c r="A2288" i="19" s="1"/>
  <c r="A2289" i="19" s="1"/>
  <c r="A2290" i="19" s="1"/>
  <c r="A2291" i="19" s="1"/>
  <c r="A2292" i="19" s="1"/>
  <c r="A2293" i="19" s="1"/>
  <c r="A2294" i="19" s="1"/>
  <c r="A2295" i="19" s="1"/>
  <c r="A2296" i="19" s="1"/>
  <c r="A2297" i="19" s="1"/>
  <c r="A2298" i="19" s="1"/>
  <c r="A2299" i="19" s="1"/>
  <c r="A2300" i="19" s="1"/>
  <c r="A2301" i="19" s="1"/>
  <c r="A2302" i="19" s="1"/>
  <c r="A2303" i="19" s="1"/>
  <c r="A2304" i="19" s="1"/>
  <c r="A2305" i="19" s="1"/>
  <c r="A2306" i="19" s="1"/>
  <c r="A2307" i="19" s="1"/>
  <c r="A2308" i="19" s="1"/>
  <c r="A2309" i="19" s="1"/>
  <c r="A2310" i="19" s="1"/>
  <c r="A2311" i="19" s="1"/>
  <c r="A2312" i="19" s="1"/>
  <c r="A2313" i="19" s="1"/>
  <c r="A2314" i="19" s="1"/>
  <c r="A2315" i="19" s="1"/>
  <c r="A2316" i="19" s="1"/>
  <c r="A2317" i="19" s="1"/>
  <c r="A2318" i="19" s="1"/>
  <c r="A2319" i="19" s="1"/>
  <c r="A2320" i="19" s="1"/>
  <c r="A2321" i="19" s="1"/>
  <c r="A2322" i="19" s="1"/>
  <c r="A2323" i="19" s="1"/>
  <c r="A2324" i="19" s="1"/>
  <c r="A2325" i="19" s="1"/>
  <c r="A2326" i="19" s="1"/>
  <c r="A2327" i="19" s="1"/>
  <c r="A2328" i="19" s="1"/>
  <c r="A2329" i="19" s="1"/>
  <c r="A2330" i="19" s="1"/>
  <c r="A2331" i="19" s="1"/>
  <c r="A2332" i="19" s="1"/>
  <c r="A2333" i="19" s="1"/>
  <c r="A2334" i="19" s="1"/>
  <c r="A2335" i="19" s="1"/>
  <c r="A2336" i="19" s="1"/>
  <c r="A2337" i="19" s="1"/>
  <c r="A2338" i="19" s="1"/>
  <c r="A2339" i="19" s="1"/>
  <c r="A2340" i="19" s="1"/>
  <c r="A2341" i="19" s="1"/>
  <c r="A2342" i="19" s="1"/>
  <c r="A2343" i="19" s="1"/>
  <c r="A2344" i="19" s="1"/>
  <c r="A2345" i="19" s="1"/>
  <c r="A2346" i="19" s="1"/>
  <c r="A2347" i="19" s="1"/>
  <c r="A2348" i="19" s="1"/>
  <c r="A2349" i="19" s="1"/>
  <c r="A2350" i="19" s="1"/>
  <c r="A2351" i="19" s="1"/>
  <c r="A2352" i="19" s="1"/>
  <c r="A2353" i="19" s="1"/>
  <c r="A2354" i="19" s="1"/>
  <c r="A2355" i="19" s="1"/>
  <c r="A2356" i="19" s="1"/>
  <c r="A2357" i="19" s="1"/>
  <c r="A2358" i="19" s="1"/>
  <c r="A2359" i="19" s="1"/>
  <c r="A2360" i="19" s="1"/>
  <c r="A2361" i="19" s="1"/>
  <c r="A2362" i="19" s="1"/>
  <c r="A2363" i="19" s="1"/>
  <c r="A2364" i="19" s="1"/>
  <c r="A2365" i="19" s="1"/>
  <c r="A2366" i="19" s="1"/>
  <c r="A2367" i="19" s="1"/>
  <c r="A2368" i="19" s="1"/>
  <c r="A2369" i="19" s="1"/>
  <c r="A2370" i="19" s="1"/>
  <c r="A2371" i="19" s="1"/>
  <c r="A2372" i="19" s="1"/>
  <c r="A2373" i="19" s="1"/>
  <c r="A2374" i="19" s="1"/>
  <c r="A2375" i="19" s="1"/>
  <c r="A2376" i="19" s="1"/>
  <c r="A2377" i="19" s="1"/>
  <c r="A2378" i="19" s="1"/>
  <c r="A2379" i="19" s="1"/>
  <c r="A2380" i="19" s="1"/>
  <c r="A2381" i="19" s="1"/>
  <c r="A2382" i="19" s="1"/>
  <c r="A2383" i="19" s="1"/>
  <c r="A2384" i="19" s="1"/>
  <c r="A2385" i="19" s="1"/>
  <c r="A2386" i="19" s="1"/>
  <c r="A2387" i="19" s="1"/>
  <c r="A2388" i="19" s="1"/>
  <c r="A2389" i="19" s="1"/>
  <c r="A2390" i="19" s="1"/>
  <c r="A2391" i="19" s="1"/>
  <c r="A2392" i="19" s="1"/>
  <c r="A2393" i="19" s="1"/>
  <c r="A2394" i="19" s="1"/>
  <c r="A2395" i="19" s="1"/>
  <c r="A2396" i="19" s="1"/>
  <c r="A2397" i="19" s="1"/>
  <c r="A2398" i="19" s="1"/>
  <c r="A2399" i="19" s="1"/>
  <c r="A2400" i="19" s="1"/>
  <c r="A2401" i="19" s="1"/>
  <c r="A2402" i="19" s="1"/>
  <c r="A2403" i="19" s="1"/>
  <c r="A2404" i="19" s="1"/>
  <c r="A2405" i="19" s="1"/>
  <c r="A2406" i="19" s="1"/>
  <c r="A2407" i="19" s="1"/>
  <c r="A2408" i="19" s="1"/>
  <c r="A2409" i="19" s="1"/>
  <c r="A2410" i="19" s="1"/>
  <c r="A2411" i="19" s="1"/>
  <c r="A2412" i="19" s="1"/>
  <c r="A2413" i="19" s="1"/>
  <c r="A2414" i="19" s="1"/>
  <c r="A2415" i="19" s="1"/>
  <c r="A2416" i="19" s="1"/>
  <c r="A2417" i="19" s="1"/>
  <c r="A2418" i="19" s="1"/>
  <c r="A2419" i="19" s="1"/>
  <c r="A2420" i="19" s="1"/>
  <c r="A2421" i="19" s="1"/>
  <c r="A2422" i="19" s="1"/>
  <c r="A2423" i="19" s="1"/>
  <c r="A2424" i="19" s="1"/>
  <c r="A2425" i="19" s="1"/>
  <c r="A2426" i="19" s="1"/>
  <c r="A2427" i="19" s="1"/>
  <c r="A2428" i="19" s="1"/>
  <c r="A2429" i="19" s="1"/>
  <c r="A2430" i="19" s="1"/>
  <c r="A2431" i="19" s="1"/>
  <c r="A2432" i="19" s="1"/>
  <c r="A2433" i="19" s="1"/>
  <c r="A2434" i="19" s="1"/>
  <c r="A2435" i="19" s="1"/>
  <c r="A2436" i="19" s="1"/>
  <c r="A2437" i="19" s="1"/>
  <c r="A2438" i="19" s="1"/>
  <c r="A2439" i="19" s="1"/>
  <c r="A2440" i="19" s="1"/>
  <c r="A2441" i="19" s="1"/>
  <c r="A2442" i="19" s="1"/>
  <c r="A2443" i="19" s="1"/>
  <c r="A2444" i="19" s="1"/>
  <c r="A2445" i="19" s="1"/>
  <c r="A2446" i="19" s="1"/>
  <c r="A2447" i="19" s="1"/>
  <c r="A2448" i="19" s="1"/>
  <c r="A2449" i="19" s="1"/>
  <c r="A2450" i="19" s="1"/>
  <c r="A2451" i="19" s="1"/>
  <c r="A2452" i="19" s="1"/>
  <c r="A2453" i="19" s="1"/>
  <c r="A2454" i="19" s="1"/>
  <c r="A2455" i="19" s="1"/>
  <c r="A2456" i="19" s="1"/>
  <c r="A2457" i="19" s="1"/>
  <c r="A2458" i="19" s="1"/>
  <c r="A2459" i="19" s="1"/>
  <c r="A2460" i="19" s="1"/>
  <c r="A2461" i="19" s="1"/>
  <c r="A2462" i="19" s="1"/>
  <c r="A2463" i="19" s="1"/>
  <c r="A2464" i="19" s="1"/>
  <c r="A2465" i="19" s="1"/>
  <c r="A2466" i="19" s="1"/>
  <c r="A2467" i="19" s="1"/>
  <c r="A2468" i="19" s="1"/>
  <c r="A2469" i="19" s="1"/>
  <c r="A2470" i="19" s="1"/>
  <c r="A2471" i="19" s="1"/>
  <c r="A2472" i="19" s="1"/>
  <c r="A2473" i="19" s="1"/>
  <c r="A2474" i="19" s="1"/>
  <c r="A2475" i="19" s="1"/>
  <c r="A2476" i="19" s="1"/>
  <c r="A2477" i="19" s="1"/>
  <c r="A2478" i="19" s="1"/>
  <c r="A2479" i="19" s="1"/>
  <c r="A2480" i="19" s="1"/>
  <c r="A2481" i="19" s="1"/>
  <c r="A2482" i="19" s="1"/>
  <c r="A2483" i="19" s="1"/>
  <c r="A2484" i="19" s="1"/>
  <c r="A2485" i="19" s="1"/>
  <c r="A2486" i="19" s="1"/>
  <c r="A2487" i="19" s="1"/>
  <c r="A2488" i="19" s="1"/>
  <c r="A2489" i="19" s="1"/>
  <c r="A2490" i="19" s="1"/>
  <c r="A2491" i="19" s="1"/>
  <c r="A2492" i="19" s="1"/>
  <c r="A2493" i="19" s="1"/>
  <c r="A2494" i="19" s="1"/>
  <c r="A2495" i="19" s="1"/>
  <c r="A2496" i="19" s="1"/>
  <c r="A2497" i="19" s="1"/>
  <c r="A2498" i="19" s="1"/>
  <c r="A2499" i="19" s="1"/>
  <c r="A2500" i="19" s="1"/>
  <c r="A2501" i="19" s="1"/>
  <c r="A2502" i="19" s="1"/>
  <c r="A2503" i="19" s="1"/>
  <c r="A2504" i="19" s="1"/>
  <c r="A2505" i="19" s="1"/>
  <c r="A2506" i="19" s="1"/>
  <c r="A2507" i="19" s="1"/>
  <c r="A2508" i="19" s="1"/>
  <c r="A2509" i="19" s="1"/>
  <c r="A2510" i="19" s="1"/>
  <c r="A2511" i="19" s="1"/>
  <c r="A2512" i="19" s="1"/>
  <c r="A2513" i="19" s="1"/>
  <c r="A2514" i="19" s="1"/>
  <c r="A2515" i="19" s="1"/>
  <c r="A2516" i="19" s="1"/>
  <c r="A2517" i="19" s="1"/>
  <c r="A2518" i="19" s="1"/>
  <c r="A2519" i="19" s="1"/>
  <c r="A2520" i="19" s="1"/>
  <c r="A2521" i="19" s="1"/>
  <c r="A2522" i="19" s="1"/>
  <c r="A2523" i="19" s="1"/>
  <c r="A2524" i="19" s="1"/>
  <c r="A2525" i="19" s="1"/>
  <c r="A2526" i="19" s="1"/>
  <c r="A2527" i="19" s="1"/>
  <c r="A2528" i="19" s="1"/>
  <c r="A2529" i="19" s="1"/>
  <c r="A2530" i="19" s="1"/>
  <c r="A2531" i="19" s="1"/>
  <c r="A2532" i="19" s="1"/>
  <c r="A2533" i="19" s="1"/>
  <c r="A2534" i="19" s="1"/>
  <c r="A2535" i="19" s="1"/>
  <c r="A2536" i="19" s="1"/>
  <c r="A2537" i="19" s="1"/>
  <c r="A2538" i="19" s="1"/>
  <c r="A2539" i="19" s="1"/>
  <c r="A2540" i="19" s="1"/>
  <c r="A2541" i="19" s="1"/>
  <c r="A2542" i="19" s="1"/>
  <c r="A2543" i="19" s="1"/>
  <c r="A2544" i="19" s="1"/>
  <c r="A2545" i="19" s="1"/>
  <c r="A2546" i="19" s="1"/>
  <c r="A2547" i="19" s="1"/>
  <c r="A2548" i="19" s="1"/>
  <c r="A2549" i="19" s="1"/>
  <c r="A2550" i="19" s="1"/>
  <c r="A2551" i="19" s="1"/>
  <c r="A2552" i="19" s="1"/>
  <c r="A2553" i="19" s="1"/>
  <c r="A2554" i="19" s="1"/>
  <c r="A2555" i="19" s="1"/>
  <c r="A2556" i="19" s="1"/>
  <c r="A2557" i="19" s="1"/>
  <c r="A2558" i="19" s="1"/>
  <c r="A2559" i="19" s="1"/>
  <c r="A2560" i="19" s="1"/>
  <c r="A2561" i="19" s="1"/>
  <c r="A2562" i="19" s="1"/>
  <c r="A2563" i="19" s="1"/>
  <c r="A2564" i="19" s="1"/>
  <c r="A2565" i="19" s="1"/>
  <c r="A2566" i="19" s="1"/>
  <c r="A2567" i="19" s="1"/>
  <c r="A2568" i="19" s="1"/>
  <c r="A2569" i="19" s="1"/>
  <c r="A2570" i="19" s="1"/>
  <c r="A2571" i="19" s="1"/>
  <c r="A2572" i="19" s="1"/>
  <c r="A2573" i="19" s="1"/>
  <c r="A2574" i="19" s="1"/>
  <c r="A2575" i="19" s="1"/>
  <c r="A2576" i="19" s="1"/>
  <c r="A2577" i="19" s="1"/>
  <c r="A2578" i="19" s="1"/>
  <c r="A2579" i="19" s="1"/>
  <c r="A2580" i="19" s="1"/>
  <c r="A2581" i="19" s="1"/>
  <c r="A2582" i="19" s="1"/>
  <c r="A2583" i="19" s="1"/>
  <c r="A2584" i="19" s="1"/>
  <c r="A2585" i="19" s="1"/>
  <c r="A2586" i="19" s="1"/>
  <c r="A2587" i="19" s="1"/>
  <c r="A2588" i="19" s="1"/>
  <c r="A2589" i="19" s="1"/>
  <c r="A2590" i="19" s="1"/>
  <c r="A2591" i="19" s="1"/>
  <c r="A2592" i="19" s="1"/>
  <c r="A2593" i="19" s="1"/>
  <c r="A2594" i="19" s="1"/>
  <c r="A2595" i="19" s="1"/>
  <c r="A2596" i="19" s="1"/>
  <c r="A2597" i="19" s="1"/>
  <c r="A2598" i="19" s="1"/>
  <c r="A2599" i="19" s="1"/>
  <c r="A2600" i="19" s="1"/>
  <c r="A2601" i="19" s="1"/>
  <c r="A2602" i="19" s="1"/>
  <c r="A2603" i="19" s="1"/>
  <c r="A2604" i="19" s="1"/>
  <c r="A2605" i="19" s="1"/>
  <c r="A2606" i="19" s="1"/>
  <c r="A2607" i="19" s="1"/>
  <c r="A2608" i="19" s="1"/>
  <c r="A2609" i="19" s="1"/>
  <c r="A2610" i="19" s="1"/>
  <c r="A2611" i="19" s="1"/>
  <c r="A2612" i="19" s="1"/>
  <c r="A2613" i="19" s="1"/>
  <c r="A2614" i="19" s="1"/>
  <c r="A2615" i="19" s="1"/>
  <c r="A2616" i="19" s="1"/>
  <c r="A2617" i="19" s="1"/>
  <c r="A2618" i="19" s="1"/>
  <c r="A2619" i="19" s="1"/>
  <c r="A2620" i="19" s="1"/>
  <c r="A2621" i="19" s="1"/>
  <c r="A2622" i="19" s="1"/>
  <c r="A2623" i="19" s="1"/>
  <c r="A2624" i="19" s="1"/>
  <c r="A2625" i="19" s="1"/>
  <c r="A2626" i="19" s="1"/>
  <c r="A2627" i="19" s="1"/>
  <c r="A2628" i="19" s="1"/>
  <c r="A2629" i="19" s="1"/>
  <c r="A2630" i="19" s="1"/>
  <c r="A2631" i="19" s="1"/>
  <c r="A2632" i="19" s="1"/>
  <c r="A2633" i="19" s="1"/>
  <c r="A2634" i="19" s="1"/>
  <c r="A2635" i="19" s="1"/>
  <c r="A2636" i="19" s="1"/>
  <c r="A2637" i="19" s="1"/>
  <c r="A2638" i="19" s="1"/>
  <c r="A2639" i="19" s="1"/>
  <c r="A2640" i="19" s="1"/>
  <c r="A2641" i="19" s="1"/>
  <c r="A2642" i="19" s="1"/>
  <c r="A2643" i="19" s="1"/>
  <c r="A2644" i="19" s="1"/>
  <c r="A2645" i="19" s="1"/>
  <c r="A2646" i="19" s="1"/>
  <c r="A2647" i="19" s="1"/>
  <c r="A2648" i="19" s="1"/>
  <c r="A2649" i="19" s="1"/>
  <c r="A2650" i="19" s="1"/>
  <c r="A2651" i="19" s="1"/>
  <c r="A2652" i="19" s="1"/>
  <c r="A2653" i="19" s="1"/>
  <c r="A2654" i="19" s="1"/>
  <c r="A2655" i="19" s="1"/>
  <c r="A2656" i="19" s="1"/>
  <c r="A2657" i="19" s="1"/>
  <c r="A2658" i="19" s="1"/>
  <c r="A2659" i="19" s="1"/>
  <c r="A2660" i="19" s="1"/>
  <c r="A2661" i="19" s="1"/>
  <c r="A2662" i="19" s="1"/>
  <c r="A2663" i="19" s="1"/>
  <c r="A2664" i="19" s="1"/>
  <c r="A2665" i="19" s="1"/>
  <c r="A2666" i="19" s="1"/>
  <c r="A2667" i="19" s="1"/>
  <c r="A2668" i="19" s="1"/>
  <c r="A2669" i="19" s="1"/>
  <c r="A2670" i="19" s="1"/>
  <c r="A2671" i="19" s="1"/>
  <c r="A2672" i="19" s="1"/>
  <c r="A2673" i="19" s="1"/>
  <c r="A2674" i="19" s="1"/>
  <c r="A2675" i="19" s="1"/>
  <c r="A2676" i="19" s="1"/>
  <c r="A2677" i="19" s="1"/>
  <c r="A2678" i="19" s="1"/>
  <c r="A2679" i="19" s="1"/>
  <c r="A2680" i="19" s="1"/>
  <c r="A2681" i="19" s="1"/>
  <c r="A2682" i="19" s="1"/>
  <c r="A2683" i="19" s="1"/>
  <c r="A2684" i="19" s="1"/>
  <c r="A2685" i="19" s="1"/>
  <c r="A2686" i="19" s="1"/>
  <c r="A2687" i="19" s="1"/>
  <c r="A2688" i="19" s="1"/>
  <c r="A2689" i="19" s="1"/>
  <c r="A2690" i="19" s="1"/>
  <c r="A2691" i="19" s="1"/>
  <c r="A2692" i="19" s="1"/>
  <c r="A2693" i="19" s="1"/>
  <c r="A2694" i="19" s="1"/>
  <c r="A2695" i="19" s="1"/>
  <c r="A2696" i="19" s="1"/>
  <c r="A2697" i="19" s="1"/>
  <c r="A2698" i="19" s="1"/>
  <c r="A2699" i="19" s="1"/>
  <c r="A2700" i="19" s="1"/>
  <c r="A2701" i="19" s="1"/>
  <c r="A2702" i="19" s="1"/>
  <c r="A2703" i="19" s="1"/>
  <c r="A2704" i="19" s="1"/>
  <c r="A2705" i="19" s="1"/>
  <c r="A2706" i="19" s="1"/>
  <c r="A2707" i="19" s="1"/>
  <c r="A2708" i="19" s="1"/>
  <c r="A2709" i="19" s="1"/>
  <c r="A2710" i="19" s="1"/>
  <c r="A2711" i="19" s="1"/>
  <c r="A2712" i="19" s="1"/>
  <c r="A2713" i="19" s="1"/>
  <c r="A2714" i="19" s="1"/>
  <c r="A2715" i="19" s="1"/>
  <c r="A2716" i="19" s="1"/>
  <c r="A2717" i="19" s="1"/>
  <c r="A2718" i="19" s="1"/>
  <c r="A2719" i="19" s="1"/>
  <c r="A2720" i="19" s="1"/>
  <c r="A2721" i="19" s="1"/>
  <c r="A2722" i="19" s="1"/>
  <c r="A2723" i="19" s="1"/>
  <c r="A2724" i="19" s="1"/>
  <c r="A2725" i="19" s="1"/>
  <c r="A2726" i="19" s="1"/>
  <c r="A2727" i="19" s="1"/>
  <c r="A2728" i="19" s="1"/>
  <c r="A2729" i="19" s="1"/>
  <c r="A2730" i="19" s="1"/>
  <c r="A2731" i="19" s="1"/>
  <c r="A2732" i="19" s="1"/>
  <c r="A2733" i="19" s="1"/>
  <c r="A2734" i="19" s="1"/>
  <c r="A2735" i="19" s="1"/>
  <c r="A2736" i="19" s="1"/>
  <c r="A2737" i="19" s="1"/>
  <c r="A2738" i="19" s="1"/>
  <c r="A2739" i="19" s="1"/>
  <c r="A2740" i="19" s="1"/>
  <c r="A2741" i="19" s="1"/>
  <c r="A2742" i="19" s="1"/>
  <c r="A2743" i="19" s="1"/>
  <c r="A2744" i="19" s="1"/>
  <c r="A2745" i="19" s="1"/>
  <c r="A2746" i="19" s="1"/>
  <c r="A2747" i="19" s="1"/>
  <c r="A2748" i="19" s="1"/>
  <c r="A2749" i="19" s="1"/>
  <c r="A2750" i="19" s="1"/>
  <c r="A2751" i="19" s="1"/>
  <c r="A2752" i="19" s="1"/>
  <c r="A2753" i="19" s="1"/>
  <c r="A2754" i="19" s="1"/>
  <c r="A2755" i="19" s="1"/>
  <c r="A2756" i="19" s="1"/>
  <c r="A2757" i="19" s="1"/>
  <c r="A2758" i="19" s="1"/>
  <c r="A2759" i="19" s="1"/>
  <c r="A2760" i="19" s="1"/>
  <c r="A2761" i="19" s="1"/>
  <c r="A2762" i="19" s="1"/>
  <c r="A2763" i="19" s="1"/>
  <c r="A2764" i="19" s="1"/>
  <c r="A2765" i="19" s="1"/>
  <c r="A2766" i="19" s="1"/>
  <c r="A2767" i="19" s="1"/>
  <c r="A2768" i="19" s="1"/>
  <c r="A2769" i="19" s="1"/>
  <c r="A2770" i="19" s="1"/>
  <c r="A2771" i="19" s="1"/>
  <c r="A2772" i="19" s="1"/>
  <c r="A2773" i="19" s="1"/>
  <c r="A2774" i="19" s="1"/>
  <c r="A2775" i="19" s="1"/>
  <c r="A2776" i="19" s="1"/>
  <c r="A2777" i="19" s="1"/>
  <c r="A2778" i="19" s="1"/>
  <c r="A2779" i="19" s="1"/>
  <c r="A2780" i="19" s="1"/>
  <c r="A2781" i="19" s="1"/>
  <c r="A2782" i="19" s="1"/>
  <c r="A2783" i="19" s="1"/>
  <c r="A2784" i="19" s="1"/>
  <c r="A2785" i="19" s="1"/>
  <c r="A2786" i="19" s="1"/>
  <c r="A2787" i="19" s="1"/>
  <c r="A2788" i="19" s="1"/>
  <c r="A2789" i="19" s="1"/>
  <c r="A2790" i="19" s="1"/>
  <c r="A2791" i="19" s="1"/>
  <c r="A2792" i="19" s="1"/>
  <c r="A2793" i="19" s="1"/>
  <c r="A2794" i="19" s="1"/>
  <c r="A2795" i="19" s="1"/>
  <c r="A2796" i="19" s="1"/>
  <c r="A2797" i="19" s="1"/>
  <c r="A2798" i="19" s="1"/>
  <c r="A2799" i="19" s="1"/>
  <c r="A2800" i="19" s="1"/>
  <c r="A2801" i="19" s="1"/>
  <c r="A2802" i="19" s="1"/>
  <c r="A2803" i="19" s="1"/>
  <c r="A2804" i="19" s="1"/>
  <c r="A2805" i="19" s="1"/>
  <c r="A2806" i="19" s="1"/>
  <c r="A2807" i="19" s="1"/>
  <c r="A2808" i="19" s="1"/>
  <c r="A2809" i="19" s="1"/>
  <c r="A2810" i="19" s="1"/>
  <c r="A2811" i="19" s="1"/>
  <c r="A2812" i="19" s="1"/>
  <c r="A2813" i="19" s="1"/>
  <c r="A2814" i="19" s="1"/>
  <c r="A2815" i="19" s="1"/>
  <c r="A2816" i="19" s="1"/>
  <c r="A2817" i="19" s="1"/>
  <c r="A2818" i="19" s="1"/>
  <c r="A2819" i="19" s="1"/>
  <c r="A2820" i="19" s="1"/>
  <c r="A2821" i="19" s="1"/>
  <c r="A2822" i="19" s="1"/>
  <c r="A2823" i="19" s="1"/>
  <c r="A2824" i="19" s="1"/>
  <c r="A2825" i="19" s="1"/>
  <c r="A2826" i="19" s="1"/>
  <c r="A2827" i="19" s="1"/>
  <c r="A2828" i="19" s="1"/>
  <c r="A2829" i="19" s="1"/>
  <c r="A2830" i="19" s="1"/>
  <c r="A2831" i="19" s="1"/>
  <c r="A2832" i="19" s="1"/>
  <c r="A2833" i="19" s="1"/>
  <c r="A2834" i="19" s="1"/>
  <c r="A2835" i="19" s="1"/>
  <c r="A2836" i="19" s="1"/>
  <c r="A2837" i="19" s="1"/>
  <c r="A2838" i="19" s="1"/>
  <c r="A2839" i="19" s="1"/>
  <c r="A2840" i="19" s="1"/>
  <c r="A2841" i="19" s="1"/>
  <c r="A2842" i="19" s="1"/>
  <c r="A2843" i="19" s="1"/>
  <c r="A2844" i="19" s="1"/>
  <c r="A2845" i="19" s="1"/>
  <c r="A2846" i="19" s="1"/>
  <c r="A2847" i="19" s="1"/>
  <c r="A2848" i="19" s="1"/>
  <c r="A2849" i="19" s="1"/>
  <c r="A2850" i="19" s="1"/>
  <c r="A2851" i="19" s="1"/>
  <c r="A2852" i="19" s="1"/>
  <c r="A2853" i="19" s="1"/>
  <c r="A2854" i="19" s="1"/>
  <c r="A2855" i="19" s="1"/>
  <c r="A2856" i="19" s="1"/>
  <c r="A2857" i="19" s="1"/>
  <c r="A2858" i="19" s="1"/>
  <c r="A2859" i="19" s="1"/>
  <c r="A2860" i="19" s="1"/>
  <c r="A2861" i="19" s="1"/>
  <c r="A2862" i="19" s="1"/>
  <c r="A2863" i="19" s="1"/>
  <c r="A2864" i="19" s="1"/>
  <c r="A2865" i="19" s="1"/>
  <c r="A2866" i="19" s="1"/>
  <c r="A2867" i="19" s="1"/>
  <c r="A2868" i="19" s="1"/>
  <c r="A2869" i="19" s="1"/>
  <c r="A2870" i="19" s="1"/>
  <c r="A2871" i="19" s="1"/>
  <c r="A2872" i="19" s="1"/>
  <c r="A2873" i="19" s="1"/>
  <c r="A2874" i="19" s="1"/>
  <c r="A2875" i="19" s="1"/>
  <c r="A2876" i="19" s="1"/>
  <c r="A2877" i="19" s="1"/>
  <c r="A2878" i="19" s="1"/>
  <c r="A2879" i="19" s="1"/>
  <c r="A2880" i="19" s="1"/>
  <c r="A2881" i="19" s="1"/>
  <c r="A2882" i="19" s="1"/>
  <c r="A2883" i="19" s="1"/>
  <c r="A2884" i="19" s="1"/>
  <c r="A2885" i="19" s="1"/>
  <c r="A2886" i="19" s="1"/>
  <c r="A2887" i="19" s="1"/>
  <c r="A2888" i="19" s="1"/>
  <c r="A2889" i="19" s="1"/>
  <c r="A2890" i="19" s="1"/>
  <c r="A2891" i="19" s="1"/>
  <c r="A2892" i="19" s="1"/>
  <c r="A2893" i="19" s="1"/>
  <c r="A2894" i="19" s="1"/>
  <c r="A2895" i="19" s="1"/>
  <c r="A2896" i="19" s="1"/>
  <c r="A2897" i="19" s="1"/>
  <c r="A2898" i="19" s="1"/>
  <c r="A2899" i="19" s="1"/>
  <c r="A2900" i="19" s="1"/>
  <c r="A2901" i="19" s="1"/>
  <c r="A2902" i="19" s="1"/>
  <c r="A2903" i="19" s="1"/>
  <c r="A2904" i="19" s="1"/>
  <c r="A2905" i="19" s="1"/>
  <c r="A2906" i="19" s="1"/>
  <c r="A2907" i="19" s="1"/>
  <c r="A2908" i="19" s="1"/>
  <c r="A2909" i="19" s="1"/>
  <c r="A2910" i="19" s="1"/>
  <c r="A2911" i="19" s="1"/>
  <c r="A2912" i="19" s="1"/>
  <c r="A2913" i="19" s="1"/>
  <c r="A2914" i="19" s="1"/>
  <c r="A2915" i="19" s="1"/>
  <c r="A2916" i="19" s="1"/>
  <c r="A2917" i="19" s="1"/>
  <c r="A2918" i="19" s="1"/>
  <c r="A2919" i="19" s="1"/>
  <c r="A2920" i="19" s="1"/>
  <c r="A2921" i="19" s="1"/>
  <c r="A2922" i="19" s="1"/>
  <c r="A2923" i="19" s="1"/>
  <c r="A2924" i="19" s="1"/>
  <c r="A2925" i="19" s="1"/>
  <c r="A2926" i="19" s="1"/>
  <c r="A2927" i="19" s="1"/>
  <c r="A2928" i="19" s="1"/>
  <c r="A2929" i="19" s="1"/>
  <c r="A2930" i="19" s="1"/>
  <c r="A2931" i="19" s="1"/>
  <c r="A2932" i="19" s="1"/>
  <c r="A2933" i="19" s="1"/>
  <c r="A2934" i="19" s="1"/>
  <c r="A2935" i="19" s="1"/>
  <c r="A2936" i="19" s="1"/>
  <c r="A2937" i="19" s="1"/>
  <c r="A2938" i="19" s="1"/>
  <c r="A2939" i="19" s="1"/>
  <c r="A2940" i="19" s="1"/>
  <c r="A2941" i="19" s="1"/>
  <c r="A2942" i="19" s="1"/>
  <c r="A2943" i="19" s="1"/>
  <c r="A2944" i="19" s="1"/>
  <c r="A2945" i="19" s="1"/>
  <c r="A2946" i="19" s="1"/>
  <c r="A2947" i="19" s="1"/>
  <c r="A2948" i="19" s="1"/>
  <c r="A2949" i="19" s="1"/>
  <c r="A2950" i="19" s="1"/>
  <c r="A2951" i="19" s="1"/>
  <c r="A2952" i="19" s="1"/>
  <c r="A2953" i="19" s="1"/>
  <c r="A2954" i="19" s="1"/>
  <c r="A2955" i="19" s="1"/>
  <c r="A2956" i="19" s="1"/>
  <c r="A2957" i="19" s="1"/>
  <c r="A2958" i="19" s="1"/>
  <c r="A2959" i="19" s="1"/>
  <c r="A2960" i="19" s="1"/>
  <c r="A2961" i="19" s="1"/>
  <c r="A2962" i="19" s="1"/>
  <c r="A2963" i="19" s="1"/>
  <c r="A2964" i="19" s="1"/>
  <c r="A2965" i="19" s="1"/>
  <c r="A2966" i="19" s="1"/>
  <c r="A2967" i="19" s="1"/>
  <c r="A2968" i="19" s="1"/>
  <c r="A2969" i="19" s="1"/>
  <c r="A2970" i="19" s="1"/>
  <c r="A2971" i="19" s="1"/>
  <c r="A2972" i="19" s="1"/>
  <c r="A2973" i="19" s="1"/>
  <c r="A2974" i="19" s="1"/>
  <c r="A2975" i="19" s="1"/>
  <c r="A2976" i="19" s="1"/>
  <c r="A2977" i="19" s="1"/>
  <c r="A2978" i="19" s="1"/>
  <c r="A2979" i="19" s="1"/>
  <c r="A2980" i="19" s="1"/>
  <c r="A2981" i="19" s="1"/>
  <c r="A2982" i="19" s="1"/>
  <c r="A2983" i="19" s="1"/>
  <c r="A2984" i="19" s="1"/>
  <c r="A2985" i="19" s="1"/>
  <c r="A2986" i="19" s="1"/>
  <c r="A2987" i="19" s="1"/>
  <c r="A2988" i="19" s="1"/>
  <c r="A2989" i="19" s="1"/>
  <c r="A2990" i="19" s="1"/>
  <c r="A2991" i="19" s="1"/>
  <c r="A2992" i="19" s="1"/>
  <c r="A2993" i="19" s="1"/>
  <c r="A2994" i="19" s="1"/>
  <c r="A2995" i="19" s="1"/>
  <c r="A2996" i="19" s="1"/>
  <c r="A2997" i="19" s="1"/>
  <c r="A2998" i="19" s="1"/>
  <c r="A2999" i="19" s="1"/>
  <c r="A3000" i="19" s="1"/>
  <c r="A3001" i="19" s="1"/>
  <c r="A3002" i="19" s="1"/>
  <c r="A3003" i="19" s="1"/>
  <c r="A3004" i="19" s="1"/>
  <c r="A3005" i="19" s="1"/>
  <c r="A3006" i="19" s="1"/>
  <c r="A3007" i="19" s="1"/>
  <c r="A3008" i="19" s="1"/>
  <c r="A3009" i="19" s="1"/>
  <c r="A3010" i="19" s="1"/>
  <c r="A3011" i="19" s="1"/>
  <c r="A3012" i="19" s="1"/>
  <c r="A3013" i="19" s="1"/>
  <c r="A3014" i="19" s="1"/>
  <c r="A3015" i="19" s="1"/>
  <c r="A3016" i="19" s="1"/>
  <c r="A3017" i="19" s="1"/>
  <c r="A3018" i="19" s="1"/>
  <c r="A3019" i="19" s="1"/>
  <c r="A3020" i="19" s="1"/>
  <c r="A3021" i="19" s="1"/>
  <c r="A3022" i="19" s="1"/>
  <c r="A3023" i="19" s="1"/>
  <c r="A3024" i="19" s="1"/>
  <c r="A3025" i="19" s="1"/>
  <c r="A3026" i="19" s="1"/>
  <c r="A3027" i="19" s="1"/>
  <c r="A3028" i="19" s="1"/>
  <c r="A3029" i="19" s="1"/>
  <c r="A3030" i="19" s="1"/>
  <c r="A3031" i="19" s="1"/>
  <c r="A3032" i="19" s="1"/>
  <c r="A3033" i="19" s="1"/>
  <c r="A3034" i="19" s="1"/>
  <c r="A3035" i="19" s="1"/>
  <c r="A3036" i="19" s="1"/>
  <c r="A3037" i="19" s="1"/>
  <c r="A3038" i="19" s="1"/>
  <c r="A3039" i="19" s="1"/>
  <c r="A3040" i="19" s="1"/>
  <c r="A3041" i="19" s="1"/>
  <c r="A3042" i="19" s="1"/>
  <c r="A3043" i="19" s="1"/>
  <c r="A3044" i="19" s="1"/>
  <c r="A3045" i="19" s="1"/>
  <c r="A3046" i="19" s="1"/>
  <c r="A3047" i="19" s="1"/>
  <c r="A3048" i="19" s="1"/>
  <c r="A3049" i="19" s="1"/>
  <c r="A3050" i="19" s="1"/>
  <c r="A3051" i="19" s="1"/>
  <c r="A3052" i="19" s="1"/>
  <c r="A3053" i="19" s="1"/>
  <c r="A3054" i="19" s="1"/>
  <c r="A3055" i="19" s="1"/>
  <c r="A3056" i="19" s="1"/>
  <c r="A3057" i="19" s="1"/>
  <c r="A3058" i="19" s="1"/>
  <c r="A3059" i="19" s="1"/>
  <c r="A3060" i="19" s="1"/>
  <c r="A3061" i="19" s="1"/>
  <c r="A3062" i="19" s="1"/>
  <c r="A3063" i="19" s="1"/>
  <c r="A3064" i="19" s="1"/>
  <c r="A3065" i="19" s="1"/>
  <c r="A3066" i="19" s="1"/>
  <c r="A3067" i="19" s="1"/>
  <c r="A3068" i="19" s="1"/>
  <c r="A3069" i="19" s="1"/>
  <c r="A3070" i="19" s="1"/>
  <c r="A3071" i="19" s="1"/>
  <c r="A3072" i="19" s="1"/>
  <c r="A3073" i="19" s="1"/>
  <c r="A3074" i="19" s="1"/>
  <c r="A3075" i="19" s="1"/>
  <c r="A3076" i="19" s="1"/>
  <c r="A3077" i="19" s="1"/>
  <c r="A3078" i="19" s="1"/>
  <c r="A3079" i="19" s="1"/>
  <c r="A3080" i="19" s="1"/>
  <c r="A3081" i="19" s="1"/>
  <c r="A3082" i="19" s="1"/>
  <c r="A3083" i="19" s="1"/>
  <c r="A3084" i="19" s="1"/>
  <c r="A3085" i="19" s="1"/>
  <c r="A3086" i="19" s="1"/>
  <c r="A3087" i="19" s="1"/>
  <c r="A3088" i="19" s="1"/>
  <c r="A3089" i="19" s="1"/>
  <c r="A3090" i="19" s="1"/>
  <c r="A3091" i="19" s="1"/>
  <c r="A3092" i="19" s="1"/>
  <c r="A3093" i="19" s="1"/>
  <c r="A3094" i="19" s="1"/>
  <c r="A3095" i="19" s="1"/>
  <c r="A3096" i="19" s="1"/>
  <c r="A3097" i="19" s="1"/>
  <c r="A3098" i="19" s="1"/>
  <c r="A3099" i="19" s="1"/>
  <c r="A3100" i="19" s="1"/>
  <c r="A3101" i="19" s="1"/>
  <c r="A3102" i="19" s="1"/>
  <c r="A3103" i="19" s="1"/>
  <c r="A3104" i="19" s="1"/>
  <c r="A3105" i="19" s="1"/>
  <c r="A3106" i="19" s="1"/>
  <c r="A3107" i="19" s="1"/>
  <c r="A3108" i="19" s="1"/>
  <c r="A3109" i="19" s="1"/>
  <c r="A3110" i="19" s="1"/>
  <c r="A3111" i="19" s="1"/>
  <c r="A3112" i="19" s="1"/>
  <c r="A3113" i="19" s="1"/>
  <c r="A3114" i="19" s="1"/>
  <c r="A3115" i="19" s="1"/>
  <c r="A3116" i="19" s="1"/>
  <c r="A3117" i="19" s="1"/>
  <c r="A3118" i="19" s="1"/>
  <c r="A3119" i="19" s="1"/>
  <c r="A3120" i="19" s="1"/>
  <c r="A3121" i="19" s="1"/>
  <c r="A3122" i="19" s="1"/>
  <c r="A3123" i="19" s="1"/>
  <c r="A3124" i="19" s="1"/>
  <c r="A3125" i="19" s="1"/>
  <c r="A3126" i="19" s="1"/>
  <c r="A3127" i="19" s="1"/>
  <c r="A3128" i="19" s="1"/>
  <c r="A3129" i="19" s="1"/>
  <c r="A3130" i="19" s="1"/>
  <c r="A3131" i="19" s="1"/>
  <c r="A3132" i="19" s="1"/>
  <c r="A3133" i="19" s="1"/>
  <c r="A3134" i="19" s="1"/>
  <c r="A3135" i="19" s="1"/>
  <c r="A3136" i="19" s="1"/>
  <c r="A3137" i="19" s="1"/>
  <c r="A3138" i="19" s="1"/>
  <c r="A3139" i="19" s="1"/>
  <c r="A3140" i="19" s="1"/>
  <c r="A3141" i="19" s="1"/>
  <c r="A3142" i="19" s="1"/>
  <c r="A3143" i="19" s="1"/>
  <c r="A3144" i="19" s="1"/>
  <c r="A3145" i="19" s="1"/>
  <c r="A3146" i="19" s="1"/>
  <c r="A3147" i="19" s="1"/>
  <c r="A3148" i="19" s="1"/>
  <c r="A3149" i="19" s="1"/>
  <c r="A3150" i="19" s="1"/>
  <c r="A3151" i="19" s="1"/>
  <c r="A3152" i="19" s="1"/>
  <c r="A3153" i="19" s="1"/>
  <c r="A3154" i="19" s="1"/>
  <c r="A3155" i="19" s="1"/>
  <c r="A3156" i="19" s="1"/>
  <c r="A3157" i="19" s="1"/>
  <c r="A3158" i="19" s="1"/>
  <c r="A3159" i="19" s="1"/>
  <c r="A3160" i="19" s="1"/>
  <c r="A3161" i="19" s="1"/>
  <c r="A3162" i="19" s="1"/>
  <c r="A3163" i="19" s="1"/>
  <c r="A3164" i="19" s="1"/>
  <c r="A3165" i="19" s="1"/>
  <c r="A3166" i="19" s="1"/>
  <c r="A3167" i="19" s="1"/>
  <c r="A3168" i="19" s="1"/>
  <c r="A3169" i="19" s="1"/>
  <c r="A3170" i="19" s="1"/>
  <c r="A3171" i="19" s="1"/>
  <c r="A3172" i="19" s="1"/>
  <c r="A3173" i="19" s="1"/>
  <c r="A3174" i="19" s="1"/>
  <c r="A3175" i="19" s="1"/>
  <c r="A3176" i="19" s="1"/>
  <c r="A3177" i="19" s="1"/>
  <c r="A3178" i="19" s="1"/>
  <c r="A3179" i="19" s="1"/>
  <c r="A3180" i="19" s="1"/>
  <c r="A3181" i="19" s="1"/>
  <c r="A3182" i="19" s="1"/>
  <c r="A3183" i="19" s="1"/>
  <c r="A3184" i="19" s="1"/>
  <c r="A3185" i="19" s="1"/>
  <c r="A3186" i="19" s="1"/>
  <c r="A3187" i="19" s="1"/>
  <c r="A3188" i="19" s="1"/>
  <c r="A3189" i="19" s="1"/>
  <c r="A3190" i="19" s="1"/>
  <c r="A3191" i="19" s="1"/>
  <c r="A3192" i="19" s="1"/>
  <c r="A3193" i="19" s="1"/>
  <c r="A3194" i="19" s="1"/>
  <c r="A3195" i="19" s="1"/>
  <c r="A3196" i="19" s="1"/>
  <c r="A3197" i="19" s="1"/>
  <c r="A3198" i="19" s="1"/>
  <c r="A3199" i="19" s="1"/>
  <c r="A3200" i="19" s="1"/>
  <c r="A3201" i="19" s="1"/>
  <c r="A3202" i="19" s="1"/>
  <c r="A3203" i="19" s="1"/>
  <c r="A3204" i="19" s="1"/>
  <c r="A3205" i="19" s="1"/>
  <c r="A3206" i="19" s="1"/>
  <c r="A3207" i="19" s="1"/>
  <c r="A3208" i="19" s="1"/>
  <c r="A3209" i="19" s="1"/>
  <c r="A3210" i="19" s="1"/>
  <c r="A3211" i="19" s="1"/>
  <c r="A3212" i="19" s="1"/>
  <c r="A3213" i="19" s="1"/>
  <c r="A3214" i="19" s="1"/>
  <c r="A3215" i="19" s="1"/>
  <c r="A3216" i="19" s="1"/>
  <c r="A3217" i="19" s="1"/>
  <c r="A3218" i="19" s="1"/>
  <c r="A3219" i="19" s="1"/>
  <c r="A3220" i="19" s="1"/>
  <c r="A3221" i="19" s="1"/>
  <c r="A3222" i="19" s="1"/>
  <c r="A3223" i="19" s="1"/>
  <c r="A3224" i="19" s="1"/>
  <c r="A3225" i="19" s="1"/>
  <c r="A3226" i="19" s="1"/>
  <c r="A3227" i="19" s="1"/>
  <c r="A3228" i="19" s="1"/>
  <c r="A3229" i="19" s="1"/>
  <c r="A3230" i="19" s="1"/>
  <c r="A3231" i="19" s="1"/>
  <c r="A3232" i="19" s="1"/>
  <c r="A3233" i="19" s="1"/>
  <c r="A3234" i="19" s="1"/>
  <c r="A3235" i="19" s="1"/>
  <c r="A3236" i="19" s="1"/>
  <c r="A3237" i="19" s="1"/>
  <c r="A3238" i="19" s="1"/>
  <c r="A3239" i="19" s="1"/>
  <c r="A3240" i="19" s="1"/>
  <c r="A3241" i="19" s="1"/>
  <c r="A3242" i="19" s="1"/>
  <c r="A3243" i="19" s="1"/>
  <c r="A3244" i="19" s="1"/>
  <c r="A3245" i="19" s="1"/>
  <c r="A3246" i="19" s="1"/>
  <c r="A3247" i="19" s="1"/>
  <c r="A3248" i="19" s="1"/>
  <c r="A3249" i="19" s="1"/>
  <c r="A3250" i="19" s="1"/>
  <c r="A3251" i="19" s="1"/>
  <c r="A3252" i="19" s="1"/>
  <c r="A3253" i="19" s="1"/>
  <c r="A3254" i="19" s="1"/>
  <c r="A3255" i="19" s="1"/>
  <c r="A3256" i="19" s="1"/>
  <c r="A3257" i="19" s="1"/>
  <c r="A3258" i="19" s="1"/>
  <c r="A3259" i="19" s="1"/>
  <c r="A3260" i="19" s="1"/>
  <c r="A3261" i="19" s="1"/>
  <c r="A3262" i="19" s="1"/>
  <c r="A3263" i="19" s="1"/>
  <c r="A3264" i="19" s="1"/>
  <c r="A3265" i="19" s="1"/>
  <c r="A3266" i="19" s="1"/>
  <c r="A3267" i="19" s="1"/>
  <c r="A3268" i="19" s="1"/>
  <c r="A3269" i="19" s="1"/>
  <c r="A3270" i="19" s="1"/>
  <c r="A3271" i="19" s="1"/>
  <c r="A3272" i="19" s="1"/>
  <c r="A3273" i="19" s="1"/>
  <c r="A3274" i="19" s="1"/>
  <c r="A3275" i="19" s="1"/>
  <c r="A3276" i="19" s="1"/>
  <c r="A3277" i="19" s="1"/>
  <c r="A3278" i="19" s="1"/>
  <c r="A3279" i="19" s="1"/>
  <c r="A3280" i="19" s="1"/>
  <c r="A3281" i="19" s="1"/>
  <c r="A3282" i="19" s="1"/>
  <c r="A3283" i="19" s="1"/>
  <c r="A3284" i="19" s="1"/>
  <c r="A3285" i="19" s="1"/>
  <c r="A3286" i="19" s="1"/>
  <c r="A3287" i="19" s="1"/>
  <c r="A3288" i="19" s="1"/>
  <c r="A3289" i="19" s="1"/>
  <c r="A3290" i="19" s="1"/>
  <c r="A3291" i="19" s="1"/>
  <c r="A3292" i="19" s="1"/>
  <c r="A3293" i="19" s="1"/>
  <c r="A3294" i="19" s="1"/>
  <c r="A3295" i="19" s="1"/>
  <c r="A3296" i="19" s="1"/>
  <c r="A3297" i="19" s="1"/>
  <c r="A3298" i="19" s="1"/>
  <c r="A3299" i="19" s="1"/>
  <c r="A3300" i="19" s="1"/>
  <c r="A3301" i="19" s="1"/>
  <c r="A3302" i="19" s="1"/>
  <c r="A3303" i="19" s="1"/>
  <c r="A3304" i="19" s="1"/>
  <c r="A3305" i="19" s="1"/>
  <c r="A3306" i="19" s="1"/>
  <c r="A3307" i="19" s="1"/>
  <c r="A3308" i="19" s="1"/>
  <c r="A3309" i="19" s="1"/>
  <c r="A3310" i="19" s="1"/>
  <c r="A3311" i="19" s="1"/>
  <c r="A3312" i="19" s="1"/>
  <c r="A3313" i="19" s="1"/>
  <c r="A3314" i="19" s="1"/>
  <c r="A3315" i="19" s="1"/>
  <c r="A3316" i="19" s="1"/>
  <c r="A3317" i="19" s="1"/>
  <c r="A3318" i="19" s="1"/>
  <c r="A3319" i="19" s="1"/>
  <c r="A3320" i="19" s="1"/>
  <c r="A3321" i="19" s="1"/>
  <c r="A3322" i="19" s="1"/>
  <c r="A3323" i="19" s="1"/>
  <c r="A3324" i="19" s="1"/>
  <c r="A3325" i="19" s="1"/>
  <c r="A3326" i="19" s="1"/>
  <c r="A3327" i="19" s="1"/>
  <c r="A3328" i="19" s="1"/>
  <c r="A3329" i="19" s="1"/>
  <c r="A3330" i="19" s="1"/>
  <c r="A3331" i="19" s="1"/>
  <c r="A3332" i="19" s="1"/>
  <c r="A3333" i="19" s="1"/>
  <c r="A3334" i="19" s="1"/>
  <c r="A3335" i="19" s="1"/>
  <c r="A3336" i="19" s="1"/>
  <c r="A3337" i="19" s="1"/>
  <c r="A3338" i="19" s="1"/>
  <c r="A3339" i="19" s="1"/>
  <c r="A3340" i="19" s="1"/>
  <c r="A3341" i="19" s="1"/>
  <c r="A3342" i="19" s="1"/>
  <c r="A3343" i="19" s="1"/>
  <c r="A3344" i="19" s="1"/>
  <c r="A3345" i="19" s="1"/>
  <c r="A3346" i="19" s="1"/>
  <c r="A3347" i="19" s="1"/>
  <c r="A3348" i="19" s="1"/>
  <c r="A3349" i="19" s="1"/>
  <c r="A3350" i="19" s="1"/>
  <c r="A3351" i="19" s="1"/>
  <c r="A3352" i="19" s="1"/>
  <c r="A3353" i="19" s="1"/>
  <c r="A3354" i="19" s="1"/>
  <c r="A3355" i="19" s="1"/>
  <c r="A3356" i="19" s="1"/>
  <c r="A3357" i="19" s="1"/>
  <c r="A3358" i="19" s="1"/>
  <c r="A3359" i="19" s="1"/>
  <c r="A3360" i="19" s="1"/>
  <c r="A3361" i="19" s="1"/>
  <c r="A3362" i="19" s="1"/>
  <c r="A3363" i="19" s="1"/>
  <c r="A3364" i="19" s="1"/>
  <c r="A3365" i="19" s="1"/>
  <c r="A3366" i="19" s="1"/>
  <c r="A3367" i="19" s="1"/>
  <c r="A3368" i="19" s="1"/>
  <c r="A3369" i="19" s="1"/>
  <c r="A3370" i="19" s="1"/>
  <c r="A3371" i="19" s="1"/>
  <c r="A3372" i="19" s="1"/>
  <c r="A3373" i="19" s="1"/>
  <c r="A3374" i="19" s="1"/>
  <c r="A3375" i="19" s="1"/>
  <c r="A3376" i="19" s="1"/>
  <c r="A3377" i="19" s="1"/>
  <c r="A3378" i="19" s="1"/>
  <c r="A3379" i="19" s="1"/>
  <c r="A3380" i="19" s="1"/>
  <c r="A3381" i="19" s="1"/>
  <c r="A3382" i="19" s="1"/>
  <c r="A3383" i="19" s="1"/>
  <c r="A3384" i="19" s="1"/>
  <c r="A3385" i="19" s="1"/>
  <c r="A3386" i="19" s="1"/>
  <c r="A3387" i="19" s="1"/>
  <c r="A3388" i="19" s="1"/>
  <c r="A3389" i="19" s="1"/>
  <c r="A3390" i="19" s="1"/>
  <c r="A3391" i="19" s="1"/>
  <c r="A3392" i="19" s="1"/>
  <c r="A3393" i="19" s="1"/>
  <c r="A3394" i="19" s="1"/>
  <c r="A3395" i="19" s="1"/>
  <c r="A3396" i="19" s="1"/>
  <c r="A3397" i="19" s="1"/>
  <c r="A3398" i="19" s="1"/>
  <c r="A3399" i="19" s="1"/>
  <c r="A3400" i="19" s="1"/>
  <c r="A3401" i="19" s="1"/>
  <c r="A3402" i="19" s="1"/>
  <c r="A3403" i="19" s="1"/>
  <c r="A3404" i="19" s="1"/>
  <c r="A3405" i="19" s="1"/>
  <c r="A3406" i="19" s="1"/>
  <c r="A3407" i="19" s="1"/>
  <c r="A3408" i="19" s="1"/>
  <c r="A3409" i="19" s="1"/>
  <c r="A3410" i="19" s="1"/>
  <c r="A3411" i="19" s="1"/>
  <c r="A3412" i="19" s="1"/>
  <c r="A3413" i="19" s="1"/>
  <c r="A3414" i="19" s="1"/>
  <c r="A3415" i="19" s="1"/>
  <c r="A3416" i="19" s="1"/>
  <c r="A3417" i="19" s="1"/>
  <c r="A3418" i="19" s="1"/>
  <c r="A3419" i="19" s="1"/>
  <c r="A3420" i="19" s="1"/>
  <c r="A3421" i="19" s="1"/>
  <c r="A3422" i="19" s="1"/>
  <c r="A3423" i="19" s="1"/>
  <c r="A3424" i="19" s="1"/>
  <c r="A3425" i="19" s="1"/>
  <c r="A3426" i="19" s="1"/>
  <c r="A3427" i="19" s="1"/>
  <c r="A3428" i="19" s="1"/>
  <c r="A3429" i="19" s="1"/>
  <c r="A3430" i="19" s="1"/>
  <c r="A3431" i="19" s="1"/>
  <c r="A3432" i="19" s="1"/>
  <c r="A3433" i="19" s="1"/>
  <c r="A3434" i="19" s="1"/>
  <c r="A3435" i="19" s="1"/>
  <c r="A3436" i="19" s="1"/>
  <c r="A3437" i="19" s="1"/>
  <c r="A3438" i="19" s="1"/>
  <c r="A3439" i="19" s="1"/>
  <c r="A3440" i="19" s="1"/>
  <c r="A3441" i="19" s="1"/>
  <c r="A3442" i="19" s="1"/>
  <c r="A3443" i="19" s="1"/>
  <c r="A3444" i="19" s="1"/>
  <c r="A3445" i="19" s="1"/>
  <c r="A3446" i="19" s="1"/>
  <c r="A3447" i="19" s="1"/>
  <c r="A3448" i="19" s="1"/>
  <c r="A3449" i="19" s="1"/>
  <c r="A3450" i="19" s="1"/>
  <c r="A3451" i="19" s="1"/>
  <c r="A3452" i="19" s="1"/>
  <c r="A3453" i="19" s="1"/>
  <c r="A3454" i="19" s="1"/>
  <c r="A3455" i="19" s="1"/>
  <c r="A3456" i="19" s="1"/>
  <c r="A3457" i="19" s="1"/>
  <c r="A3458" i="19" s="1"/>
  <c r="A3459" i="19" s="1"/>
  <c r="A3460" i="19" s="1"/>
  <c r="A3461" i="19" s="1"/>
  <c r="A3462" i="19" s="1"/>
  <c r="A3463" i="19" s="1"/>
  <c r="A3464" i="19" s="1"/>
  <c r="A3465" i="19" s="1"/>
  <c r="A3466" i="19" s="1"/>
  <c r="A3467" i="19" s="1"/>
  <c r="A3468" i="19" s="1"/>
  <c r="A3469" i="19" s="1"/>
  <c r="A3470" i="19" s="1"/>
  <c r="A3471" i="19" s="1"/>
  <c r="A3472" i="19" s="1"/>
  <c r="A3473" i="19" s="1"/>
  <c r="A3474" i="19" s="1"/>
  <c r="A3475" i="19" s="1"/>
  <c r="A3476" i="19" s="1"/>
  <c r="A3477" i="19" s="1"/>
  <c r="A3478" i="19" s="1"/>
  <c r="A3479" i="19" s="1"/>
  <c r="A3480" i="19" s="1"/>
  <c r="A3481" i="19" s="1"/>
  <c r="A3482" i="19" s="1"/>
  <c r="A3483" i="19" s="1"/>
  <c r="A3484" i="19" s="1"/>
  <c r="A3485" i="19" s="1"/>
  <c r="A3486" i="19" s="1"/>
  <c r="A3487" i="19" s="1"/>
  <c r="A3488" i="19" s="1"/>
  <c r="A3489" i="19" s="1"/>
  <c r="A3490" i="19" s="1"/>
  <c r="A3491" i="19" s="1"/>
  <c r="A3492" i="19" s="1"/>
  <c r="A3493" i="19" s="1"/>
  <c r="A3494" i="19" s="1"/>
  <c r="A3495" i="19" s="1"/>
  <c r="A3496" i="19" s="1"/>
  <c r="A3497" i="19" s="1"/>
  <c r="A3498" i="19" s="1"/>
  <c r="A3499" i="19" s="1"/>
  <c r="A3500" i="19" s="1"/>
  <c r="A3501" i="19" s="1"/>
  <c r="A3502" i="19" s="1"/>
  <c r="A3503" i="19" s="1"/>
  <c r="A3504" i="19" s="1"/>
  <c r="A3505" i="19" s="1"/>
  <c r="A3506" i="19" s="1"/>
  <c r="A3507" i="19" s="1"/>
  <c r="A3508" i="19" s="1"/>
  <c r="A3509" i="19" s="1"/>
  <c r="A3510" i="19" s="1"/>
  <c r="A3511" i="19" s="1"/>
  <c r="A3512" i="19" s="1"/>
  <c r="A3513" i="19" s="1"/>
  <c r="A3514" i="19" s="1"/>
  <c r="A3515" i="19" s="1"/>
  <c r="A3516" i="19" s="1"/>
  <c r="A3517" i="19" s="1"/>
  <c r="A3518" i="19" s="1"/>
  <c r="A3519" i="19" s="1"/>
  <c r="A3520" i="19" s="1"/>
  <c r="A3521" i="19" s="1"/>
  <c r="A3522" i="19" s="1"/>
  <c r="A3523" i="19" s="1"/>
  <c r="A3524" i="19" s="1"/>
  <c r="A3525" i="19" s="1"/>
  <c r="A3526" i="19" s="1"/>
  <c r="A3527" i="19" s="1"/>
  <c r="A3528" i="19" s="1"/>
  <c r="A3529" i="19" s="1"/>
  <c r="A3530" i="19" s="1"/>
  <c r="A3531" i="19" s="1"/>
  <c r="A3532" i="19" s="1"/>
  <c r="A3533" i="19" s="1"/>
  <c r="A3534" i="19" s="1"/>
  <c r="A3535" i="19" s="1"/>
  <c r="A3536" i="19" s="1"/>
  <c r="A3537" i="19" s="1"/>
  <c r="A3538" i="19" s="1"/>
  <c r="A3539" i="19" s="1"/>
  <c r="A3540" i="19" s="1"/>
  <c r="A3541" i="19" s="1"/>
  <c r="A3542" i="19" s="1"/>
  <c r="A3543" i="19" s="1"/>
  <c r="A3544" i="19" s="1"/>
  <c r="A3545" i="19" s="1"/>
  <c r="A3546" i="19" s="1"/>
  <c r="A3547" i="19" s="1"/>
  <c r="A3548" i="19" s="1"/>
  <c r="A3549" i="19" s="1"/>
  <c r="A3550" i="19" s="1"/>
  <c r="A3551" i="19" s="1"/>
  <c r="A3552" i="19" s="1"/>
  <c r="A3553" i="19" s="1"/>
  <c r="A3554" i="19" s="1"/>
  <c r="A3555" i="19" s="1"/>
  <c r="A3556" i="19" s="1"/>
  <c r="A3557" i="19" s="1"/>
  <c r="A3558" i="19" s="1"/>
  <c r="A3559" i="19" s="1"/>
  <c r="A3560" i="19" s="1"/>
  <c r="A3561" i="19" s="1"/>
  <c r="A3562" i="19" s="1"/>
  <c r="A3563" i="19" s="1"/>
  <c r="A3564" i="19" s="1"/>
  <c r="A3565" i="19" s="1"/>
  <c r="A3566" i="19" s="1"/>
  <c r="A3567" i="19" s="1"/>
  <c r="A3568" i="19" s="1"/>
  <c r="A3569" i="19" s="1"/>
  <c r="A3570" i="19" s="1"/>
  <c r="A3571" i="19" s="1"/>
  <c r="A3572" i="19" s="1"/>
  <c r="A3573" i="19" s="1"/>
  <c r="A3574" i="19" s="1"/>
  <c r="A3575" i="19" s="1"/>
  <c r="A3576" i="19" s="1"/>
  <c r="A3577" i="19" s="1"/>
  <c r="A3578" i="19" s="1"/>
  <c r="A3579" i="19" s="1"/>
  <c r="A3580" i="19" s="1"/>
  <c r="A3581" i="19" s="1"/>
  <c r="A3582" i="19" s="1"/>
  <c r="A3583" i="19" s="1"/>
  <c r="A3584" i="19" s="1"/>
  <c r="A3585" i="19" s="1"/>
  <c r="A3586" i="19" s="1"/>
  <c r="A3587" i="19" s="1"/>
  <c r="A3588" i="19" s="1"/>
  <c r="A3589" i="19" s="1"/>
  <c r="A3590" i="19" s="1"/>
  <c r="A3591" i="19" s="1"/>
  <c r="A3592" i="19" s="1"/>
  <c r="A3593" i="19" s="1"/>
  <c r="A3594" i="19" s="1"/>
  <c r="A3595" i="19" s="1"/>
  <c r="A3596" i="19" s="1"/>
  <c r="A3597" i="19" s="1"/>
  <c r="A3598" i="19" s="1"/>
  <c r="A3599" i="19" s="1"/>
  <c r="A3600" i="19" s="1"/>
  <c r="A3601" i="19" s="1"/>
  <c r="A3602" i="19" s="1"/>
  <c r="A3603" i="19" s="1"/>
  <c r="A3604" i="19" s="1"/>
  <c r="A3605" i="19" s="1"/>
  <c r="A3606" i="19" s="1"/>
  <c r="A3607" i="19" s="1"/>
  <c r="A3608" i="19" s="1"/>
  <c r="A3609" i="19" s="1"/>
  <c r="A3610" i="19" s="1"/>
  <c r="A3611" i="19" s="1"/>
  <c r="A3612" i="19" s="1"/>
  <c r="A3613" i="19" s="1"/>
  <c r="A3614" i="19" s="1"/>
  <c r="A3615" i="19" s="1"/>
  <c r="A3616" i="19" s="1"/>
  <c r="A3617" i="19" s="1"/>
  <c r="A3618" i="19" s="1"/>
  <c r="A3619" i="19" s="1"/>
  <c r="A3620" i="19" s="1"/>
  <c r="A3621" i="19" s="1"/>
  <c r="A3622" i="19" s="1"/>
  <c r="A3623" i="19" s="1"/>
  <c r="A3624" i="19" s="1"/>
  <c r="A3625" i="19" s="1"/>
  <c r="A3626" i="19" s="1"/>
  <c r="A3627" i="19" s="1"/>
  <c r="A3628" i="19" s="1"/>
  <c r="A3629" i="19" s="1"/>
  <c r="A3630" i="19" s="1"/>
  <c r="A3631" i="19" s="1"/>
  <c r="A3632" i="19" s="1"/>
  <c r="A3633" i="19" s="1"/>
  <c r="A3634" i="19" s="1"/>
  <c r="A3635" i="19" s="1"/>
  <c r="A3636" i="19" s="1"/>
  <c r="A3637" i="19" s="1"/>
  <c r="A3638" i="19" s="1"/>
  <c r="A3639" i="19" s="1"/>
  <c r="A3640" i="19" s="1"/>
  <c r="A3641" i="19" s="1"/>
  <c r="A3642" i="19" s="1"/>
  <c r="A3643" i="19" s="1"/>
  <c r="A3644" i="19" s="1"/>
  <c r="A3645" i="19" s="1"/>
  <c r="A3646" i="19" s="1"/>
  <c r="A3647" i="19" s="1"/>
  <c r="A3648" i="19" s="1"/>
  <c r="A3649" i="19" s="1"/>
  <c r="A3650" i="19" s="1"/>
  <c r="A3651" i="19" s="1"/>
  <c r="A3652" i="19" s="1"/>
  <c r="A3653" i="19" s="1"/>
  <c r="A3654" i="19" s="1"/>
  <c r="A3655" i="19" s="1"/>
  <c r="A3656" i="19" s="1"/>
  <c r="A3657" i="19" s="1"/>
  <c r="A3658" i="19" s="1"/>
  <c r="A3659" i="19" s="1"/>
  <c r="A3660" i="19" s="1"/>
  <c r="A3661" i="19" s="1"/>
  <c r="A3662" i="19" s="1"/>
  <c r="A3663" i="19" s="1"/>
  <c r="A3664" i="19" s="1"/>
  <c r="A3665" i="19" s="1"/>
  <c r="A3666" i="19" s="1"/>
  <c r="A3667" i="19" s="1"/>
  <c r="A3668" i="19" s="1"/>
  <c r="A3669" i="19" s="1"/>
  <c r="A3670" i="19" s="1"/>
  <c r="A3671" i="19" s="1"/>
  <c r="A3672" i="19" s="1"/>
  <c r="A3673" i="19" s="1"/>
  <c r="A3674" i="19" s="1"/>
  <c r="A3675" i="19" s="1"/>
  <c r="A3676" i="19" s="1"/>
  <c r="A3677" i="19" s="1"/>
  <c r="A3678" i="19" s="1"/>
  <c r="A3679" i="19" s="1"/>
  <c r="A3680" i="19" s="1"/>
  <c r="A3681" i="19" s="1"/>
  <c r="A3682" i="19" s="1"/>
  <c r="A3683" i="19" s="1"/>
  <c r="A3684" i="19" s="1"/>
  <c r="A3685" i="19" s="1"/>
  <c r="A3686" i="19" s="1"/>
  <c r="A3687" i="19" s="1"/>
  <c r="A3688" i="19" s="1"/>
  <c r="A3689" i="19" s="1"/>
  <c r="A3690" i="19" s="1"/>
  <c r="A3691" i="19" s="1"/>
  <c r="A3692" i="19" s="1"/>
  <c r="A3693" i="19" s="1"/>
  <c r="A3694" i="19" s="1"/>
  <c r="A3695" i="19" s="1"/>
  <c r="A3696" i="19" s="1"/>
  <c r="A3697" i="19" s="1"/>
  <c r="A3698" i="19" s="1"/>
  <c r="A3699" i="19" s="1"/>
  <c r="A3700" i="19" s="1"/>
  <c r="A3701" i="19" s="1"/>
  <c r="A3702" i="19" s="1"/>
  <c r="A3703" i="19" s="1"/>
  <c r="A3704" i="19" s="1"/>
  <c r="A3705" i="19" s="1"/>
  <c r="A3706" i="19" s="1"/>
  <c r="A3707" i="19" s="1"/>
  <c r="A3708" i="19" s="1"/>
  <c r="A3709" i="19" s="1"/>
  <c r="A3710" i="19" s="1"/>
  <c r="A3711" i="19" s="1"/>
  <c r="A3712" i="19" s="1"/>
  <c r="A3713" i="19" s="1"/>
  <c r="A3714" i="19" s="1"/>
  <c r="A3715" i="19" s="1"/>
  <c r="A3716" i="19" s="1"/>
  <c r="A3717" i="19" s="1"/>
  <c r="A3718" i="19" s="1"/>
  <c r="A3719" i="19" s="1"/>
  <c r="A3720" i="19" s="1"/>
  <c r="A3721" i="19" s="1"/>
  <c r="A3722" i="19" s="1"/>
  <c r="A3723" i="19" s="1"/>
  <c r="A3724" i="19" s="1"/>
  <c r="A3725" i="19" s="1"/>
  <c r="A3726" i="19" s="1"/>
  <c r="A3727" i="19" s="1"/>
  <c r="A3728" i="19" s="1"/>
  <c r="A3729" i="19" s="1"/>
  <c r="A3730" i="19" s="1"/>
  <c r="A3731" i="19" s="1"/>
  <c r="A3732" i="19" s="1"/>
  <c r="A3733" i="19" s="1"/>
  <c r="A3734" i="19" s="1"/>
  <c r="A3735" i="19" s="1"/>
  <c r="A3736" i="19" s="1"/>
  <c r="A3737" i="19" s="1"/>
  <c r="A3738" i="19" s="1"/>
  <c r="A3739" i="19" s="1"/>
  <c r="A3740" i="19" s="1"/>
  <c r="A3741" i="19" s="1"/>
  <c r="A3742" i="19" s="1"/>
  <c r="A3743" i="19" s="1"/>
  <c r="A3744" i="19" s="1"/>
  <c r="A3745" i="19" s="1"/>
  <c r="A3746" i="19" s="1"/>
  <c r="A3747" i="19" s="1"/>
  <c r="A3748" i="19" s="1"/>
  <c r="A3749" i="19" s="1"/>
  <c r="A3750" i="19" s="1"/>
  <c r="A3751" i="19" s="1"/>
  <c r="A3752" i="19" s="1"/>
  <c r="A3753" i="19" s="1"/>
  <c r="A3754" i="19" s="1"/>
  <c r="A3755" i="19" s="1"/>
  <c r="A3756" i="19" s="1"/>
  <c r="A3757" i="19" s="1"/>
  <c r="A3758" i="19" s="1"/>
  <c r="A3759" i="19" s="1"/>
  <c r="A3760" i="19" s="1"/>
  <c r="A3761" i="19" s="1"/>
  <c r="A3762" i="19" s="1"/>
  <c r="A3763" i="19" s="1"/>
  <c r="A3764" i="19" s="1"/>
  <c r="A3765" i="19" s="1"/>
  <c r="A3766" i="19" s="1"/>
  <c r="A3767" i="19" s="1"/>
  <c r="A3768" i="19" s="1"/>
  <c r="A3769" i="19" s="1"/>
  <c r="A3770" i="19" s="1"/>
  <c r="A3771" i="19" s="1"/>
  <c r="A3772" i="19" s="1"/>
  <c r="A3773" i="19" s="1"/>
  <c r="A3774" i="19" s="1"/>
  <c r="A3775" i="19" s="1"/>
  <c r="A3776" i="19" s="1"/>
  <c r="A3777" i="19" s="1"/>
  <c r="A3778" i="19" s="1"/>
  <c r="A3779" i="19" s="1"/>
  <c r="A3780" i="19" s="1"/>
  <c r="A3781" i="19" s="1"/>
  <c r="A3782" i="19" s="1"/>
  <c r="A3783" i="19" s="1"/>
  <c r="A3784" i="19" s="1"/>
  <c r="A3785" i="19" s="1"/>
  <c r="A3786" i="19" s="1"/>
  <c r="A3787" i="19" s="1"/>
  <c r="A3788" i="19" s="1"/>
  <c r="A3789" i="19" s="1"/>
  <c r="A3790" i="19" s="1"/>
  <c r="A3791" i="19" s="1"/>
  <c r="A3792" i="19" s="1"/>
  <c r="A3793" i="19" s="1"/>
  <c r="A3794" i="19" s="1"/>
  <c r="A3795" i="19" s="1"/>
  <c r="A3796" i="19" s="1"/>
  <c r="A3797" i="19" s="1"/>
  <c r="A3798" i="19" s="1"/>
  <c r="A3799" i="19" s="1"/>
  <c r="A3800" i="19" s="1"/>
  <c r="A3801" i="19" s="1"/>
  <c r="A3802" i="19" s="1"/>
  <c r="A3803" i="19" s="1"/>
  <c r="A3804" i="19" s="1"/>
  <c r="A3805" i="19" s="1"/>
  <c r="A3806" i="19" s="1"/>
  <c r="A3807" i="19" s="1"/>
  <c r="A3808" i="19" s="1"/>
  <c r="A3809" i="19" s="1"/>
  <c r="A3810" i="19" s="1"/>
  <c r="A3811" i="19" s="1"/>
  <c r="A3812" i="19" s="1"/>
  <c r="A3813" i="19" s="1"/>
  <c r="A3814" i="19" s="1"/>
  <c r="A3815" i="19" s="1"/>
  <c r="A3816" i="19" s="1"/>
  <c r="A3817" i="19" s="1"/>
  <c r="A3818" i="19" s="1"/>
  <c r="A3819" i="19" s="1"/>
  <c r="A3820" i="19" s="1"/>
  <c r="A3821" i="19" s="1"/>
  <c r="A3822" i="19" s="1"/>
  <c r="A3823" i="19" s="1"/>
  <c r="A3824" i="19" s="1"/>
  <c r="A3825" i="19" s="1"/>
  <c r="A3826" i="19" s="1"/>
  <c r="A3827" i="19" s="1"/>
  <c r="A3828" i="19" s="1"/>
  <c r="A3829" i="19" s="1"/>
  <c r="A3830" i="19" s="1"/>
  <c r="A3831" i="19" s="1"/>
  <c r="A3832" i="19" s="1"/>
  <c r="A3833" i="19" s="1"/>
  <c r="A3834" i="19" s="1"/>
  <c r="A3835" i="19" s="1"/>
  <c r="A3836" i="19" s="1"/>
  <c r="A3837" i="19" s="1"/>
  <c r="A3838" i="19" s="1"/>
  <c r="A3839" i="19" s="1"/>
  <c r="A3840" i="19" s="1"/>
  <c r="A3841" i="19" s="1"/>
  <c r="A3842" i="19" s="1"/>
  <c r="A3843" i="19" s="1"/>
  <c r="A3844" i="19" s="1"/>
  <c r="A3845" i="19" s="1"/>
  <c r="A3846" i="19" s="1"/>
  <c r="A3847" i="19" s="1"/>
  <c r="A3848" i="19" s="1"/>
  <c r="A3849" i="19" s="1"/>
  <c r="A3850" i="19" s="1"/>
  <c r="A3851" i="19" s="1"/>
  <c r="A3852" i="19" s="1"/>
  <c r="A3853" i="19" s="1"/>
  <c r="A3854" i="19" s="1"/>
  <c r="A3855" i="19" s="1"/>
  <c r="A3856" i="19" s="1"/>
  <c r="A3857" i="19" s="1"/>
  <c r="A3858" i="19" s="1"/>
  <c r="A3859" i="19" s="1"/>
  <c r="A3860" i="19" s="1"/>
  <c r="A3861" i="19" s="1"/>
  <c r="A3862" i="19" s="1"/>
  <c r="A3863" i="19" s="1"/>
  <c r="A3864" i="19" s="1"/>
  <c r="A3865" i="19" s="1"/>
  <c r="A3866" i="19" s="1"/>
  <c r="A3867" i="19" s="1"/>
  <c r="A3868" i="19" s="1"/>
  <c r="A3869" i="19" s="1"/>
  <c r="A3870" i="19" s="1"/>
  <c r="A3871" i="19" s="1"/>
  <c r="A3872" i="19" s="1"/>
  <c r="A3873" i="19" s="1"/>
  <c r="A3874" i="19" s="1"/>
  <c r="A3875" i="19" s="1"/>
  <c r="A3876" i="19" s="1"/>
  <c r="A3877" i="19" s="1"/>
  <c r="A3878" i="19" s="1"/>
  <c r="A3879" i="19" s="1"/>
  <c r="A3880" i="19" s="1"/>
  <c r="A3881" i="19" s="1"/>
  <c r="A3882" i="19" s="1"/>
  <c r="A3883" i="19" s="1"/>
  <c r="A3884" i="19" s="1"/>
  <c r="A3885" i="19" s="1"/>
  <c r="A3886" i="19" s="1"/>
  <c r="A3887" i="19" s="1"/>
  <c r="A3888" i="19" s="1"/>
  <c r="A3889" i="19" s="1"/>
  <c r="A3890" i="19" s="1"/>
  <c r="A3891" i="19" s="1"/>
  <c r="A3892" i="19" s="1"/>
  <c r="A3893" i="19" s="1"/>
  <c r="A3894" i="19" s="1"/>
  <c r="A3895" i="19" s="1"/>
  <c r="A3896" i="19" s="1"/>
  <c r="A3897" i="19" s="1"/>
  <c r="A3898" i="19" s="1"/>
  <c r="A3899" i="19" s="1"/>
  <c r="A3900" i="19" s="1"/>
  <c r="A3901" i="19" s="1"/>
  <c r="A3902" i="19" s="1"/>
  <c r="A3903" i="19" s="1"/>
  <c r="A3904" i="19" s="1"/>
  <c r="A3905" i="19" s="1"/>
  <c r="A3906" i="19" s="1"/>
  <c r="A3907" i="19" s="1"/>
  <c r="A3908" i="19" s="1"/>
  <c r="A3909" i="19" s="1"/>
  <c r="A3910" i="19" s="1"/>
  <c r="A3911" i="19" s="1"/>
  <c r="A3912" i="19" s="1"/>
  <c r="A3913" i="19" s="1"/>
  <c r="A3914" i="19" s="1"/>
  <c r="A3915" i="19" s="1"/>
  <c r="A3916" i="19" s="1"/>
  <c r="A3917" i="19" s="1"/>
  <c r="A3918" i="19" s="1"/>
  <c r="A3919" i="19" s="1"/>
  <c r="A3920" i="19" s="1"/>
  <c r="A3921" i="19" s="1"/>
  <c r="A3922" i="19" s="1"/>
  <c r="A3923" i="19" s="1"/>
  <c r="A3924" i="19" s="1"/>
  <c r="A3925" i="19" s="1"/>
  <c r="A3926" i="19" s="1"/>
  <c r="A3927" i="19" s="1"/>
  <c r="A3928" i="19" s="1"/>
  <c r="A3929" i="19" s="1"/>
  <c r="A3930" i="19" s="1"/>
  <c r="A3931" i="19" s="1"/>
  <c r="A3932" i="19" s="1"/>
  <c r="A3933" i="19" s="1"/>
  <c r="A3934" i="19" s="1"/>
  <c r="A3935" i="19" s="1"/>
  <c r="A3936" i="19" s="1"/>
  <c r="A3937" i="19" s="1"/>
  <c r="A3938" i="19" s="1"/>
  <c r="A3939" i="19" s="1"/>
  <c r="A3940" i="19" s="1"/>
  <c r="A3941" i="19" s="1"/>
  <c r="A3942" i="19" s="1"/>
  <c r="A3943" i="19" s="1"/>
  <c r="A3944" i="19" s="1"/>
  <c r="A3945" i="19" s="1"/>
  <c r="A3946" i="19" s="1"/>
  <c r="A3947" i="19" s="1"/>
  <c r="A3948" i="19" s="1"/>
  <c r="A3949" i="19" s="1"/>
  <c r="A3950" i="19" s="1"/>
  <c r="A3951" i="19" s="1"/>
  <c r="A3952" i="19" s="1"/>
  <c r="A3953" i="19" s="1"/>
  <c r="A3954" i="19" s="1"/>
  <c r="A3955" i="19" s="1"/>
  <c r="A3956" i="19" s="1"/>
  <c r="A3957" i="19" s="1"/>
  <c r="A3958" i="19" s="1"/>
  <c r="A3959" i="19" s="1"/>
  <c r="A3960" i="19" s="1"/>
  <c r="A3961" i="19" s="1"/>
  <c r="A3962" i="19" s="1"/>
  <c r="A3963" i="19" s="1"/>
  <c r="A3964" i="19" s="1"/>
  <c r="A3965" i="19" s="1"/>
  <c r="A3966" i="19" s="1"/>
  <c r="A3967" i="19" s="1"/>
  <c r="A3968" i="19" s="1"/>
  <c r="A3969" i="19" s="1"/>
  <c r="A3970" i="19" s="1"/>
  <c r="A3971" i="19" s="1"/>
  <c r="A3972" i="19" s="1"/>
  <c r="A3973" i="19" s="1"/>
  <c r="A3974" i="19" s="1"/>
  <c r="A3975" i="19" s="1"/>
  <c r="A3976" i="19" s="1"/>
  <c r="A3977" i="19" s="1"/>
  <c r="A3978" i="19" s="1"/>
  <c r="A3979" i="19" s="1"/>
  <c r="A3980" i="19" s="1"/>
  <c r="A3981" i="19" s="1"/>
  <c r="A3982" i="19" s="1"/>
  <c r="A3983" i="19" s="1"/>
  <c r="A3984" i="19" s="1"/>
  <c r="A3985" i="19" s="1"/>
  <c r="A3986" i="19" s="1"/>
  <c r="A3987" i="19" s="1"/>
  <c r="A3988" i="19" s="1"/>
  <c r="A3989" i="19" s="1"/>
  <c r="A3990" i="19" s="1"/>
  <c r="A3991" i="19" s="1"/>
  <c r="A3992" i="19" s="1"/>
  <c r="A3993" i="19" s="1"/>
  <c r="A3994" i="19" s="1"/>
  <c r="A3995" i="19" s="1"/>
  <c r="A3996" i="19" s="1"/>
  <c r="A3997" i="19" s="1"/>
  <c r="A3998" i="19" s="1"/>
  <c r="A3999" i="19" s="1"/>
  <c r="A4000" i="19" s="1"/>
  <c r="A4001" i="19" s="1"/>
  <c r="A4002" i="19" s="1"/>
  <c r="A4003" i="19" s="1"/>
  <c r="A4004" i="19" s="1"/>
  <c r="A4005" i="19" s="1"/>
  <c r="A4006" i="19" s="1"/>
  <c r="A4007" i="19" s="1"/>
  <c r="A4008" i="19" s="1"/>
  <c r="A4009" i="19" s="1"/>
  <c r="A4010" i="19" s="1"/>
  <c r="A4011" i="19" s="1"/>
  <c r="A4012" i="19" s="1"/>
  <c r="A4013" i="19" s="1"/>
  <c r="A4014" i="19" s="1"/>
  <c r="A4015" i="19" s="1"/>
  <c r="A4016" i="19" s="1"/>
  <c r="A4017" i="19" s="1"/>
  <c r="A4018" i="19" s="1"/>
  <c r="A4019" i="19" s="1"/>
  <c r="A4020" i="19" s="1"/>
  <c r="A4021" i="19" s="1"/>
  <c r="A4022" i="19" s="1"/>
  <c r="A4023" i="19" s="1"/>
  <c r="A4024" i="19" s="1"/>
  <c r="A4025" i="19" s="1"/>
  <c r="A4026" i="19" s="1"/>
  <c r="A4027" i="19" s="1"/>
  <c r="A4028" i="19" s="1"/>
  <c r="A4029" i="19" s="1"/>
  <c r="A4030" i="19" s="1"/>
  <c r="A4031" i="19" s="1"/>
  <c r="A4032" i="19" s="1"/>
  <c r="A4033" i="19" s="1"/>
  <c r="A4034" i="19" s="1"/>
  <c r="A4035" i="19" s="1"/>
  <c r="A4036" i="19" s="1"/>
  <c r="A4037" i="19" s="1"/>
  <c r="A4038" i="19" s="1"/>
  <c r="A4039" i="19" s="1"/>
  <c r="A4040" i="19" s="1"/>
  <c r="A4041" i="19" s="1"/>
  <c r="A4042" i="19" s="1"/>
  <c r="A4043" i="19" s="1"/>
  <c r="A4044" i="19" s="1"/>
  <c r="A4045" i="19" s="1"/>
  <c r="A4046" i="19" s="1"/>
  <c r="A4047" i="19" s="1"/>
  <c r="A4048" i="19" s="1"/>
  <c r="A4049" i="19" s="1"/>
  <c r="A4050" i="19" s="1"/>
  <c r="A4051" i="19" s="1"/>
  <c r="A4052" i="19" s="1"/>
  <c r="A4053" i="19" s="1"/>
  <c r="A4054" i="19" s="1"/>
  <c r="A4055" i="19" s="1"/>
  <c r="A4056" i="19" s="1"/>
  <c r="A4057" i="19" s="1"/>
  <c r="A4058" i="19" s="1"/>
  <c r="A4059" i="19" s="1"/>
  <c r="A4060" i="19" s="1"/>
  <c r="A4061" i="19" s="1"/>
  <c r="A4062" i="19" s="1"/>
  <c r="A4063" i="19" s="1"/>
  <c r="A4064" i="19" s="1"/>
  <c r="A4065" i="19" s="1"/>
  <c r="A4066" i="19" s="1"/>
  <c r="A4067" i="19" s="1"/>
  <c r="A4068" i="19" s="1"/>
  <c r="A4069" i="19" s="1"/>
  <c r="A4070" i="19" s="1"/>
  <c r="A4071" i="19" s="1"/>
  <c r="A4072" i="19" s="1"/>
  <c r="A4073" i="19" s="1"/>
  <c r="A4074" i="19" s="1"/>
  <c r="A4075" i="19" s="1"/>
  <c r="A4076" i="19" s="1"/>
  <c r="A4077" i="19" s="1"/>
  <c r="A4078" i="19" s="1"/>
  <c r="A4079" i="19" s="1"/>
  <c r="A4080" i="19" s="1"/>
  <c r="A4081" i="19" s="1"/>
  <c r="A4082" i="19" s="1"/>
  <c r="A4083" i="19" s="1"/>
  <c r="A4084" i="19" s="1"/>
  <c r="A4085" i="19" s="1"/>
  <c r="A4086" i="19" s="1"/>
  <c r="A4087" i="19" s="1"/>
  <c r="A4088" i="19" s="1"/>
  <c r="A4089" i="19" s="1"/>
  <c r="A4090" i="19" s="1"/>
  <c r="A4091" i="19" s="1"/>
  <c r="A4092" i="19" s="1"/>
  <c r="A4093" i="19" s="1"/>
  <c r="A4094" i="19" s="1"/>
  <c r="A4095" i="19" s="1"/>
  <c r="A4096" i="19" s="1"/>
  <c r="A4097" i="19" s="1"/>
  <c r="A4098" i="19" s="1"/>
  <c r="A4099" i="19" s="1"/>
  <c r="A4100" i="19" s="1"/>
  <c r="A4101" i="19" s="1"/>
  <c r="A4102" i="19" s="1"/>
  <c r="A4103" i="19" s="1"/>
  <c r="A4104" i="19" s="1"/>
  <c r="A4105" i="19" s="1"/>
  <c r="A4106" i="19" s="1"/>
  <c r="A4107" i="19" s="1"/>
  <c r="A4108" i="19" s="1"/>
  <c r="A4109" i="19" s="1"/>
  <c r="A4110" i="19" s="1"/>
  <c r="A4111" i="19" s="1"/>
  <c r="A4112" i="19" s="1"/>
  <c r="A4113" i="19" s="1"/>
  <c r="A4114" i="19" s="1"/>
  <c r="A4115" i="19" s="1"/>
  <c r="A4116" i="19" s="1"/>
  <c r="A4117" i="19" s="1"/>
  <c r="A4118" i="19" s="1"/>
  <c r="A4119" i="19" s="1"/>
  <c r="A4120" i="19" s="1"/>
  <c r="A4121" i="19" s="1"/>
  <c r="A4122" i="19" s="1"/>
  <c r="A4123" i="19" s="1"/>
  <c r="A4124" i="19" s="1"/>
  <c r="A4125" i="19" s="1"/>
  <c r="A4126" i="19" s="1"/>
  <c r="A4127" i="19" s="1"/>
  <c r="A4128" i="19" s="1"/>
  <c r="A4129" i="19" s="1"/>
  <c r="A4130" i="19" s="1"/>
  <c r="A4131" i="19" s="1"/>
  <c r="A4132" i="19" s="1"/>
  <c r="A4133" i="19" s="1"/>
  <c r="A4134" i="19" s="1"/>
  <c r="A4135" i="19" s="1"/>
  <c r="A4136" i="19" s="1"/>
  <c r="A4137" i="19" s="1"/>
  <c r="A4138" i="19" s="1"/>
  <c r="A4139" i="19" s="1"/>
  <c r="A4140" i="19" s="1"/>
  <c r="A4141" i="19" s="1"/>
  <c r="A4142" i="19" s="1"/>
  <c r="A4143" i="19" s="1"/>
  <c r="A4144" i="19" s="1"/>
  <c r="A4145" i="19" s="1"/>
  <c r="A4146" i="19" s="1"/>
  <c r="A4147" i="19" s="1"/>
  <c r="A4148" i="19" s="1"/>
  <c r="A4149" i="19" s="1"/>
  <c r="A4150" i="19" s="1"/>
  <c r="A4151" i="19" s="1"/>
  <c r="A4152" i="19" s="1"/>
  <c r="A4153" i="19" s="1"/>
  <c r="A4154" i="19" s="1"/>
  <c r="A4155" i="19" s="1"/>
  <c r="A4156" i="19" s="1"/>
  <c r="A4157" i="19" s="1"/>
  <c r="A4158" i="19" s="1"/>
  <c r="A4159" i="19" s="1"/>
  <c r="A4160" i="19" s="1"/>
  <c r="A4161" i="19" s="1"/>
  <c r="A4162" i="19" s="1"/>
  <c r="A4163" i="19" s="1"/>
  <c r="A4164" i="19" s="1"/>
  <c r="A4165" i="19" s="1"/>
  <c r="A4166" i="19" s="1"/>
  <c r="A4167" i="19" s="1"/>
  <c r="A4168" i="19" s="1"/>
  <c r="A4169" i="19" s="1"/>
  <c r="A4170" i="19" s="1"/>
  <c r="A4171" i="19" s="1"/>
  <c r="A4172" i="19" s="1"/>
  <c r="A4173" i="19" s="1"/>
  <c r="A4174" i="19" s="1"/>
  <c r="A4175" i="19" s="1"/>
  <c r="A4176" i="19" s="1"/>
  <c r="A4177" i="19" s="1"/>
  <c r="A4178" i="19" s="1"/>
  <c r="A4179" i="19" s="1"/>
  <c r="A4180" i="19" s="1"/>
  <c r="A4181" i="19" s="1"/>
  <c r="A4182" i="19" s="1"/>
  <c r="A4183" i="19" s="1"/>
  <c r="A4184" i="19" s="1"/>
  <c r="A4185" i="19" s="1"/>
  <c r="A4186" i="19" s="1"/>
  <c r="A4187" i="19" s="1"/>
  <c r="A4188" i="19" s="1"/>
  <c r="A4189" i="19" s="1"/>
  <c r="A4190" i="19" s="1"/>
  <c r="A4191" i="19" s="1"/>
  <c r="A4192" i="19" s="1"/>
  <c r="A4193" i="19" s="1"/>
  <c r="A4194" i="19" s="1"/>
  <c r="A4195" i="19" s="1"/>
  <c r="A4196" i="19" s="1"/>
  <c r="A4197" i="19" s="1"/>
  <c r="A4198" i="19" s="1"/>
  <c r="A4199" i="19" s="1"/>
  <c r="A4200" i="19" s="1"/>
  <c r="A4201" i="19" s="1"/>
  <c r="A4202" i="19" s="1"/>
  <c r="A4203" i="19" s="1"/>
  <c r="A4204" i="19" s="1"/>
  <c r="A4205" i="19" s="1"/>
  <c r="A4206" i="19" s="1"/>
  <c r="A4207" i="19" s="1"/>
  <c r="A4208" i="19" s="1"/>
  <c r="A4209" i="19" s="1"/>
  <c r="A4210" i="19" s="1"/>
  <c r="A4211" i="19" s="1"/>
  <c r="A4212" i="19" s="1"/>
  <c r="A4213" i="19" s="1"/>
  <c r="A4214" i="19" s="1"/>
  <c r="A4215" i="19" s="1"/>
  <c r="A4216" i="19" s="1"/>
  <c r="A4217" i="19" s="1"/>
  <c r="A4218" i="19" s="1"/>
  <c r="A4219" i="19" s="1"/>
  <c r="A4220" i="19" s="1"/>
  <c r="A4221" i="19" s="1"/>
  <c r="A4222" i="19" s="1"/>
  <c r="A4223" i="19" s="1"/>
  <c r="A4224" i="19" s="1"/>
  <c r="A4225" i="19" s="1"/>
  <c r="A4226" i="19" s="1"/>
  <c r="A4227" i="19" s="1"/>
  <c r="A4228" i="19" s="1"/>
  <c r="A4229" i="19" s="1"/>
  <c r="A4230" i="19" s="1"/>
  <c r="A4231" i="19" s="1"/>
  <c r="A4232" i="19" s="1"/>
  <c r="A4233" i="19" s="1"/>
  <c r="A4234" i="19" s="1"/>
  <c r="A4235" i="19" s="1"/>
  <c r="A4236" i="19" s="1"/>
  <c r="A4237" i="19" s="1"/>
  <c r="A4238" i="19" s="1"/>
  <c r="A4239" i="19" s="1"/>
  <c r="A4240" i="19" s="1"/>
  <c r="A4241" i="19" s="1"/>
  <c r="A4242" i="19" s="1"/>
  <c r="A4243" i="19" s="1"/>
  <c r="A4244" i="19" s="1"/>
  <c r="A4245" i="19" s="1"/>
  <c r="A4246" i="19" s="1"/>
  <c r="A4247" i="19" s="1"/>
  <c r="A4248" i="19" s="1"/>
  <c r="A4249" i="19" s="1"/>
  <c r="A4250" i="19" s="1"/>
  <c r="A4251" i="19" s="1"/>
  <c r="A4252" i="19" s="1"/>
  <c r="A4253" i="19" s="1"/>
  <c r="A4254" i="19" s="1"/>
  <c r="A4255" i="19" s="1"/>
  <c r="A4256" i="19" s="1"/>
  <c r="A4257" i="19" s="1"/>
  <c r="A4258" i="19" s="1"/>
  <c r="A4259" i="19" s="1"/>
  <c r="A4260" i="19" s="1"/>
  <c r="A4261" i="19" s="1"/>
  <c r="A4262" i="19" s="1"/>
  <c r="A4263" i="19" s="1"/>
  <c r="A4264" i="19" s="1"/>
  <c r="A4265" i="19" s="1"/>
  <c r="A4266" i="19" s="1"/>
  <c r="A4267" i="19" s="1"/>
  <c r="A4268" i="19" s="1"/>
  <c r="A4269" i="19" s="1"/>
  <c r="A4270" i="19" s="1"/>
  <c r="A4271" i="19" s="1"/>
  <c r="A4272" i="19" s="1"/>
  <c r="A4273" i="19" s="1"/>
  <c r="A4274" i="19" s="1"/>
  <c r="A4275" i="19" s="1"/>
  <c r="A4276" i="19" s="1"/>
  <c r="A4277" i="19" s="1"/>
  <c r="A4278" i="19" s="1"/>
  <c r="A4279" i="19" s="1"/>
  <c r="A4280" i="19" s="1"/>
  <c r="A4281" i="19" s="1"/>
  <c r="A4282" i="19" s="1"/>
  <c r="A4283" i="19" s="1"/>
  <c r="A4284" i="19" s="1"/>
  <c r="A4285" i="19" s="1"/>
  <c r="A4286" i="19" s="1"/>
  <c r="A4287" i="19" s="1"/>
  <c r="A4288" i="19" s="1"/>
  <c r="A4289" i="19" s="1"/>
  <c r="A4290" i="19" s="1"/>
  <c r="A4291" i="19" s="1"/>
  <c r="A4292" i="19" s="1"/>
  <c r="A4293" i="19" s="1"/>
  <c r="A4294" i="19" s="1"/>
  <c r="A4295" i="19" s="1"/>
  <c r="A4296" i="19" s="1"/>
  <c r="A4297" i="19" s="1"/>
  <c r="A4298" i="19" s="1"/>
  <c r="A4299" i="19" s="1"/>
  <c r="A4300" i="19" s="1"/>
  <c r="A4301" i="19" s="1"/>
  <c r="A4302" i="19" s="1"/>
  <c r="A4303" i="19" s="1"/>
  <c r="A4304" i="19" s="1"/>
  <c r="A4305" i="19" s="1"/>
  <c r="A4306" i="19" s="1"/>
  <c r="A4307" i="19" s="1"/>
  <c r="A4308" i="19" s="1"/>
  <c r="A4309" i="19" s="1"/>
  <c r="A4310" i="19" s="1"/>
  <c r="A4311" i="19" s="1"/>
  <c r="A4312" i="19" s="1"/>
  <c r="A4313" i="19" s="1"/>
  <c r="A4314" i="19" s="1"/>
  <c r="A4315" i="19" s="1"/>
  <c r="A4316" i="19" s="1"/>
  <c r="A4317" i="19" s="1"/>
  <c r="A4318" i="19" s="1"/>
  <c r="A4319" i="19" s="1"/>
  <c r="A4320" i="19" s="1"/>
  <c r="A4321" i="19" s="1"/>
  <c r="A4322" i="19" s="1"/>
  <c r="A4323" i="19" s="1"/>
  <c r="A4324" i="19" s="1"/>
  <c r="A4325" i="19" s="1"/>
  <c r="A4326" i="19" s="1"/>
  <c r="A4327" i="19" s="1"/>
  <c r="A4328" i="19" s="1"/>
  <c r="A4329" i="19" s="1"/>
  <c r="A4330" i="19" s="1"/>
  <c r="A4331" i="19" s="1"/>
  <c r="A4332" i="19" s="1"/>
  <c r="A4333" i="19" s="1"/>
  <c r="A4334" i="19" s="1"/>
  <c r="A4335" i="19" s="1"/>
  <c r="A4336" i="19" s="1"/>
  <c r="A4337" i="19" s="1"/>
  <c r="A4338" i="19" s="1"/>
  <c r="A4339" i="19" s="1"/>
  <c r="A4340" i="19" s="1"/>
  <c r="A4341" i="19" s="1"/>
  <c r="A4342" i="19" s="1"/>
  <c r="A4343" i="19" s="1"/>
  <c r="A4344" i="19" s="1"/>
  <c r="A4345" i="19" s="1"/>
  <c r="A4346" i="19" s="1"/>
  <c r="A4347" i="19" s="1"/>
  <c r="A4348" i="19" s="1"/>
  <c r="A4349" i="19" s="1"/>
  <c r="A4350" i="19" s="1"/>
  <c r="A4351" i="19" s="1"/>
  <c r="A4352" i="19" s="1"/>
  <c r="A4353" i="19" s="1"/>
  <c r="A4354" i="19" s="1"/>
  <c r="A4355" i="19" s="1"/>
  <c r="A4356" i="19" s="1"/>
  <c r="A4357" i="19" s="1"/>
  <c r="A4358" i="19" s="1"/>
  <c r="A4359" i="19" s="1"/>
  <c r="A4360" i="19" s="1"/>
  <c r="A4361" i="19" s="1"/>
  <c r="A4362" i="19" s="1"/>
  <c r="A4363" i="19" s="1"/>
  <c r="A4364" i="19" s="1"/>
  <c r="A4365" i="19" s="1"/>
  <c r="A4366" i="19" s="1"/>
  <c r="A4367" i="19" s="1"/>
  <c r="A4368" i="19" s="1"/>
  <c r="A4369" i="19" s="1"/>
  <c r="A4370" i="19" s="1"/>
  <c r="A4371" i="19" s="1"/>
  <c r="A4372" i="19" s="1"/>
  <c r="A4373" i="19" s="1"/>
  <c r="A4374" i="19" s="1"/>
  <c r="A4375" i="19" s="1"/>
  <c r="A4376" i="19" s="1"/>
  <c r="A4377" i="19" s="1"/>
  <c r="A4378" i="19" s="1"/>
  <c r="A4379" i="19" s="1"/>
  <c r="A4380" i="19" s="1"/>
  <c r="A4381" i="19" s="1"/>
  <c r="A4382" i="19" s="1"/>
  <c r="A4383" i="19" s="1"/>
  <c r="A4384" i="19" s="1"/>
  <c r="A4385" i="19" s="1"/>
  <c r="A4386" i="19" s="1"/>
  <c r="A4387" i="19" s="1"/>
  <c r="A4388" i="19" s="1"/>
  <c r="A4389" i="19" s="1"/>
  <c r="A4390" i="19" s="1"/>
  <c r="A4391" i="19" s="1"/>
  <c r="A4392" i="19" s="1"/>
  <c r="A4393" i="19" s="1"/>
  <c r="A4394" i="19" s="1"/>
  <c r="A4395" i="19" s="1"/>
  <c r="A4396" i="19" s="1"/>
  <c r="A4397" i="19" s="1"/>
  <c r="A4398" i="19" s="1"/>
  <c r="A4399" i="19" s="1"/>
  <c r="A4400" i="19" s="1"/>
  <c r="A4401" i="19" s="1"/>
  <c r="A4402" i="19" s="1"/>
  <c r="A4403" i="19" s="1"/>
  <c r="A4404" i="19" s="1"/>
  <c r="A4405" i="19" s="1"/>
  <c r="A4406" i="19" s="1"/>
  <c r="A4407" i="19" s="1"/>
  <c r="A4408" i="19" s="1"/>
  <c r="A4409" i="19" s="1"/>
  <c r="A4410" i="19" s="1"/>
  <c r="A4411" i="19" s="1"/>
  <c r="A4412" i="19" s="1"/>
  <c r="A4413" i="19" s="1"/>
  <c r="A4414" i="19" s="1"/>
  <c r="A4415" i="19" s="1"/>
  <c r="A4416" i="19" s="1"/>
  <c r="A4417" i="19" s="1"/>
  <c r="A4418" i="19" s="1"/>
  <c r="A4419" i="19" s="1"/>
  <c r="A4420" i="19" s="1"/>
  <c r="A4421" i="19" s="1"/>
  <c r="A4422" i="19" s="1"/>
  <c r="A4423" i="19" s="1"/>
  <c r="A4424" i="19" s="1"/>
  <c r="A4425" i="19" s="1"/>
  <c r="A4426" i="19" s="1"/>
  <c r="A4427" i="19" s="1"/>
  <c r="A4428" i="19" s="1"/>
  <c r="A4429" i="19" s="1"/>
  <c r="A4430" i="19" s="1"/>
  <c r="A4431" i="19" s="1"/>
  <c r="A4432" i="19" s="1"/>
  <c r="A4433" i="19" s="1"/>
  <c r="A4434" i="19" s="1"/>
  <c r="A4435" i="19" s="1"/>
  <c r="A4436" i="19" s="1"/>
  <c r="A4437" i="19" s="1"/>
  <c r="A4438" i="19" s="1"/>
  <c r="A4439" i="19" s="1"/>
  <c r="A4440" i="19" s="1"/>
  <c r="A4441" i="19" s="1"/>
  <c r="A4442" i="19" s="1"/>
  <c r="A4443" i="19" s="1"/>
  <c r="A4444" i="19" s="1"/>
  <c r="A4445" i="19" s="1"/>
  <c r="A4446" i="19" s="1"/>
  <c r="A4447" i="19" s="1"/>
  <c r="A4448" i="19" s="1"/>
  <c r="A4449" i="19" s="1"/>
  <c r="A4450" i="19" s="1"/>
  <c r="A4451" i="19" s="1"/>
  <c r="A4452" i="19" s="1"/>
  <c r="A4453" i="19" s="1"/>
  <c r="A4454" i="19" s="1"/>
  <c r="A4455" i="19" s="1"/>
  <c r="A4456" i="19" s="1"/>
  <c r="A4457" i="19" s="1"/>
  <c r="A4458" i="19" s="1"/>
  <c r="A4459" i="19" s="1"/>
  <c r="A4460" i="19" s="1"/>
  <c r="A4461" i="19" s="1"/>
  <c r="A4462" i="19" s="1"/>
  <c r="A4463" i="19" s="1"/>
  <c r="A4464" i="19" s="1"/>
  <c r="A4465" i="19" s="1"/>
  <c r="A4466" i="19" s="1"/>
  <c r="A4467" i="19" s="1"/>
  <c r="A4468" i="19" s="1"/>
  <c r="A4469" i="19" s="1"/>
  <c r="A4470" i="19" s="1"/>
  <c r="A4471" i="19" s="1"/>
  <c r="A4472" i="19" s="1"/>
  <c r="A4473" i="19" s="1"/>
  <c r="A4474" i="19" s="1"/>
  <c r="A4475" i="19" s="1"/>
  <c r="A4476" i="19" s="1"/>
  <c r="A4477" i="19" s="1"/>
  <c r="A4478" i="19" s="1"/>
  <c r="A4479" i="19" s="1"/>
  <c r="A4480" i="19" s="1"/>
  <c r="A4481" i="19" s="1"/>
  <c r="A4482" i="19" s="1"/>
  <c r="A4483" i="19" s="1"/>
  <c r="A4484" i="19" s="1"/>
  <c r="A4485" i="19" s="1"/>
  <c r="A4486" i="19" s="1"/>
  <c r="A4487" i="19" s="1"/>
  <c r="A4488" i="19" s="1"/>
  <c r="A4489" i="19" s="1"/>
  <c r="A4490" i="19" s="1"/>
  <c r="A4491" i="19" s="1"/>
  <c r="A4492" i="19" s="1"/>
  <c r="A4493" i="19" s="1"/>
  <c r="A4494" i="19" s="1"/>
  <c r="A4495" i="19" s="1"/>
  <c r="A4496" i="19" s="1"/>
  <c r="A4497" i="19" s="1"/>
  <c r="A4498" i="19" s="1"/>
  <c r="A4499" i="19" s="1"/>
  <c r="A4500" i="19" s="1"/>
  <c r="A4501" i="19" s="1"/>
  <c r="A4502" i="19" s="1"/>
  <c r="A4503" i="19" s="1"/>
  <c r="A4504" i="19" s="1"/>
  <c r="A4505" i="19" s="1"/>
  <c r="A4506" i="19" s="1"/>
  <c r="A4507" i="19" s="1"/>
  <c r="A4508" i="19" s="1"/>
  <c r="A4509" i="19" s="1"/>
  <c r="A4510" i="19" s="1"/>
  <c r="A4511" i="19" s="1"/>
  <c r="A4512" i="19" s="1"/>
  <c r="A4513" i="19" s="1"/>
  <c r="A4514" i="19" s="1"/>
  <c r="A4515" i="19" s="1"/>
  <c r="A4516" i="19" s="1"/>
  <c r="A4517" i="19" s="1"/>
  <c r="A4518" i="19" s="1"/>
  <c r="A4519" i="19" s="1"/>
  <c r="A4520" i="19" s="1"/>
  <c r="A4521" i="19" s="1"/>
  <c r="A4522" i="19" s="1"/>
  <c r="A4523" i="19" s="1"/>
  <c r="A4524" i="19" s="1"/>
  <c r="A4525" i="19" s="1"/>
  <c r="A4526" i="19" s="1"/>
  <c r="A4527" i="19" s="1"/>
  <c r="A4528" i="19" s="1"/>
  <c r="A4529" i="19" s="1"/>
  <c r="A4530" i="19" s="1"/>
  <c r="A4531" i="19" s="1"/>
  <c r="A4532" i="19" s="1"/>
  <c r="A4533" i="19" s="1"/>
  <c r="A4534" i="19" s="1"/>
  <c r="A4535" i="19" s="1"/>
  <c r="A4536" i="19" s="1"/>
  <c r="A4537" i="19" s="1"/>
  <c r="A4538" i="19" s="1"/>
  <c r="A4539" i="19" s="1"/>
  <c r="A4540" i="19" s="1"/>
  <c r="A4541" i="19" s="1"/>
  <c r="A4542" i="19" s="1"/>
  <c r="A4543" i="19" s="1"/>
  <c r="A4544" i="19" s="1"/>
  <c r="A4545" i="19" s="1"/>
  <c r="A4546" i="19" s="1"/>
  <c r="A4547" i="19" s="1"/>
  <c r="A4548" i="19" s="1"/>
  <c r="A4549" i="19" s="1"/>
  <c r="A4550" i="19" s="1"/>
  <c r="A4551" i="19" s="1"/>
  <c r="A4552" i="19" s="1"/>
  <c r="A4553" i="19" s="1"/>
  <c r="A4554" i="19" s="1"/>
  <c r="A4555" i="19" s="1"/>
  <c r="A4556" i="19" s="1"/>
  <c r="A4557" i="19" s="1"/>
  <c r="A4558" i="19" s="1"/>
  <c r="A4559" i="19" s="1"/>
  <c r="A4560" i="19" s="1"/>
  <c r="A4561" i="19" s="1"/>
  <c r="A4562" i="19" s="1"/>
  <c r="F8" i="8"/>
  <c r="F9" i="8"/>
  <c r="F10" i="8"/>
  <c r="F11" i="8"/>
  <c r="F12" i="8"/>
  <c r="F13" i="8"/>
  <c r="F14" i="8"/>
  <c r="F15" i="8"/>
  <c r="F16" i="8"/>
  <c r="F17" i="8"/>
  <c r="F18" i="8"/>
  <c r="F19" i="8"/>
  <c r="F7" i="8"/>
  <c r="F6" i="8"/>
  <c r="F5" i="8"/>
  <c r="F4" i="8"/>
  <c r="F3" i="8"/>
  <c r="F2" i="8"/>
  <c r="G15" i="14"/>
  <c r="G35" i="14"/>
  <c r="G38" i="14"/>
  <c r="G3" i="14"/>
  <c r="G20" i="14"/>
  <c r="G2" i="14"/>
  <c r="G45" i="14"/>
  <c r="G37" i="14"/>
  <c r="G27" i="14"/>
  <c r="G26" i="14"/>
  <c r="G25" i="14"/>
  <c r="G28" i="14"/>
  <c r="G40" i="14"/>
  <c r="G42" i="14"/>
  <c r="G39" i="14"/>
  <c r="G11" i="14"/>
  <c r="G13" i="14"/>
  <c r="G14" i="14"/>
  <c r="G31" i="14"/>
  <c r="G8" i="14"/>
  <c r="G10" i="14"/>
  <c r="G5" i="14"/>
  <c r="G7" i="14"/>
  <c r="G33" i="14"/>
  <c r="G32" i="14"/>
  <c r="G12" i="14"/>
  <c r="G30" i="14"/>
  <c r="G9" i="14"/>
  <c r="G6" i="14"/>
  <c r="G44" i="14"/>
  <c r="G29" i="14"/>
  <c r="G36" i="14"/>
  <c r="G46" i="14"/>
  <c r="G41" i="14"/>
  <c r="G19" i="14"/>
  <c r="G18" i="14"/>
  <c r="G34" i="14"/>
  <c r="G4" i="14"/>
  <c r="G21" i="14"/>
  <c r="G16" i="14"/>
  <c r="G17" i="14"/>
  <c r="G22" i="14"/>
  <c r="G23" i="14"/>
  <c r="G24" i="14"/>
  <c r="G47" i="14"/>
  <c r="G48" i="14"/>
  <c r="G49" i="14"/>
  <c r="G50" i="14"/>
  <c r="G51" i="14"/>
  <c r="G43" i="14"/>
  <c r="M4" i="14"/>
  <c r="M2" i="14"/>
  <c r="M3" i="14" s="1"/>
  <c r="A48" i="13"/>
  <c r="A36" i="13"/>
  <c r="A37" i="13" s="1"/>
  <c r="A38" i="13" s="1"/>
  <c r="A15" i="13"/>
  <c r="A3" i="13"/>
  <c r="F6" i="11"/>
  <c r="C10" i="5" a="1"/>
  <c r="C10" i="5"/>
  <c r="I2" i="5" a="1"/>
  <c r="I2" i="5"/>
  <c r="M1" i="3"/>
  <c r="C2" i="5" a="1"/>
  <c r="C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H1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431" i="2"/>
  <c r="F432" i="2"/>
  <c r="F433" i="2"/>
  <c r="F434" i="2"/>
  <c r="F435" i="2"/>
  <c r="B23" i="20" l="1"/>
  <c r="B24" i="20"/>
  <c r="B2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C1" i="20"/>
  <c r="D56" i="8"/>
  <c r="D57" i="8" s="1"/>
  <c r="D58" i="8" s="1"/>
  <c r="D59" i="8" s="1"/>
  <c r="D60" i="8" s="1"/>
  <c r="D61" i="8" s="1"/>
  <c r="D62" i="8" s="1"/>
  <c r="D63" i="8" s="1"/>
  <c r="D64" i="8" s="1"/>
  <c r="D65" i="8" s="1"/>
  <c r="A4" i="13"/>
  <c r="A2" i="10" a="1"/>
  <c r="A2" i="10" s="1"/>
  <c r="O2" i="7" a="1"/>
  <c r="M4" i="3"/>
  <c r="T11" i="3" s="1"/>
  <c r="N4" i="3"/>
  <c r="T10" i="3" s="1"/>
  <c r="O4" i="3"/>
  <c r="P4" i="3"/>
  <c r="M13" i="3"/>
  <c r="N13" i="3"/>
  <c r="O13" i="3"/>
  <c r="P13" i="3"/>
  <c r="M8" i="3"/>
  <c r="N8" i="3"/>
  <c r="O8" i="3"/>
  <c r="P8" i="3"/>
  <c r="M10" i="3"/>
  <c r="N10" i="3"/>
  <c r="O10" i="3"/>
  <c r="P10" i="3"/>
  <c r="M16" i="3"/>
  <c r="N16" i="3"/>
  <c r="O16" i="3"/>
  <c r="P16" i="3"/>
  <c r="M5" i="3"/>
  <c r="N5" i="3"/>
  <c r="O5" i="3"/>
  <c r="P5" i="3"/>
  <c r="M11" i="3"/>
  <c r="N11" i="3"/>
  <c r="O11" i="3"/>
  <c r="P11" i="3"/>
  <c r="M15" i="3"/>
  <c r="N15" i="3"/>
  <c r="O15" i="3"/>
  <c r="P15" i="3"/>
  <c r="M9" i="3"/>
  <c r="N9" i="3"/>
  <c r="O9" i="3"/>
  <c r="P9" i="3"/>
  <c r="M14" i="3"/>
  <c r="N14" i="3"/>
  <c r="O14" i="3"/>
  <c r="P14" i="3"/>
  <c r="M17" i="3"/>
  <c r="N17" i="3"/>
  <c r="O17" i="3"/>
  <c r="P17" i="3"/>
  <c r="M3" i="3"/>
  <c r="N3" i="3"/>
  <c r="O3" i="3"/>
  <c r="P3" i="3"/>
  <c r="M12" i="3"/>
  <c r="N12" i="3"/>
  <c r="O12" i="3"/>
  <c r="P12" i="3"/>
  <c r="M7" i="3"/>
  <c r="N7" i="3"/>
  <c r="O7" i="3"/>
  <c r="P7" i="3"/>
  <c r="M6" i="3"/>
  <c r="N6" i="3"/>
  <c r="O6" i="3"/>
  <c r="P6" i="3"/>
  <c r="O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A3" i="3" a="1"/>
  <c r="A3" i="3" s="1"/>
  <c r="T7" i="3"/>
  <c r="S7" i="3" s="1"/>
  <c r="T6" i="3"/>
  <c r="S6" i="3" s="1"/>
  <c r="T4" i="3"/>
  <c r="S4" i="3" s="1"/>
  <c r="T3" i="3"/>
  <c r="S3" i="3" s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I1" i="4"/>
  <c r="B3" i="20" l="1"/>
  <c r="B5" i="20" s="1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D1" i="20"/>
  <c r="C6" i="20"/>
  <c r="C3" i="20" s="1"/>
  <c r="C5" i="20" s="1"/>
  <c r="A5" i="13"/>
  <c r="A6" i="13" s="1"/>
  <c r="A7" i="13" s="1"/>
  <c r="A26" i="13"/>
  <c r="R2" i="7"/>
  <c r="Q2" i="7"/>
  <c r="A2" i="7" s="1" a="1"/>
  <c r="A2" i="7" s="1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1" i="4"/>
  <c r="D7" i="20" l="1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E1" i="20"/>
  <c r="D6" i="20"/>
  <c r="D3" i="20" s="1"/>
  <c r="D5" i="20" s="1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1" i="4"/>
  <c r="E7" i="20" l="1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F1" i="20"/>
  <c r="E6" i="20"/>
  <c r="E3" i="20" s="1"/>
  <c r="E5" i="20" s="1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L1" i="4"/>
  <c r="F7" i="20" l="1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G1" i="20"/>
  <c r="H1" i="20" s="1"/>
  <c r="I1" i="20" s="1"/>
  <c r="J1" i="20" s="1"/>
  <c r="K1" i="20" s="1"/>
  <c r="L1" i="20" s="1"/>
  <c r="M1" i="20" s="1"/>
  <c r="N1" i="20" s="1"/>
  <c r="O1" i="20" s="1"/>
  <c r="P1" i="20" s="1"/>
  <c r="F6" i="20"/>
  <c r="F3" i="20" s="1"/>
  <c r="F5" i="20" s="1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M1" i="4"/>
  <c r="M16" i="4" l="1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N1" i="4"/>
  <c r="N16" i="4" l="1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1" i="4"/>
  <c r="O16" i="4" l="1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P1" i="4"/>
  <c r="P16" i="4" l="1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Q1" i="4"/>
  <c r="Q16" i="4" l="1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R1" i="4"/>
  <c r="R16" i="4" l="1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S1" i="4"/>
  <c r="S16" i="4" l="1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T1" i="4"/>
  <c r="T16" i="4" l="1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U1" i="4"/>
  <c r="U16" i="4" l="1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D54" i="8"/>
  <c r="C34" i="8" l="1" a="1"/>
  <c r="C33" i="8" a="1"/>
  <c r="C33" i="8" s="1"/>
  <c r="B55" i="8"/>
  <c r="B57" i="8"/>
  <c r="B56" i="8"/>
  <c r="B58" i="8"/>
  <c r="C58" i="8"/>
  <c r="B59" i="8"/>
  <c r="C59" i="8"/>
  <c r="B60" i="8"/>
  <c r="C60" i="8"/>
  <c r="B61" i="8"/>
  <c r="C61" i="8"/>
  <c r="B62" i="8"/>
  <c r="C62" i="8"/>
  <c r="C56" i="8"/>
  <c r="C57" i="8"/>
  <c r="B64" i="8" l="1"/>
  <c r="B65" i="8"/>
  <c r="C65" i="8" s="1"/>
  <c r="C34" i="8"/>
  <c r="B63" i="8"/>
  <c r="C63" i="8" l="1"/>
  <c r="C6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<sst xmlns="http://schemas.openxmlformats.org/spreadsheetml/2006/main" count="10524" uniqueCount="281">
  <si>
    <t xml:space="preserve">File Name : </t>
  </si>
  <si>
    <t>PR Tracker</t>
  </si>
  <si>
    <t xml:space="preserve">File Opened on : </t>
  </si>
  <si>
    <t xml:space="preserve">File Modified on : </t>
  </si>
  <si>
    <t xml:space="preserve">File Closed on : </t>
  </si>
  <si>
    <t>Links</t>
  </si>
  <si>
    <t>PR</t>
  </si>
  <si>
    <t>https://1drv.ms/f/c/69f235c83271dd38/IgA43XEyyDXyIIBp4QEAAAAAAXNZfTHL3eI2h5IO5sn45uw?e=tn74Qd</t>
  </si>
  <si>
    <t>2027 Return</t>
  </si>
  <si>
    <t>https://onedrive.live.com/personal/69f235c83271dd38/_layouts/15/Doc.aspx?sourcedoc=%7B02B31FF8-D318-4A2C-9B56-D044EA2F7503%7D&amp;file=2027%20Canada%20return.xlsx&amp;action=default&amp;mobileredirect=true</t>
  </si>
  <si>
    <t>Risk Management &amp; Case Study</t>
  </si>
  <si>
    <t>https://onedrive.live.com/personal/69f235c83271dd38/_layouts/15/doc.aspx?sourcedoc={79bcfe22-bd6d-426e-ad67-00a7960f8323}&amp;action=edit</t>
  </si>
  <si>
    <t>CRS score range</t>
  </si>
  <si>
    <t>601-1200</t>
  </si>
  <si>
    <t>501-600</t>
  </si>
  <si>
    <t>451-500</t>
  </si>
  <si>
    <t>491-500</t>
  </si>
  <si>
    <t>481-490</t>
  </si>
  <si>
    <t>471-480</t>
  </si>
  <si>
    <t>461-470</t>
  </si>
  <si>
    <t>451-460</t>
  </si>
  <si>
    <t>401-450</t>
  </si>
  <si>
    <t>441-450</t>
  </si>
  <si>
    <t>431-440</t>
  </si>
  <si>
    <t>421-430</t>
  </si>
  <si>
    <t>411-420</t>
  </si>
  <si>
    <t>401-410</t>
  </si>
  <si>
    <t>351-400</t>
  </si>
  <si>
    <t>301-350</t>
  </si>
  <si>
    <t>0-300</t>
  </si>
  <si>
    <t>Total</t>
  </si>
  <si>
    <t>https://www.canada.ca/en/immigration-refugees-citizenship/services/immigrate-canada/express-entry/rounds-invitations.html</t>
  </si>
  <si>
    <t>Increment</t>
  </si>
  <si>
    <t>Date</t>
  </si>
  <si>
    <t>Value</t>
  </si>
  <si>
    <t>Change</t>
  </si>
  <si>
    <t>#</t>
  </si>
  <si>
    <t>Round type</t>
  </si>
  <si>
    <t>Invitations issued</t>
  </si>
  <si>
    <t>CRS score of lowest-ranked candidate invited</t>
  </si>
  <si>
    <t>Year</t>
  </si>
  <si>
    <t>No Program Specified</t>
  </si>
  <si>
    <t>Canadian Experience Class</t>
  </si>
  <si>
    <t>Provincial Nominee Program</t>
  </si>
  <si>
    <t>Federal Skilled Trades</t>
  </si>
  <si>
    <t>91a</t>
  </si>
  <si>
    <t>91b</t>
  </si>
  <si>
    <t>Federal Skilled Worker</t>
  </si>
  <si>
    <t>Healthcare occupations (Version 1)</t>
  </si>
  <si>
    <t>STEM occupations (Version 1)</t>
  </si>
  <si>
    <t>French language proficiency (Version 1)</t>
  </si>
  <si>
    <t>Trade occupations (Version 1)</t>
  </si>
  <si>
    <t>Transport occupations (Version 1)</t>
  </si>
  <si>
    <t>Agriculture and agri-food occupations (Version 1)</t>
  </si>
  <si>
    <t>General</t>
  </si>
  <si>
    <t>Education occupations (Version 1)</t>
  </si>
  <si>
    <t>Healthcare and social services occupations (Version 2)</t>
  </si>
  <si>
    <t>Trade occupations (Version 2)</t>
  </si>
  <si>
    <t>French-Language proficiency 2026-Version 2</t>
  </si>
  <si>
    <t>Physicians with Canadian Work Experience, 2026-Version 1</t>
  </si>
  <si>
    <t>Healthcare and Social Services Occupations, 2026-Version 3</t>
  </si>
  <si>
    <t>Senior managers with Canadian Work Experience, 2026-Version 1</t>
  </si>
  <si>
    <t>Trades Occupations, 2026-Version 3</t>
  </si>
  <si>
    <t>Target</t>
  </si>
  <si>
    <t>Current Total</t>
  </si>
  <si>
    <t>Others</t>
  </si>
  <si>
    <t>Balance</t>
  </si>
  <si>
    <t>Sort by</t>
  </si>
  <si>
    <t>Order</t>
  </si>
  <si>
    <t>Ascending</t>
  </si>
  <si>
    <t>Celpip 7</t>
  </si>
  <si>
    <t>Ielts 7</t>
  </si>
  <si>
    <t>Ielts - 8</t>
  </si>
  <si>
    <t>Ielts - 9</t>
  </si>
  <si>
    <t>Speaking</t>
  </si>
  <si>
    <t>Listening</t>
  </si>
  <si>
    <t>Reading</t>
  </si>
  <si>
    <t>7 to 7.5</t>
  </si>
  <si>
    <t>Writing</t>
  </si>
  <si>
    <t>Points</t>
  </si>
  <si>
    <t>1 year foreigin wrk exp and 33 age</t>
  </si>
  <si>
    <t>Sort</t>
  </si>
  <si>
    <t>Descending</t>
  </si>
  <si>
    <t>Count</t>
  </si>
  <si>
    <t>Invitations</t>
  </si>
  <si>
    <t>CRS minimum</t>
  </si>
  <si>
    <t>Round Type</t>
  </si>
  <si>
    <t>CRA Max</t>
  </si>
  <si>
    <t>Max Invitations</t>
  </si>
  <si>
    <t>Min Invitaiotns</t>
  </si>
  <si>
    <t>Max No.</t>
  </si>
  <si>
    <t>Min No.</t>
  </si>
  <si>
    <t>Item</t>
  </si>
  <si>
    <t>Category</t>
  </si>
  <si>
    <t>Process</t>
  </si>
  <si>
    <t>Where</t>
  </si>
  <si>
    <t>Type</t>
  </si>
  <si>
    <t>Status</t>
  </si>
  <si>
    <t>Priority</t>
  </si>
  <si>
    <t>Completed date</t>
  </si>
  <si>
    <t>Remarks</t>
  </si>
  <si>
    <t>Proposed time</t>
  </si>
  <si>
    <t>Proposed re-enter</t>
  </si>
  <si>
    <t>TC :</t>
  </si>
  <si>
    <t>French in parallel</t>
  </si>
  <si>
    <t>PR Doc</t>
  </si>
  <si>
    <t>Score Improve</t>
  </si>
  <si>
    <t>India</t>
  </si>
  <si>
    <t>Language</t>
  </si>
  <si>
    <t>In progress (PR)</t>
  </si>
  <si>
    <t>Parallel</t>
  </si>
  <si>
    <t>Year Left</t>
  </si>
  <si>
    <t>Language score improve</t>
  </si>
  <si>
    <t>Celpip</t>
  </si>
  <si>
    <t>ASAP</t>
  </si>
  <si>
    <t>Months Left</t>
  </si>
  <si>
    <t>In progress (Residency)</t>
  </si>
  <si>
    <t>T4</t>
  </si>
  <si>
    <t>For PR</t>
  </si>
  <si>
    <t>Canada</t>
  </si>
  <si>
    <t>PR Docs</t>
  </si>
  <si>
    <t>Days Left</t>
  </si>
  <si>
    <t>Done, Testing other situations</t>
  </si>
  <si>
    <t>Canada Life - Address change</t>
  </si>
  <si>
    <t>Canda Life</t>
  </si>
  <si>
    <t>Adress Change</t>
  </si>
  <si>
    <t>Pre-India</t>
  </si>
  <si>
    <t>Done, Required Validation</t>
  </si>
  <si>
    <t>Canada Life - Call for moving</t>
  </si>
  <si>
    <t>Moving Notify</t>
  </si>
  <si>
    <t>Start Soon</t>
  </si>
  <si>
    <t>Canada life - phone no. change</t>
  </si>
  <si>
    <t>Phone No. Change</t>
  </si>
  <si>
    <t>Authenticator activated</t>
  </si>
  <si>
    <t>Start in Parallel</t>
  </si>
  <si>
    <t>MBNA - Address change</t>
  </si>
  <si>
    <t>Bank</t>
  </si>
  <si>
    <t>Start On Required Time</t>
  </si>
  <si>
    <t>MBNA - Call for moving</t>
  </si>
  <si>
    <t>Done</t>
  </si>
  <si>
    <t>MBNA - phone no. change</t>
  </si>
  <si>
    <t>Cancel</t>
  </si>
  <si>
    <t>Scotia - Address change</t>
  </si>
  <si>
    <t>Cancel, Re-Open if Required</t>
  </si>
  <si>
    <t>Scotia - Call for moving</t>
  </si>
  <si>
    <t>Scotia - phone no. change</t>
  </si>
  <si>
    <t>Walmart - Address change</t>
  </si>
  <si>
    <t>Phone Number retaining</t>
  </si>
  <si>
    <t>Phone</t>
  </si>
  <si>
    <t>Retaining</t>
  </si>
  <si>
    <t>RRSP Transfer</t>
  </si>
  <si>
    <t>Finance</t>
  </si>
  <si>
    <t>Na</t>
  </si>
  <si>
    <t>DPSP Transer</t>
  </si>
  <si>
    <t>Employment Letter</t>
  </si>
  <si>
    <t>Legal Status Document</t>
  </si>
  <si>
    <t>Travel</t>
  </si>
  <si>
    <t>WES renewal</t>
  </si>
  <si>
    <t>Expiry</t>
  </si>
  <si>
    <t>Before July 2026</t>
  </si>
  <si>
    <t>Notice of Assesment</t>
  </si>
  <si>
    <t>Indian Experience Docs  - Employement Letter</t>
  </si>
  <si>
    <t>Indian Experience Docs  - Paystubs</t>
  </si>
  <si>
    <t>Indian Experience Docs  - Other Docs</t>
  </si>
  <si>
    <t>Marriage</t>
  </si>
  <si>
    <t>Medical</t>
  </si>
  <si>
    <t>January, 2027</t>
  </si>
  <si>
    <t>PCC</t>
  </si>
  <si>
    <t>Ticket Booking to Canada</t>
  </si>
  <si>
    <t>Pre-Canada</t>
  </si>
  <si>
    <t>IRCC - Call for moving</t>
  </si>
  <si>
    <t>IRCC</t>
  </si>
  <si>
    <t>Done via REG Immigration</t>
  </si>
  <si>
    <t>Walmart - Call for moving</t>
  </si>
  <si>
    <t>Walmart - phone no. change</t>
  </si>
  <si>
    <t>CRA - phone no. change</t>
  </si>
  <si>
    <t>CRA</t>
  </si>
  <si>
    <t>CRA - Address change</t>
  </si>
  <si>
    <t>Pay Stubs</t>
  </si>
  <si>
    <t>Celpip retake before expiry</t>
  </si>
  <si>
    <t>Ivy Resignation</t>
  </si>
  <si>
    <t>Joining at new job</t>
  </si>
  <si>
    <t>Passport renewal</t>
  </si>
  <si>
    <t>Bank Account Enquiry</t>
  </si>
  <si>
    <t>Enquiry</t>
  </si>
  <si>
    <t>Find Job in India</t>
  </si>
  <si>
    <t>Freedom Wifi calling activation</t>
  </si>
  <si>
    <t>Ivy resignation Confirmation</t>
  </si>
  <si>
    <t>Ticket Booking to India</t>
  </si>
  <si>
    <t>CRA - Call for moving</t>
  </si>
  <si>
    <t>Health care job in parellel</t>
  </si>
  <si>
    <t>Freedom eSIM Activation</t>
  </si>
  <si>
    <t>eSim</t>
  </si>
  <si>
    <t>Cancelled</t>
  </si>
  <si>
    <t>Ivy HR</t>
  </si>
  <si>
    <t>Pay works is accesible after resignation, if yes how long</t>
  </si>
  <si>
    <t>Same as Canada life account</t>
  </si>
  <si>
    <t>If ivy changes canada life to any others, how will it affect me (before Ivy changes from manulife to Canada life)</t>
  </si>
  <si>
    <t>Outside Canada</t>
  </si>
  <si>
    <t>In Canada</t>
  </si>
  <si>
    <t>Total Count</t>
  </si>
  <si>
    <t>Days Needed</t>
  </si>
  <si>
    <t>Status Count</t>
  </si>
  <si>
    <t>Study Permit</t>
  </si>
  <si>
    <t>Day of Apply</t>
  </si>
  <si>
    <t>Day of Start</t>
  </si>
  <si>
    <t>Out Canada</t>
  </si>
  <si>
    <t>Work Permit</t>
  </si>
  <si>
    <t>Implied Status</t>
  </si>
  <si>
    <t>Diff</t>
  </si>
  <si>
    <t>Interim authorization</t>
  </si>
  <si>
    <t>Things I missed for PR</t>
  </si>
  <si>
    <t>Canadian Experience</t>
  </si>
  <si>
    <t>I didn't try - My mistake</t>
  </si>
  <si>
    <t>If I had job on October 2019, or beginning of January 2020 or atleast June 2020 instead of 2020 October (just 5 months before), PR was sure</t>
  </si>
  <si>
    <t>oinp tracker</t>
  </si>
  <si>
    <t>https://onedrive.live.com/personal/69f235c83271dd38/_layouts/15/Doc.aspx?resid=69F235C83271DD38!s23b976115786470dac4bdb3c2d25af44&amp;cid=69f235c83271dd38&amp;migratedtospo=true&amp;app=Excel</t>
  </si>
  <si>
    <t>Telk Experience</t>
  </si>
  <si>
    <t>Risky</t>
  </si>
  <si>
    <t>If a job on July 2020 and If added telk experience, PR was sure</t>
  </si>
  <si>
    <t>User support technician</t>
  </si>
  <si>
    <t>If I get a one score more for speaking &amp; writing, PR was sure</t>
  </si>
  <si>
    <t>https://www.canada.ca/en/immigration-refugees-citizenship/corporate/mandate/policies-operational-instructions-agreements/ministerial-instructions/express-entry-rounds.html</t>
  </si>
  <si>
    <t>OINP Job offer</t>
  </si>
  <si>
    <t>I missed</t>
  </si>
  <si>
    <t>If I made the OINP profile before this day, PR was sure (was ok in 2021, 2022, 2023, 2024)</t>
  </si>
  <si>
    <t>Other Repair Technician</t>
  </si>
  <si>
    <t>If I have noc code for other repair technician, PR was sure</t>
  </si>
  <si>
    <t>French</t>
  </si>
  <si>
    <t>I didn't try - My mistake - but less chance</t>
  </si>
  <si>
    <t>If started studying French at this time, PR "might" be there</t>
  </si>
  <si>
    <t>Other Missed</t>
  </si>
  <si>
    <t>US Visa</t>
  </si>
  <si>
    <t>If applied before, Now I had visited US</t>
  </si>
  <si>
    <t>Mom and Jithin Visa</t>
  </si>
  <si>
    <t>If did it for graduation ceremony, They will get visitor visa</t>
  </si>
  <si>
    <t>Please Do immediately</t>
  </si>
  <si>
    <t xml:space="preserve">Plan 1 : </t>
  </si>
  <si>
    <t>Strong Frecnch and High up English</t>
  </si>
  <si>
    <t xml:space="preserve">Plan 2 : </t>
  </si>
  <si>
    <t>Go to India - Foreign Work Experience, Strong English, Bit french if possible</t>
  </si>
  <si>
    <t>Plan 2 is Good</t>
  </si>
  <si>
    <t>Foreign Work Experience</t>
  </si>
  <si>
    <t>Plan faster for Foreign Work Experience - PR</t>
  </si>
  <si>
    <t>Strong English</t>
  </si>
  <si>
    <t>Daily Learning - Language year - 2026</t>
  </si>
  <si>
    <t>Bit French</t>
  </si>
  <si>
    <t>Accounts Managent</t>
  </si>
  <si>
    <t>Bank, phone, investments when go to india for gaining foreign work experience</t>
  </si>
  <si>
    <t>I just did</t>
  </si>
  <si>
    <t>Investment</t>
  </si>
  <si>
    <t>Started investing and had financial planing, investment - financial stability is on the way</t>
  </si>
  <si>
    <t>Analysis what I did and my situations</t>
  </si>
  <si>
    <t>My status</t>
  </si>
  <si>
    <t>Why</t>
  </si>
  <si>
    <t>Your past explains you—but your consistency from now decides everything</t>
  </si>
  <si>
    <t>Didn't try for job</t>
  </si>
  <si>
    <t>I didn't try</t>
  </si>
  <si>
    <t>TR-to PR</t>
  </si>
  <si>
    <t>No plan thigs early</t>
  </si>
  <si>
    <t>No stategies planned</t>
  </si>
  <si>
    <t>Only focus on celpip and it was just practising listening and reading nothing more, no any tricks, and no statergies on PR</t>
  </si>
  <si>
    <t>I didn't try much</t>
  </si>
  <si>
    <t>22221 - less crs score - englsih score low</t>
  </si>
  <si>
    <t>72309 - didnt get invited</t>
  </si>
  <si>
    <t>God's plan to avoid mis representation</t>
  </si>
  <si>
    <t>Got LMIA, but no points</t>
  </si>
  <si>
    <t>even i get points it will ve only 508 and scores invited was 527, 547, if I get points i will be more sad</t>
  </si>
  <si>
    <t>No invitations Got, oinp profile removal</t>
  </si>
  <si>
    <t>Didnt try french and no plans</t>
  </si>
  <si>
    <t>Got Job in india soon</t>
  </si>
  <si>
    <t>Gods plan to move forward and plan statergies, he pushed on Jan 7 to look on things</t>
  </si>
  <si>
    <t>EE reform</t>
  </si>
  <si>
    <t>Not sure but may be God's plan for me to try more</t>
  </si>
  <si>
    <t>Rounds</t>
  </si>
  <si>
    <t>Class</t>
  </si>
  <si>
    <t>Economic</t>
  </si>
  <si>
    <t>Sort Order</t>
  </si>
  <si>
    <t>Table Order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</si>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</sst>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FFFFFF"/>
      <name val="Cambria"/>
    </font>
    <font>
      <sz val="11"/>
      <color rgb="FF000000"/>
      <name val="Cambria"/>
    </font>
    <font>
      <sz val="11"/>
      <color theme="1"/>
      <name val="cam"/>
    </font>
    <font>
      <u/>
      <sz val="11"/>
      <color theme="10"/>
      <name val="cam"/>
    </font>
    <font>
      <b/>
      <sz val="11"/>
      <color rgb="FF333333"/>
      <name val="cam"/>
    </font>
    <font>
      <sz val="11"/>
      <color rgb="FF333333"/>
      <name val="cam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/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 applyBorder="1" applyAlignment="1"/>
    <xf numFmtId="164" fontId="3" fillId="0" borderId="0" xfId="0" applyNumberFormat="1" applyFont="1" applyBorder="1" applyAlignment="1"/>
    <xf numFmtId="164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3" fontId="7" fillId="3" borderId="1" xfId="0" applyNumberFormat="1" applyFont="1" applyFill="1" applyBorder="1" applyAlignment="1">
      <alignment wrapText="1"/>
    </xf>
    <xf numFmtId="0" fontId="4" fillId="0" borderId="0" xfId="0" applyFont="1" applyBorder="1" applyAlignment="1"/>
    <xf numFmtId="0" fontId="4" fillId="0" borderId="0" xfId="0" applyFont="1" applyBorder="1"/>
    <xf numFmtId="164" fontId="4" fillId="0" borderId="0" xfId="0" applyNumberFormat="1" applyFont="1" applyBorder="1"/>
    <xf numFmtId="0" fontId="5" fillId="3" borderId="2" xfId="1" applyFont="1" applyFill="1" applyBorder="1" applyAlignment="1">
      <alignment wrapText="1"/>
    </xf>
    <xf numFmtId="0" fontId="5" fillId="3" borderId="6" xfId="1" applyFont="1" applyFill="1" applyBorder="1" applyAlignment="1">
      <alignment wrapText="1"/>
    </xf>
    <xf numFmtId="164" fontId="7" fillId="3" borderId="7" xfId="0" applyNumberFormat="1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3" fontId="7" fillId="3" borderId="7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3" fontId="0" fillId="0" borderId="0" xfId="0" applyNumberFormat="1"/>
    <xf numFmtId="3" fontId="0" fillId="0" borderId="1" xfId="0" applyNumberFormat="1" applyBorder="1"/>
    <xf numFmtId="0" fontId="1" fillId="0" borderId="0" xfId="1"/>
    <xf numFmtId="0" fontId="0" fillId="0" borderId="7" xfId="0" applyBorder="1"/>
    <xf numFmtId="3" fontId="0" fillId="0" borderId="7" xfId="0" applyNumberFormat="1" applyBorder="1"/>
    <xf numFmtId="0" fontId="0" fillId="0" borderId="5" xfId="0" applyBorder="1"/>
    <xf numFmtId="3" fontId="0" fillId="0" borderId="5" xfId="0" applyNumberFormat="1" applyBorder="1"/>
    <xf numFmtId="3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6" fillId="3" borderId="1" xfId="0" applyFont="1" applyFill="1" applyBorder="1" applyAlignment="1"/>
    <xf numFmtId="164" fontId="6" fillId="4" borderId="1" xfId="0" applyNumberFormat="1" applyFont="1" applyFill="1" applyBorder="1" applyAlignment="1"/>
    <xf numFmtId="0" fontId="6" fillId="3" borderId="3" xfId="0" applyFont="1" applyFill="1" applyBorder="1" applyAlignment="1"/>
    <xf numFmtId="164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right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3" xfId="0" applyNumberFormat="1" applyBorder="1"/>
    <xf numFmtId="164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left"/>
    </xf>
    <xf numFmtId="3" fontId="8" fillId="0" borderId="1" xfId="0" applyNumberFormat="1" applyFont="1" applyBorder="1"/>
    <xf numFmtId="0" fontId="8" fillId="0" borderId="0" xfId="0" applyFont="1"/>
    <xf numFmtId="3" fontId="8" fillId="0" borderId="7" xfId="0" applyNumberFormat="1" applyFont="1" applyBorder="1"/>
    <xf numFmtId="3" fontId="8" fillId="0" borderId="9" xfId="0" applyNumberFormat="1" applyFont="1" applyBorder="1"/>
    <xf numFmtId="0" fontId="8" fillId="0" borderId="11" xfId="0" applyFont="1" applyBorder="1"/>
    <xf numFmtId="0" fontId="8" fillId="0" borderId="1" xfId="0" applyFont="1" applyBorder="1"/>
    <xf numFmtId="3" fontId="8" fillId="0" borderId="3" xfId="0" applyNumberFormat="1" applyFont="1" applyBorder="1"/>
    <xf numFmtId="0" fontId="0" fillId="0" borderId="10" xfId="0" applyBorder="1"/>
    <xf numFmtId="3" fontId="8" fillId="0" borderId="5" xfId="0" applyNumberFormat="1" applyFont="1" applyBorder="1"/>
    <xf numFmtId="164" fontId="0" fillId="0" borderId="0" xfId="0" applyNumberFormat="1" applyAlignment="1"/>
    <xf numFmtId="0" fontId="5" fillId="3" borderId="0" xfId="1" applyFont="1" applyFill="1" applyBorder="1" applyAlignment="1">
      <alignment wrapText="1"/>
    </xf>
    <xf numFmtId="0" fontId="1" fillId="0" borderId="2" xfId="1" applyBorder="1"/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164" fontId="0" fillId="0" borderId="13" xfId="0" applyNumberFormat="1" applyBorder="1"/>
    <xf numFmtId="164" fontId="0" fillId="0" borderId="14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5" xfId="0" applyBorder="1" applyAlignment="1">
      <alignment horizontal="right"/>
    </xf>
    <xf numFmtId="0" fontId="4" fillId="0" borderId="0" xfId="0" applyNumberFormat="1" applyFont="1" applyBorder="1"/>
    <xf numFmtId="3" fontId="10" fillId="0" borderId="1" xfId="0" applyNumberFormat="1" applyFont="1" applyBorder="1"/>
    <xf numFmtId="3" fontId="11" fillId="0" borderId="1" xfId="0" applyNumberFormat="1" applyFont="1" applyBorder="1"/>
    <xf numFmtId="3" fontId="10" fillId="0" borderId="3" xfId="0" applyNumberFormat="1" applyFont="1" applyBorder="1"/>
    <xf numFmtId="3" fontId="0" fillId="0" borderId="1" xfId="0" applyNumberFormat="1" applyFont="1" applyBorder="1"/>
    <xf numFmtId="0" fontId="5" fillId="3" borderId="2" xfId="1" applyFont="1" applyFill="1" applyBorder="1" applyAlignment="1"/>
    <xf numFmtId="164" fontId="7" fillId="3" borderId="1" xfId="0" applyNumberFormat="1" applyFont="1" applyFill="1" applyBorder="1" applyAlignment="1"/>
    <xf numFmtId="0" fontId="7" fillId="3" borderId="1" xfId="0" applyFont="1" applyFill="1" applyBorder="1" applyAlignment="1"/>
    <xf numFmtId="3" fontId="7" fillId="3" borderId="1" xfId="0" applyNumberFormat="1" applyFont="1" applyFill="1" applyBorder="1" applyAlignment="1"/>
    <xf numFmtId="0" fontId="4" fillId="0" borderId="0" xfId="0" applyNumberFormat="1" applyFont="1" applyBorder="1" applyAlignment="1"/>
    <xf numFmtId="0" fontId="1" fillId="0" borderId="2" xfId="1" applyBorder="1" applyAlignment="1"/>
    <xf numFmtId="0" fontId="11" fillId="0" borderId="0" xfId="0" applyFont="1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1" fillId="0" borderId="0" xfId="1" applyBorder="1"/>
    <xf numFmtId="3" fontId="8" fillId="0" borderId="0" xfId="0" applyNumberFormat="1" applyFont="1"/>
    <xf numFmtId="0" fontId="0" fillId="0" borderId="0" xfId="0" applyBorder="1"/>
    <xf numFmtId="3" fontId="0" fillId="0" borderId="2" xfId="0" applyNumberFormat="1" applyBorder="1"/>
    <xf numFmtId="0" fontId="8" fillId="0" borderId="0" xfId="0" applyFont="1" applyBorder="1" applyAlignment="1"/>
    <xf numFmtId="14" fontId="0" fillId="0" borderId="0" xfId="0" applyNumberFormat="1" applyAlignment="1"/>
    <xf numFmtId="1" fontId="0" fillId="0" borderId="0" xfId="0" applyNumberFormat="1"/>
    <xf numFmtId="0" fontId="8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3" fontId="0" fillId="0" borderId="6" xfId="0" applyNumberFormat="1" applyBorder="1"/>
    <xf numFmtId="3" fontId="0" fillId="0" borderId="4" xfId="0" applyNumberFormat="1" applyBorder="1"/>
    <xf numFmtId="0" fontId="8" fillId="0" borderId="17" xfId="0" applyFont="1" applyBorder="1" applyAlignment="1">
      <alignment horizontal="right"/>
    </xf>
    <xf numFmtId="3" fontId="0" fillId="0" borderId="10" xfId="0" applyNumberFormat="1" applyBorder="1"/>
    <xf numFmtId="0" fontId="0" fillId="0" borderId="17" xfId="0" applyBorder="1" applyAlignment="1">
      <alignment horizontal="right"/>
    </xf>
    <xf numFmtId="3" fontId="0" fillId="0" borderId="0" xfId="0" applyNumberFormat="1" applyAlignment="1">
      <alignment horizontal="left"/>
    </xf>
    <xf numFmtId="1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/>
    <xf numFmtId="1" fontId="0" fillId="0" borderId="1" xfId="0" applyNumberFormat="1" applyBorder="1"/>
    <xf numFmtId="3" fontId="0" fillId="0" borderId="18" xfId="0" applyNumberFormat="1" applyBorder="1"/>
    <xf numFmtId="3" fontId="0" fillId="0" borderId="1" xfId="0" applyNumberFormat="1" applyBorder="1" applyAlignment="1">
      <alignment horizontal="left"/>
    </xf>
    <xf numFmtId="3" fontId="0" fillId="0" borderId="20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3" borderId="4" xfId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0" xfId="0" applyFont="1" applyFill="1" applyBorder="1" applyAlignment="1"/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2" borderId="0" xfId="0" applyFont="1" applyFill="1" applyBorder="1" applyAlignment="1"/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12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[$-F800]dddd\,\ mmmm\ dd\,\ 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F800]dddd\,\ mmmm\ dd\,\ 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F800]dddd\,\ mmmm\ dd\,\ 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color rgb="FFFF0000"/>
      </font>
      <fill>
        <patternFill>
          <bgColor rgb="FFFFEB9C"/>
        </patternFill>
      </fill>
    </dxf>
    <dxf>
      <font>
        <color theme="4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m"/>
        <scheme val="none"/>
      </font>
      <numFmt numFmtId="164" formatCode="[$-F800]dddd\,\ mmmm\ dd\,\ yyyy"/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m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poolBreakdown!A55:A99</c:f>
              <c:numCache>
                <c:formatCode>m/d/yyyy</c:formatCode>
                <c:ptCount val="45"/>
                <c:pt idx="0">
                  <c:v>46026</c:v>
                </c:pt>
                <c:pt idx="1">
                  <c:v>46041</c:v>
                </c:pt>
                <c:pt idx="2">
                  <c:v>46057</c:v>
                </c:pt>
                <c:pt idx="3">
                  <c:v>46068</c:v>
                </c:pt>
                <c:pt idx="4">
                  <c:v>46082</c:v>
                </c:pt>
                <c:pt idx="5">
                  <c:v>46096</c:v>
                </c:pt>
                <c:pt idx="6">
                  <c:v>46110</c:v>
                </c:pt>
                <c:pt idx="7">
                  <c:v>46124</c:v>
                </c:pt>
                <c:pt idx="8">
                  <c:v>46152</c:v>
                </c:pt>
                <c:pt idx="9">
                  <c:v>46166</c:v>
                </c:pt>
                <c:pt idx="10">
                  <c:v>46163</c:v>
                </c:pt>
              </c:numCache>
            </c:numRef>
          </c:cat>
          <c:val>
            <c:numRef>
              <c:f>poolBreakdown!$B$55:$B$99</c:f>
              <c:numCache>
                <c:formatCode>0</c:formatCode>
                <c:ptCount val="45"/>
                <c:pt idx="0">
                  <c:v>0</c:v>
                </c:pt>
                <c:pt idx="1">
                  <c:v>2191</c:v>
                </c:pt>
                <c:pt idx="2">
                  <c:v>2097</c:v>
                </c:pt>
                <c:pt idx="3">
                  <c:v>-1202</c:v>
                </c:pt>
                <c:pt idx="4">
                  <c:v>-1929</c:v>
                </c:pt>
                <c:pt idx="5">
                  <c:v>878</c:v>
                </c:pt>
                <c:pt idx="6">
                  <c:v>887</c:v>
                </c:pt>
                <c:pt idx="7">
                  <c:v>118</c:v>
                </c:pt>
                <c:pt idx="8">
                  <c:v>737</c:v>
                </c:pt>
                <c:pt idx="9">
                  <c:v>1048</c:v>
                </c:pt>
                <c:pt idx="10">
                  <c:v>590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4-42B2-BE82-A54C45412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93509895"/>
        <c:axId val="1193511943"/>
      </c:barChart>
      <c:dateAx>
        <c:axId val="119350989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11943"/>
        <c:crosses val="autoZero"/>
        <c:auto val="1"/>
        <c:lblOffset val="100"/>
        <c:baseTimeUnit val="days"/>
      </c:dateAx>
      <c:valAx>
        <c:axId val="119351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0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51</xdr:row>
      <xdr:rowOff>38100</xdr:rowOff>
    </xdr:from>
    <xdr:to>
      <xdr:col>14</xdr:col>
      <xdr:colOff>133350</xdr:colOff>
      <xdr:row>67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793176-31B7-4DAE-B579-5CA816941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4</xdr:row>
      <xdr:rowOff>142875</xdr:rowOff>
    </xdr:from>
    <xdr:to>
      <xdr:col>17</xdr:col>
      <xdr:colOff>304800</xdr:colOff>
      <xdr:row>30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AA242-FD8E-4E8E-A177-2901831C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6925" y="904875"/>
          <a:ext cx="6610350" cy="4876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59262-4B8C-4F55-BFF3-1D6E01888251}" name="Table1" displayName="Table1" ref="A1:F435" totalsRowShown="0" headerRowDxfId="35" headerRowBorderDxfId="33" tableBorderDxfId="34" totalsRowBorderDxfId="32">
  <autoFilter ref="A1:F435" xr:uid="{F8759262-4B8C-4F55-BFF3-1D6E01888251}"/>
  <sortState xmlns:xlrd2="http://schemas.microsoft.com/office/spreadsheetml/2017/richdata2" ref="A2:F435">
    <sortCondition ref="B1:B435"/>
  </sortState>
  <tableColumns count="6">
    <tableColumn id="1" xr3:uid="{BDE7FACD-E21D-4FE5-93D0-FB09BFFC85E6}" name="#" dataDxfId="31" dataCellStyle="Hyperlink"/>
    <tableColumn id="2" xr3:uid="{BA162173-D6B8-4002-8447-F98E5A7428AA}" name="Date" dataDxfId="30"/>
    <tableColumn id="3" xr3:uid="{1F615D94-BB95-45D2-9DC9-C3806DCF47ED}" name="Round type" dataDxfId="29"/>
    <tableColumn id="4" xr3:uid="{85936C76-725D-4799-85E5-C5265046C494}" name="Invitations issued" dataDxfId="28"/>
    <tableColumn id="5" xr3:uid="{DA88D812-5B9C-46C2-8AF3-BEFEA71D872E}" name="CRS score of lowest-ranked candidate invited" dataDxfId="27"/>
    <tableColumn id="6" xr3:uid="{57C05ED8-B724-4A01-A6F8-AC9DEA13EFAF}" name="Year" dataDxfId="26">
      <calculatedColumnFormula>YEAR(Table1[[#This Row],[Date]])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1C3CBF-6279-46AF-A5FA-ED4634940B58}" name="Table2" displayName="Table2" ref="T1:U14" totalsRowShown="0" tableBorderDxfId="17">
  <autoFilter ref="T1:U14" xr:uid="{951C3CBF-6279-46AF-A5FA-ED4634940B58}"/>
  <sortState xmlns:xlrd2="http://schemas.microsoft.com/office/spreadsheetml/2017/richdata2" ref="T2:U14">
    <sortCondition ref="U1:U14"/>
  </sortState>
  <tableColumns count="2">
    <tableColumn id="1" xr3:uid="{FC83A535-1FB6-4CBE-97A6-23D8F2717E85}" name="Status" dataDxfId="16"/>
    <tableColumn id="2" xr3:uid="{EA79021D-9699-4BB4-B511-9A2CF4EA1DE0}" name="Order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A9823-6678-4D3A-A52F-9654DF58AAF2}" name="Table3" displayName="Table3" ref="A1:J51" totalsRowShown="0" headerRowBorderDxfId="13" tableBorderDxfId="14">
  <autoFilter ref="A1:J51" xr:uid="{2A5A9823-6678-4D3A-A52F-9654DF58AAF2}"/>
  <sortState xmlns:xlrd2="http://schemas.microsoft.com/office/spreadsheetml/2017/richdata2" ref="A2:J51">
    <sortCondition ref="G1:G51"/>
  </sortState>
  <tableColumns count="10">
    <tableColumn id="1" xr3:uid="{E784FEAA-19FD-4CFB-8666-02300F8D47A5}" name="Item" dataDxfId="12"/>
    <tableColumn id="9" xr3:uid="{49D9BFD1-DC45-4ED1-87DE-F3B3807E7744}" name="Category" dataDxfId="11"/>
    <tableColumn id="10" xr3:uid="{8D9562E3-06CD-491A-A575-C91E2AD94DE4}" name="Process" dataDxfId="10"/>
    <tableColumn id="2" xr3:uid="{B4EF0D52-B189-4949-9523-E0B216FA281D}" name="Where" dataDxfId="9"/>
    <tableColumn id="3" xr3:uid="{FC27D3EA-9F88-4A2A-B6DC-C51D49314CB1}" name="Type" dataDxfId="8"/>
    <tableColumn id="4" xr3:uid="{8E3C3342-14C6-49F8-8CB1-49B25D73414D}" name="Status" dataDxfId="7"/>
    <tableColumn id="5" xr3:uid="{F8F65F29-0F42-468D-912A-BA451AD93A78}" name="Priority" dataDxfId="6">
      <calculatedColumnFormula>IF(ISBLANK(F2),"_",VLOOKUP(F2,$T$2:$U$14,2,0))</calculatedColumnFormula>
    </tableColumn>
    <tableColumn id="6" xr3:uid="{F8B87DDA-DDC5-4B77-9ECE-BBF3891E1E01}" name="Completed date" dataDxfId="5"/>
    <tableColumn id="8" xr3:uid="{E10A54BE-1310-4891-9B0D-866A0EAE0448}" name="Remarks" dataDxfId="4"/>
    <tableColumn id="7" xr3:uid="{0374E0FF-624A-478C-B39E-9508ADF1B821}" name="Proposed time" dataDxfId="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2BF1DF-700A-4BC6-9A81-2A6B9034E5F8}" name="Table4" displayName="Table4" ref="B64:D91" totalsRowShown="0" headerRowDxfId="0">
  <autoFilter ref="B64:D91" xr:uid="{382BF1DF-700A-4BC6-9A81-2A6B9034E5F8}"/>
  <tableColumns count="3">
    <tableColumn id="1" xr3:uid="{7C460266-1BB4-4613-9E59-A60DE2719DE8}" name="Year"/>
    <tableColumn id="2" xr3:uid="{15D886EF-659D-414A-8E62-C7B10E8077FC}" name="My status"/>
    <tableColumn id="3" xr3:uid="{77601D89-857E-4FA3-BB53-7C151A690BBF}" name="Wh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edrive.live.com/personal/69f235c83271dd38/_layouts/15/doc.aspx?sourcedoc=%7b79bcfe22-bd6d-426e-ad67-00a7960f8323%7d&amp;action=edit" TargetMode="External"/><Relationship Id="rId2" Type="http://schemas.openxmlformats.org/officeDocument/2006/relationships/hyperlink" Target="https://onedrive.live.com/personal/69f235c83271dd38/_layouts/15/Doc.aspx?sourcedoc=%7B02B31FF8-D318-4A2C-9B56-D044EA2F7503%7D&amp;file=2027%20Canada%20return.xlsx&amp;action=default&amp;mobileredirect=true" TargetMode="External"/><Relationship Id="rId1" Type="http://schemas.openxmlformats.org/officeDocument/2006/relationships/hyperlink" Target="https://1drv.ms/f/c/69f235c83271dd38/IgA43XEyyDXyIIBp4QEAAAAAAXNZfTHL3eI2h5IO5sn45uw?e=tn74Q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nada.ca/en/immigration-refugees-citizenship/services/immigrate-canada/express-entry/rounds-invitations.html" TargetMode="External"/><Relationship Id="rId2" Type="http://schemas.openxmlformats.org/officeDocument/2006/relationships/hyperlink" Target="https://www.canada.ca/en/immigration-refugees-citizenship/services/immigrate-canada/express-entry/rounds-invitations.html" TargetMode="External"/><Relationship Id="rId1" Type="http://schemas.openxmlformats.org/officeDocument/2006/relationships/hyperlink" Target="https://www.canada.ca/en/immigration-refugees-citizenship/services/immigrate-canada/express-entry/rounds-invitations.html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3" TargetMode="External"/><Relationship Id="rId29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1a" TargetMode="External"/><Relationship Id="rId2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9" TargetMode="External"/><Relationship Id="rId6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7" TargetMode="External"/><Relationship Id="rId15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1" TargetMode="External"/><Relationship Id="rId324" Type="http://schemas.openxmlformats.org/officeDocument/2006/relationships/hyperlink" Target="https://www.canada.ca/en/immigration-refugees-citizenship/corporate/mandate/policies-operational-instructions-agreements/ministerial-instructions/express-entry-rounds/invitations-67.html" TargetMode="External"/><Relationship Id="rId366" Type="http://schemas.openxmlformats.org/officeDocument/2006/relationships/hyperlink" Target="https://www.canada.ca/en/immigration-refugees-citizenship/corporate/mandate/policies-operational-instructions-agreements/ministerial-instructions/express-entry-rounds/invitations-25.html" TargetMode="External"/><Relationship Id="rId17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0" TargetMode="External"/><Relationship Id="rId22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4" TargetMode="External"/><Relationship Id="rId26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2" TargetMode="External"/><Relationship Id="rId3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8" TargetMode="External"/><Relationship Id="rId7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6" TargetMode="External"/><Relationship Id="rId12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2" TargetMode="External"/><Relationship Id="rId335" Type="http://schemas.openxmlformats.org/officeDocument/2006/relationships/hyperlink" Target="https://www.canada.ca/en/immigration-refugees-citizenship/corporate/mandate/policies-operational-instructions-agreements/ministerial-instructions/express-entry-rounds/invitations-56.html" TargetMode="External"/><Relationship Id="rId377" Type="http://schemas.openxmlformats.org/officeDocument/2006/relationships/hyperlink" Target="https://www.canada.ca/en/immigration-refugees-citizenship/corporate/mandate/policies-operational-instructions-agreements/ministerial-instructions/express-entry-rounds/invitations-14.html" TargetMode="External"/><Relationship Id="rId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5" TargetMode="External"/><Relationship Id="rId18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9" TargetMode="External"/><Relationship Id="rId23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3" TargetMode="External"/><Relationship Id="rId40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5" TargetMode="External"/><Relationship Id="rId27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1" TargetMode="External"/><Relationship Id="rId4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7" TargetMode="External"/><Relationship Id="rId13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1" TargetMode="External"/><Relationship Id="rId29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0" TargetMode="External"/><Relationship Id="rId30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7" TargetMode="External"/><Relationship Id="rId346" Type="http://schemas.openxmlformats.org/officeDocument/2006/relationships/hyperlink" Target="https://www.canada.ca/en/immigration-refugees-citizenship/corporate/mandate/policies-operational-instructions-agreements/ministerial-instructions/express-entry-rounds/invitations-45.html" TargetMode="External"/><Relationship Id="rId388" Type="http://schemas.openxmlformats.org/officeDocument/2006/relationships/hyperlink" Target="https://www.canada.ca/en/immigration-refugees-citizenship/corporate/mandate/policies-operational-instructions-agreements/ministerial-instructions/express-entry-rounds/invitations-3.html" TargetMode="External"/><Relationship Id="rId8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5" TargetMode="External"/><Relationship Id="rId15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0" TargetMode="External"/><Relationship Id="rId19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8" TargetMode="External"/><Relationship Id="rId20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4" TargetMode="External"/><Relationship Id="rId41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6" TargetMode="External"/><Relationship Id="rId24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1" TargetMode="External"/><Relationship Id="rId1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8" TargetMode="External"/><Relationship Id="rId10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2" TargetMode="External"/><Relationship Id="rId315" Type="http://schemas.openxmlformats.org/officeDocument/2006/relationships/hyperlink" Target="https://www.canada.ca/en/immigration-refugees-citizenship/corporate/mandate/policies-operational-instructions-agreements/ministerial-instructions/express-entry-rounds/invitations-75.html" TargetMode="External"/><Relationship Id="rId357" Type="http://schemas.openxmlformats.org/officeDocument/2006/relationships/hyperlink" Target="https://www.canada.ca/en/immigration-refugees-citizenship/corporate/mandate/policies-operational-instructions-agreements/ministerial-instructions/express-entry-rounds/invitations-34.html" TargetMode="External"/><Relationship Id="rId5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6" TargetMode="External"/><Relationship Id="rId9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4" TargetMode="External"/><Relationship Id="rId16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9" TargetMode="External"/><Relationship Id="rId21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3" TargetMode="External"/><Relationship Id="rId39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0" TargetMode="External"/><Relationship Id="rId25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1" TargetMode="External"/><Relationship Id="rId2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7" TargetMode="External"/><Relationship Id="rId11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1" TargetMode="External"/><Relationship Id="rId27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0" TargetMode="External"/><Relationship Id="rId326" Type="http://schemas.openxmlformats.org/officeDocument/2006/relationships/hyperlink" Target="https://www.canada.ca/en/immigration-refugees-citizenship/corporate/mandate/policies-operational-instructions-agreements/ministerial-instructions/express-entry-rounds/invitations-65.html" TargetMode="External"/><Relationship Id="rId6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5" TargetMode="External"/><Relationship Id="rId13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0" TargetMode="External"/><Relationship Id="rId368" Type="http://schemas.openxmlformats.org/officeDocument/2006/relationships/hyperlink" Target="https://www.canada.ca/en/immigration-refugees-citizenship/corporate/mandate/policies-operational-instructions-agreements/ministerial-instructions/express-entry-rounds/invitations-23.html" TargetMode="External"/><Relationship Id="rId17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8" TargetMode="External"/><Relationship Id="rId22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2" TargetMode="External"/><Relationship Id="rId28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9" TargetMode="External"/><Relationship Id="rId337" Type="http://schemas.openxmlformats.org/officeDocument/2006/relationships/hyperlink" Target="https://www.canada.ca/en/immigration-refugees-citizenship/corporate/mandate/policies-operational-instructions-agreements/ministerial-instructions/express-entry-rounds/invitations-54.html" TargetMode="External"/><Relationship Id="rId3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6" TargetMode="External"/><Relationship Id="rId7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4" TargetMode="External"/><Relationship Id="rId14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9" TargetMode="External"/><Relationship Id="rId379" Type="http://schemas.openxmlformats.org/officeDocument/2006/relationships/hyperlink" Target="https://www.canada.ca/en/immigration-refugees-citizenship/corporate/mandate/policies-operational-instructions-agreements/ministerial-instructions/express-entry-rounds/invitations-12.html" TargetMode="External"/><Relationship Id="rId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3" TargetMode="External"/><Relationship Id="rId18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7" TargetMode="External"/><Relationship Id="rId23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1" TargetMode="External"/><Relationship Id="rId390" Type="http://schemas.openxmlformats.org/officeDocument/2006/relationships/hyperlink" Target="https://www.canada.ca/en/immigration-refugees-citizenship/corporate/mandate/policies-operational-instructions-agreements/ministerial-instructions/express-entry-rounds/invitations-1.html" TargetMode="External"/><Relationship Id="rId40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7" TargetMode="External"/><Relationship Id="rId25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0" TargetMode="External"/><Relationship Id="rId29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8" TargetMode="External"/><Relationship Id="rId30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5" TargetMode="External"/><Relationship Id="rId4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5" TargetMode="External"/><Relationship Id="rId8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3" TargetMode="External"/><Relationship Id="rId11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0" TargetMode="External"/><Relationship Id="rId348" Type="http://schemas.openxmlformats.org/officeDocument/2006/relationships/hyperlink" Target="https://www.canada.ca/en/immigration-refugees-citizenship/corporate/mandate/policies-operational-instructions-agreements/ministerial-instructions/express-entry-rounds/invitations-43.html" TargetMode="External"/><Relationship Id="rId15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38" TargetMode="External"/><Relationship Id="rId19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6" TargetMode="External"/><Relationship Id="rId20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2" TargetMode="External"/><Relationship Id="rId41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7" TargetMode="External"/><Relationship Id="rId26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9" TargetMode="External"/><Relationship Id="rId1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6" TargetMode="External"/><Relationship Id="rId5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4" TargetMode="External"/><Relationship Id="rId317" Type="http://schemas.openxmlformats.org/officeDocument/2006/relationships/hyperlink" Target="https://www.canada.ca/en/immigration-refugees-citizenship/corporate/mandate/policies-operational-instructions-agreements/ministerial-instructions/express-entry-rounds/invitations-74.html" TargetMode="External"/><Relationship Id="rId359" Type="http://schemas.openxmlformats.org/officeDocument/2006/relationships/hyperlink" Target="https://www.canada.ca/en/immigration-refugees-citizenship/corporate/mandate/policies-operational-instructions-agreements/ministerial-instructions/express-entry-rounds/invitations-32.html" TargetMode="External"/><Relationship Id="rId9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2" TargetMode="External"/><Relationship Id="rId12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9" TargetMode="External"/><Relationship Id="rId16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7" TargetMode="External"/><Relationship Id="rId21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1" TargetMode="External"/><Relationship Id="rId370" Type="http://schemas.openxmlformats.org/officeDocument/2006/relationships/hyperlink" Target="https://www.canada.ca/en/immigration-refugees-citizenship/corporate/mandate/policies-operational-instructions-agreements/ministerial-instructions/express-entry-rounds/invitations-21.html" TargetMode="External"/><Relationship Id="rId23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0" TargetMode="External"/><Relationship Id="rId2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5" TargetMode="External"/><Relationship Id="rId6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3" TargetMode="External"/><Relationship Id="rId27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8" TargetMode="External"/><Relationship Id="rId328" Type="http://schemas.openxmlformats.org/officeDocument/2006/relationships/hyperlink" Target="https://www.canada.ca/en/immigration-refugees-citizenship/corporate/mandate/policies-operational-instructions-agreements/ministerial-instructions/express-entry-rounds/invitations-64.html" TargetMode="External"/><Relationship Id="rId13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8" TargetMode="External"/><Relationship Id="rId17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6" TargetMode="External"/><Relationship Id="rId381" Type="http://schemas.openxmlformats.org/officeDocument/2006/relationships/hyperlink" Target="https://www.canada.ca/en/immigration-refugees-citizenship/corporate/mandate/policies-operational-instructions-agreements/ministerial-instructions/express-entry-rounds/invitations-10.html" TargetMode="External"/><Relationship Id="rId24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9" TargetMode="External"/><Relationship Id="rId3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4" TargetMode="External"/><Relationship Id="rId28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7" TargetMode="External"/><Relationship Id="rId339" Type="http://schemas.openxmlformats.org/officeDocument/2006/relationships/hyperlink" Target="https://www.canada.ca/en/immigration-refugees-citizenship/corporate/mandate/policies-operational-instructions-agreements/ministerial-instructions/express-entry-rounds/invitations-52.html" TargetMode="External"/><Relationship Id="rId7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2" TargetMode="External"/><Relationship Id="rId10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9" TargetMode="External"/><Relationship Id="rId14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47" TargetMode="External"/><Relationship Id="rId18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5" TargetMode="External"/><Relationship Id="rId350" Type="http://schemas.openxmlformats.org/officeDocument/2006/relationships/hyperlink" Target="https://www.canada.ca/en/immigration-refugees-citizenship/corporate/mandate/policies-operational-instructions-agreements/ministerial-instructions/express-entry-rounds/invitations-41.html" TargetMode="External"/><Relationship Id="rId40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9" TargetMode="External"/><Relationship Id="rId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1" TargetMode="External"/><Relationship Id="rId21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0" TargetMode="External"/><Relationship Id="rId39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91" TargetMode="External"/><Relationship Id="rId25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8" TargetMode="External"/><Relationship Id="rId29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6" TargetMode="External"/><Relationship Id="rId30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3" TargetMode="External"/><Relationship Id="rId4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3" TargetMode="External"/><Relationship Id="rId8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1" TargetMode="External"/><Relationship Id="rId11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8" TargetMode="External"/><Relationship Id="rId15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6" TargetMode="External"/><Relationship Id="rId361" Type="http://schemas.openxmlformats.org/officeDocument/2006/relationships/hyperlink" Target="https://www.canada.ca/en/immigration-refugees-citizenship/corporate/mandate/policies-operational-instructions-agreements/ministerial-instructions/express-entry-rounds/invitations-30.html" TargetMode="External"/><Relationship Id="rId19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4" TargetMode="External"/><Relationship Id="rId417" Type="http://schemas.openxmlformats.org/officeDocument/2006/relationships/table" Target="../tables/table1.xml"/><Relationship Id="rId1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4" TargetMode="External"/><Relationship Id="rId22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9" TargetMode="External"/><Relationship Id="rId26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7" TargetMode="External"/><Relationship Id="rId319" Type="http://schemas.openxmlformats.org/officeDocument/2006/relationships/hyperlink" Target="https://www.canada.ca/en/immigration-refugees-citizenship/corporate/mandate/policies-operational-instructions-agreements/ministerial-instructions/express-entry-rounds/invitations-72.html" TargetMode="External"/><Relationship Id="rId5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2" TargetMode="External"/><Relationship Id="rId12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7" TargetMode="External"/><Relationship Id="rId330" Type="http://schemas.openxmlformats.org/officeDocument/2006/relationships/hyperlink" Target="https://www.canada.ca/en/immigration-refugees-citizenship/corporate/mandate/policies-operational-instructions-agreements/ministerial-instructions/express-entry-rounds/invitations-61.html" TargetMode="External"/><Relationship Id="rId16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5" TargetMode="External"/><Relationship Id="rId372" Type="http://schemas.openxmlformats.org/officeDocument/2006/relationships/hyperlink" Target="https://www.canada.ca/en/immigration-refugees-citizenship/corporate/mandate/policies-operational-instructions-agreements/ministerial-instructions/express-entry-rounds/invitations-19.html" TargetMode="External"/><Relationship Id="rId23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8" TargetMode="External"/><Relationship Id="rId27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6" TargetMode="External"/><Relationship Id="rId2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3" TargetMode="External"/><Relationship Id="rId6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1" TargetMode="External"/><Relationship Id="rId13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6" TargetMode="External"/><Relationship Id="rId8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0" TargetMode="External"/><Relationship Id="rId17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4" TargetMode="External"/><Relationship Id="rId341" Type="http://schemas.openxmlformats.org/officeDocument/2006/relationships/hyperlink" Target="https://www.canada.ca/en/immigration-refugees-citizenship/corporate/mandate/policies-operational-instructions-agreements/ministerial-instructions/express-entry-rounds/invitations-50.html" TargetMode="External"/><Relationship Id="rId383" Type="http://schemas.openxmlformats.org/officeDocument/2006/relationships/hyperlink" Target="https://www.canada.ca/en/immigration-refugees-citizenship/corporate/mandate/policies-operational-instructions-agreements/ministerial-instructions/express-entry-rounds/invitations-8.html" TargetMode="External"/><Relationship Id="rId20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9" TargetMode="External"/><Relationship Id="rId22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8" TargetMode="External"/><Relationship Id="rId24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7" TargetMode="External"/><Relationship Id="rId26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6" TargetMode="External"/><Relationship Id="rId28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5" TargetMode="External"/><Relationship Id="rId1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3" TargetMode="External"/><Relationship Id="rId3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2" TargetMode="External"/><Relationship Id="rId5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1" TargetMode="External"/><Relationship Id="rId10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7" TargetMode="External"/><Relationship Id="rId12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6" TargetMode="External"/><Relationship Id="rId31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1" TargetMode="External"/><Relationship Id="rId7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0" TargetMode="External"/><Relationship Id="rId9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9" TargetMode="External"/><Relationship Id="rId14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5" TargetMode="External"/><Relationship Id="rId16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4" TargetMode="External"/><Relationship Id="rId18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3" TargetMode="External"/><Relationship Id="rId331" Type="http://schemas.openxmlformats.org/officeDocument/2006/relationships/hyperlink" Target="https://www.canada.ca/en/immigration-refugees-citizenship/corporate/mandate/policies-operational-instructions-agreements/ministerial-instructions/express-entry-rounds/invitations-60.html" TargetMode="External"/><Relationship Id="rId352" Type="http://schemas.openxmlformats.org/officeDocument/2006/relationships/hyperlink" Target="https://www.canada.ca/en/immigration-refugees-citizenship/corporate/mandate/policies-operational-instructions-agreements/ministerial-instructions/express-entry-rounds/invitations-39.html" TargetMode="External"/><Relationship Id="rId373" Type="http://schemas.openxmlformats.org/officeDocument/2006/relationships/hyperlink" Target="https://www.canada.ca/en/immigration-refugees-citizenship/corporate/mandate/policies-operational-instructions-agreements/ministerial-instructions/express-entry-rounds/invitations-18.html" TargetMode="External"/><Relationship Id="rId39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92" TargetMode="External"/><Relationship Id="rId40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1" TargetMode="External"/><Relationship Id="rId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9" TargetMode="External"/><Relationship Id="rId21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8" TargetMode="External"/><Relationship Id="rId23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7" TargetMode="External"/><Relationship Id="rId25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6" TargetMode="External"/><Relationship Id="rId2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2" TargetMode="External"/><Relationship Id="rId4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1" TargetMode="External"/><Relationship Id="rId11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6" TargetMode="External"/><Relationship Id="rId27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5" TargetMode="External"/><Relationship Id="rId29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4" TargetMode="External"/><Relationship Id="rId30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1b" TargetMode="External"/><Relationship Id="rId6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0" TargetMode="External"/><Relationship Id="rId8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9" TargetMode="External"/><Relationship Id="rId13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5" TargetMode="External"/><Relationship Id="rId15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4" TargetMode="External"/><Relationship Id="rId17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3" TargetMode="External"/><Relationship Id="rId19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2" TargetMode="External"/><Relationship Id="rId321" Type="http://schemas.openxmlformats.org/officeDocument/2006/relationships/hyperlink" Target="https://www.canada.ca/en/immigration-refugees-citizenship/corporate/mandate/policies-operational-instructions-agreements/ministerial-instructions/express-entry-rounds/invitations-70.html" TargetMode="External"/><Relationship Id="rId342" Type="http://schemas.openxmlformats.org/officeDocument/2006/relationships/hyperlink" Target="https://www.canada.ca/en/immigration-refugees-citizenship/corporate/mandate/policies-operational-instructions-agreements/ministerial-instructions/express-entry-rounds/invitations-49.html" TargetMode="External"/><Relationship Id="rId363" Type="http://schemas.openxmlformats.org/officeDocument/2006/relationships/hyperlink" Target="https://www.canada.ca/en/immigration-refugees-citizenship/corporate/mandate/policies-operational-instructions-agreements/ministerial-instructions/express-entry-rounds/invitations-28.html" TargetMode="External"/><Relationship Id="rId384" Type="http://schemas.openxmlformats.org/officeDocument/2006/relationships/hyperlink" Target="https://www.canada.ca/en/immigration-refugees-citizenship/corporate/mandate/policies-operational-instructions-agreements/ministerial-instructions/express-entry-rounds/invitations-7.html" TargetMode="External"/><Relationship Id="rId20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8" TargetMode="External"/><Relationship Id="rId22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7" TargetMode="External"/><Relationship Id="rId24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6" TargetMode="External"/><Relationship Id="rId1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2" TargetMode="External"/><Relationship Id="rId3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1" TargetMode="External"/><Relationship Id="rId26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5" TargetMode="External"/><Relationship Id="rId28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4" TargetMode="External"/><Relationship Id="rId5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0" TargetMode="External"/><Relationship Id="rId10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6" TargetMode="External"/><Relationship Id="rId12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5" TargetMode="External"/><Relationship Id="rId14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4" TargetMode="External"/><Relationship Id="rId16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3" TargetMode="External"/><Relationship Id="rId18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2" TargetMode="External"/><Relationship Id="rId31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0" TargetMode="External"/><Relationship Id="rId332" Type="http://schemas.openxmlformats.org/officeDocument/2006/relationships/hyperlink" Target="https://www.canada.ca/en/immigration-refugees-citizenship/corporate/mandate/policies-operational-instructions-agreements/ministerial-instructions/express-entry-rounds/invitations-59.html" TargetMode="External"/><Relationship Id="rId353" Type="http://schemas.openxmlformats.org/officeDocument/2006/relationships/hyperlink" Target="https://www.canada.ca/en/immigration-refugees-citizenship/corporate/mandate/policies-operational-instructions-agreements/ministerial-instructions/express-entry-rounds/invitations-38.html" TargetMode="External"/><Relationship Id="rId374" Type="http://schemas.openxmlformats.org/officeDocument/2006/relationships/hyperlink" Target="https://www.canada.ca/en/immigration-refugees-citizenship/corporate/mandate/policies-operational-instructions-agreements/ministerial-instructions/express-entry-rounds/invitations-17.html" TargetMode="External"/><Relationship Id="rId39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98" TargetMode="External"/><Relationship Id="rId40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3" TargetMode="External"/><Relationship Id="rId7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9" TargetMode="External"/><Relationship Id="rId9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8" TargetMode="External"/><Relationship Id="rId21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7" TargetMode="External"/><Relationship Id="rId23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6" TargetMode="External"/><Relationship Id="rId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8" TargetMode="External"/><Relationship Id="rId2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1" TargetMode="External"/><Relationship Id="rId25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5" TargetMode="External"/><Relationship Id="rId27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4" TargetMode="External"/><Relationship Id="rId29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3" TargetMode="External"/><Relationship Id="rId4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0" TargetMode="External"/><Relationship Id="rId11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5" TargetMode="External"/><Relationship Id="rId13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4" TargetMode="External"/><Relationship Id="rId15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3" TargetMode="External"/><Relationship Id="rId17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2" TargetMode="External"/><Relationship Id="rId30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0" TargetMode="External"/><Relationship Id="rId322" Type="http://schemas.openxmlformats.org/officeDocument/2006/relationships/hyperlink" Target="https://www.canada.ca/en/immigration-refugees-citizenship/corporate/mandate/policies-operational-instructions-agreements/ministerial-instructions/express-entry-rounds/invitations-69.html" TargetMode="External"/><Relationship Id="rId343" Type="http://schemas.openxmlformats.org/officeDocument/2006/relationships/hyperlink" Target="https://www.canada.ca/en/immigration-refugees-citizenship/corporate/mandate/policies-operational-instructions-agreements/ministerial-instructions/express-entry-rounds/invitations-48.html" TargetMode="External"/><Relationship Id="rId364" Type="http://schemas.openxmlformats.org/officeDocument/2006/relationships/hyperlink" Target="https://www.canada.ca/en/immigration-refugees-citizenship/corporate/mandate/policies-operational-instructions-agreements/ministerial-instructions/express-entry-rounds/invitations-27.html" TargetMode="External"/><Relationship Id="rId6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9" TargetMode="External"/><Relationship Id="rId8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8" TargetMode="External"/><Relationship Id="rId19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1" TargetMode="External"/><Relationship Id="rId20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7" TargetMode="External"/><Relationship Id="rId385" Type="http://schemas.openxmlformats.org/officeDocument/2006/relationships/hyperlink" Target="https://www.canada.ca/en/immigration-refugees-citizenship/corporate/mandate/policies-operational-instructions-agreements/ministerial-instructions/express-entry-rounds/invitations-6.html" TargetMode="External"/><Relationship Id="rId1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1" TargetMode="External"/><Relationship Id="rId22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6" TargetMode="External"/><Relationship Id="rId24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5" TargetMode="External"/><Relationship Id="rId26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4" TargetMode="External"/><Relationship Id="rId28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3" TargetMode="External"/><Relationship Id="rId41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2" TargetMode="External"/><Relationship Id="rId3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0" TargetMode="External"/><Relationship Id="rId10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5" TargetMode="External"/><Relationship Id="rId12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4" TargetMode="External"/><Relationship Id="rId14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3" TargetMode="External"/><Relationship Id="rId16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2" TargetMode="External"/><Relationship Id="rId31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79" TargetMode="External"/><Relationship Id="rId333" Type="http://schemas.openxmlformats.org/officeDocument/2006/relationships/hyperlink" Target="https://www.canada.ca/en/immigration-refugees-citizenship/corporate/mandate/policies-operational-instructions-agreements/ministerial-instructions/express-entry-rounds/invitations-58.html" TargetMode="External"/><Relationship Id="rId354" Type="http://schemas.openxmlformats.org/officeDocument/2006/relationships/hyperlink" Target="https://www.canada.ca/en/immigration-refugees-citizenship/corporate/mandate/policies-operational-instructions-agreements/ministerial-instructions/express-entry-rounds/invitations-37.html" TargetMode="External"/><Relationship Id="rId5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9" TargetMode="External"/><Relationship Id="rId7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8" TargetMode="External"/><Relationship Id="rId9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7" TargetMode="External"/><Relationship Id="rId18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1" TargetMode="External"/><Relationship Id="rId375" Type="http://schemas.openxmlformats.org/officeDocument/2006/relationships/hyperlink" Target="https://www.canada.ca/en/immigration-refugees-citizenship/corporate/mandate/policies-operational-instructions-agreements/ministerial-instructions/express-entry-rounds/invitations-16.html" TargetMode="External"/><Relationship Id="rId39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97" TargetMode="External"/><Relationship Id="rId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7" TargetMode="External"/><Relationship Id="rId21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6" TargetMode="External"/><Relationship Id="rId23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5" TargetMode="External"/><Relationship Id="rId25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4" TargetMode="External"/><Relationship Id="rId27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3" TargetMode="External"/><Relationship Id="rId29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2" TargetMode="External"/><Relationship Id="rId40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4" TargetMode="External"/><Relationship Id="rId11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4" TargetMode="External"/><Relationship Id="rId13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3" TargetMode="External"/><Relationship Id="rId15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2" TargetMode="External"/><Relationship Id="rId30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9" TargetMode="External"/><Relationship Id="rId323" Type="http://schemas.openxmlformats.org/officeDocument/2006/relationships/hyperlink" Target="https://www.canada.ca/en/immigration-refugees-citizenship/corporate/mandate/policies-operational-instructions-agreements/ministerial-instructions/express-entry-rounds/invitations-68.html" TargetMode="External"/><Relationship Id="rId344" Type="http://schemas.openxmlformats.org/officeDocument/2006/relationships/hyperlink" Target="https://www.canada.ca/en/immigration-refugees-citizenship/corporate/mandate/policies-operational-instructions-agreements/ministerial-instructions/express-entry-rounds/invitations-47.html" TargetMode="External"/><Relationship Id="rId2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0" TargetMode="External"/><Relationship Id="rId4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9" TargetMode="External"/><Relationship Id="rId6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8" TargetMode="External"/><Relationship Id="rId8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7" TargetMode="External"/><Relationship Id="rId17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1" TargetMode="External"/><Relationship Id="rId365" Type="http://schemas.openxmlformats.org/officeDocument/2006/relationships/hyperlink" Target="https://www.canada.ca/en/immigration-refugees-citizenship/corporate/mandate/policies-operational-instructions-agreements/ministerial-instructions/express-entry-rounds/invitations-26.html" TargetMode="External"/><Relationship Id="rId386" Type="http://schemas.openxmlformats.org/officeDocument/2006/relationships/hyperlink" Target="https://www.canada.ca/en/immigration-refugees-citizenship/corporate/mandate/policies-operational-instructions-agreements/ministerial-instructions/express-entry-rounds/invitations-5.html" TargetMode="External"/><Relationship Id="rId19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0" TargetMode="External"/><Relationship Id="rId20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6" TargetMode="External"/><Relationship Id="rId22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5" TargetMode="External"/><Relationship Id="rId24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4" TargetMode="External"/><Relationship Id="rId26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3" TargetMode="External"/><Relationship Id="rId28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2" TargetMode="External"/><Relationship Id="rId41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4" TargetMode="External"/><Relationship Id="rId10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4" TargetMode="External"/><Relationship Id="rId12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3" TargetMode="External"/><Relationship Id="rId31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78" TargetMode="External"/><Relationship Id="rId1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0" TargetMode="External"/><Relationship Id="rId3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9" TargetMode="External"/><Relationship Id="rId5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8" TargetMode="External"/><Relationship Id="rId7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7" TargetMode="External"/><Relationship Id="rId9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6" TargetMode="External"/><Relationship Id="rId14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2" TargetMode="External"/><Relationship Id="rId16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1" TargetMode="External"/><Relationship Id="rId334" Type="http://schemas.openxmlformats.org/officeDocument/2006/relationships/hyperlink" Target="https://www.canada.ca/en/immigration-refugees-citizenship/corporate/mandate/policies-operational-instructions-agreements/ministerial-instructions/express-entry-rounds/invitations-57.html" TargetMode="External"/><Relationship Id="rId355" Type="http://schemas.openxmlformats.org/officeDocument/2006/relationships/hyperlink" Target="https://www.canada.ca/en/immigration-refugees-citizenship/corporate/mandate/policies-operational-instructions-agreements/ministerial-instructions/express-entry-rounds/invitations-36.html" TargetMode="External"/><Relationship Id="rId376" Type="http://schemas.openxmlformats.org/officeDocument/2006/relationships/hyperlink" Target="https://www.canada.ca/en/immigration-refugees-citizenship/corporate/mandate/policies-operational-instructions-agreements/ministerial-instructions/express-entry-rounds/invitations-15.html" TargetMode="External"/><Relationship Id="rId39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2" TargetMode="External"/><Relationship Id="rId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6" TargetMode="External"/><Relationship Id="rId18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0" TargetMode="External"/><Relationship Id="rId21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5" TargetMode="External"/><Relationship Id="rId23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4" TargetMode="External"/><Relationship Id="rId25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3" TargetMode="External"/><Relationship Id="rId27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2" TargetMode="External"/><Relationship Id="rId40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3" TargetMode="External"/><Relationship Id="rId30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8" TargetMode="External"/><Relationship Id="rId4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8" TargetMode="External"/><Relationship Id="rId8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6" TargetMode="External"/><Relationship Id="rId13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2" TargetMode="External"/><Relationship Id="rId345" Type="http://schemas.openxmlformats.org/officeDocument/2006/relationships/hyperlink" Target="https://www.canada.ca/en/immigration-refugees-citizenship/corporate/mandate/policies-operational-instructions-agreements/ministerial-instructions/express-entry-rounds/invitations-46.html" TargetMode="External"/><Relationship Id="rId387" Type="http://schemas.openxmlformats.org/officeDocument/2006/relationships/hyperlink" Target="https://www.canada.ca/en/immigration-refugees-citizenship/corporate/mandate/policies-operational-instructions-agreements/ministerial-instructions/express-entry-rounds/invitations-4.html" TargetMode="External"/><Relationship Id="rId19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9" TargetMode="External"/><Relationship Id="rId20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5" TargetMode="External"/><Relationship Id="rId24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3" TargetMode="External"/><Relationship Id="rId41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5" TargetMode="External"/><Relationship Id="rId10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3" TargetMode="External"/><Relationship Id="rId28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1" TargetMode="External"/><Relationship Id="rId1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9" TargetMode="External"/><Relationship Id="rId5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7" TargetMode="External"/><Relationship Id="rId14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1" TargetMode="External"/><Relationship Id="rId31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77" TargetMode="External"/><Relationship Id="rId356" Type="http://schemas.openxmlformats.org/officeDocument/2006/relationships/hyperlink" Target="https://www.canada.ca/en/immigration-refugees-citizenship/corporate/mandate/policies-operational-instructions-agreements/ministerial-instructions/express-entry-rounds/invitations-35.html" TargetMode="External"/><Relationship Id="rId39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1" TargetMode="External"/><Relationship Id="rId9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5" TargetMode="External"/><Relationship Id="rId16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0" TargetMode="External"/><Relationship Id="rId21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4" TargetMode="External"/><Relationship Id="rId25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2" TargetMode="External"/><Relationship Id="rId2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8" TargetMode="External"/><Relationship Id="rId6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6" TargetMode="External"/><Relationship Id="rId11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2" TargetMode="External"/><Relationship Id="rId325" Type="http://schemas.openxmlformats.org/officeDocument/2006/relationships/hyperlink" Target="https://www.canada.ca/en/immigration-refugees-citizenship/corporate/mandate/policies-operational-instructions-agreements/ministerial-instructions/express-entry-rounds/invitations-66.html" TargetMode="External"/><Relationship Id="rId367" Type="http://schemas.openxmlformats.org/officeDocument/2006/relationships/hyperlink" Target="https://www.canada.ca/en/immigration-refugees-citizenship/corporate/mandate/policies-operational-instructions-agreements/ministerial-instructions/express-entry-rounds/invitations-24.html" TargetMode="External"/><Relationship Id="rId17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9" TargetMode="External"/><Relationship Id="rId22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3" TargetMode="External"/><Relationship Id="rId26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1" TargetMode="External"/><Relationship Id="rId3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7" TargetMode="External"/><Relationship Id="rId12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1" TargetMode="External"/><Relationship Id="rId28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0" TargetMode="External"/><Relationship Id="rId336" Type="http://schemas.openxmlformats.org/officeDocument/2006/relationships/hyperlink" Target="https://www.canada.ca/en/immigration-refugees-citizenship/corporate/mandate/policies-operational-instructions-agreements/ministerial-instructions/express-entry-rounds/invitations-55.html" TargetMode="External"/><Relationship Id="rId7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5" TargetMode="External"/><Relationship Id="rId14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0" TargetMode="External"/><Relationship Id="rId18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8" TargetMode="External"/><Relationship Id="rId378" Type="http://schemas.openxmlformats.org/officeDocument/2006/relationships/hyperlink" Target="https://www.canada.ca/en/immigration-refugees-citizenship/corporate/mandate/policies-operational-instructions-agreements/ministerial-instructions/express-entry-rounds/invitations-13.html" TargetMode="External"/><Relationship Id="rId40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8" TargetMode="External"/><Relationship Id="rId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4" TargetMode="External"/><Relationship Id="rId23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2" TargetMode="External"/><Relationship Id="rId29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9" TargetMode="External"/><Relationship Id="rId30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6" TargetMode="External"/><Relationship Id="rId347" Type="http://schemas.openxmlformats.org/officeDocument/2006/relationships/hyperlink" Target="https://www.canada.ca/en/immigration-refugees-citizenship/corporate/mandate/policies-operational-instructions-agreements/ministerial-instructions/express-entry-rounds/invitations-44.html" TargetMode="External"/><Relationship Id="rId4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6" TargetMode="External"/><Relationship Id="rId8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4" TargetMode="External"/><Relationship Id="rId15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39" TargetMode="External"/><Relationship Id="rId389" Type="http://schemas.openxmlformats.org/officeDocument/2006/relationships/hyperlink" Target="https://www.canada.ca/en/immigration-refugees-citizenship/corporate/mandate/policies-operational-instructions-agreements/ministerial-instructions/express-entry-rounds/invitations-2.html" TargetMode="External"/><Relationship Id="rId19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7" TargetMode="External"/><Relationship Id="rId20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3" TargetMode="External"/><Relationship Id="rId24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2" TargetMode="External"/><Relationship Id="rId41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8" TargetMode="External"/><Relationship Id="rId1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7" TargetMode="External"/><Relationship Id="rId10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1" TargetMode="External"/><Relationship Id="rId26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0" TargetMode="External"/><Relationship Id="rId316" Type="http://schemas.openxmlformats.org/officeDocument/2006/relationships/hyperlink" Target="https://www.canada.ca/en/immigration-refugees-citizenship/corporate/mandate/policies-operational-instructions-agreements/ministerial-instructions/express-entry-rounds/invitations-76.html" TargetMode="External"/><Relationship Id="rId5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5" TargetMode="External"/><Relationship Id="rId9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3" TargetMode="External"/><Relationship Id="rId12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0" TargetMode="External"/><Relationship Id="rId358" Type="http://schemas.openxmlformats.org/officeDocument/2006/relationships/hyperlink" Target="https://www.canada.ca/en/immigration-refugees-citizenship/corporate/mandate/policies-operational-instructions-agreements/ministerial-instructions/express-entry-rounds/invitations-33.html" TargetMode="External"/><Relationship Id="rId16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8" TargetMode="External"/><Relationship Id="rId218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2" TargetMode="External"/><Relationship Id="rId27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9" TargetMode="External"/><Relationship Id="rId2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6" TargetMode="External"/><Relationship Id="rId6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4" TargetMode="External"/><Relationship Id="rId13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9" TargetMode="External"/><Relationship Id="rId327" Type="http://schemas.openxmlformats.org/officeDocument/2006/relationships/hyperlink" Target="https://www.canada.ca/en/immigration-refugees-citizenship/corporate/mandate/policies-operational-instructions-agreements/ministerial-instructions/express-entry-rounds/invitations-63.html" TargetMode="External"/><Relationship Id="rId369" Type="http://schemas.openxmlformats.org/officeDocument/2006/relationships/hyperlink" Target="https://www.canada.ca/en/immigration-refugees-citizenship/corporate/mandate/policies-operational-instructions-agreements/ministerial-instructions/express-entry-rounds/invitations-22.html" TargetMode="External"/><Relationship Id="rId17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7" TargetMode="External"/><Relationship Id="rId22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61" TargetMode="External"/><Relationship Id="rId380" Type="http://schemas.openxmlformats.org/officeDocument/2006/relationships/hyperlink" Target="https://www.canada.ca/en/immigration-refugees-citizenship/corporate/mandate/policies-operational-instructions-agreements/ministerial-instructions/express-entry-rounds/invitations-11.html" TargetMode="External"/><Relationship Id="rId24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0" TargetMode="External"/><Relationship Id="rId3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5" TargetMode="External"/><Relationship Id="rId7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3" TargetMode="External"/><Relationship Id="rId10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0" TargetMode="External"/><Relationship Id="rId28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8" TargetMode="External"/><Relationship Id="rId338" Type="http://schemas.openxmlformats.org/officeDocument/2006/relationships/hyperlink" Target="https://www.canada.ca/en/immigration-refugees-citizenship/corporate/mandate/policies-operational-instructions-agreements/ministerial-instructions/express-entry-rounds/invitations-53.html" TargetMode="External"/><Relationship Id="rId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82" TargetMode="External"/><Relationship Id="rId14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8" TargetMode="External"/><Relationship Id="rId18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6" TargetMode="External"/><Relationship Id="rId39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90" TargetMode="External"/><Relationship Id="rId40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06" TargetMode="External"/><Relationship Id="rId25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9" TargetMode="External"/><Relationship Id="rId4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4" TargetMode="External"/><Relationship Id="rId29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7" TargetMode="External"/><Relationship Id="rId30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4" TargetMode="External"/><Relationship Id="rId349" Type="http://schemas.openxmlformats.org/officeDocument/2006/relationships/hyperlink" Target="https://www.canada.ca/en/immigration-refugees-citizenship/corporate/mandate/policies-operational-instructions-agreements/ministerial-instructions/express-entry-rounds/invitations-42.html" TargetMode="External"/><Relationship Id="rId8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2" TargetMode="External"/><Relationship Id="rId111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9" TargetMode="External"/><Relationship Id="rId15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37" TargetMode="External"/><Relationship Id="rId19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5" TargetMode="External"/><Relationship Id="rId20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81" TargetMode="External"/><Relationship Id="rId360" Type="http://schemas.openxmlformats.org/officeDocument/2006/relationships/hyperlink" Target="https://www.canada.ca/en/immigration-refugees-citizenship/corporate/mandate/policies-operational-instructions-agreements/ministerial-instructions/express-entry-rounds/invitations-31.html" TargetMode="External"/><Relationship Id="rId41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9" TargetMode="External"/><Relationship Id="rId22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0" TargetMode="External"/><Relationship Id="rId15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75" TargetMode="External"/><Relationship Id="rId5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33" TargetMode="External"/><Relationship Id="rId26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28" TargetMode="External"/><Relationship Id="rId318" Type="http://schemas.openxmlformats.org/officeDocument/2006/relationships/hyperlink" Target="https://www.canada.ca/en/immigration-refugees-citizenship/corporate/mandate/policies-operational-instructions-agreements/ministerial-instructions/express-entry-rounds/invitations-73.html" TargetMode="External"/><Relationship Id="rId9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91" TargetMode="External"/><Relationship Id="rId12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68" TargetMode="External"/><Relationship Id="rId16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26" TargetMode="External"/><Relationship Id="rId371" Type="http://schemas.openxmlformats.org/officeDocument/2006/relationships/hyperlink" Target="https://www.canada.ca/en/immigration-refugees-citizenship/corporate/mandate/policies-operational-instructions-agreements/ministerial-instructions/express-entry-rounds/invitations-20.html" TargetMode="External"/><Relationship Id="rId26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64" TargetMode="External"/><Relationship Id="rId23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59" TargetMode="External"/><Relationship Id="rId27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17" TargetMode="External"/><Relationship Id="rId329" Type="http://schemas.openxmlformats.org/officeDocument/2006/relationships/hyperlink" Target="https://www.canada.ca/en/immigration-refugees-citizenship/corporate/mandate/policies-operational-instructions-agreements/ministerial-instructions/express-entry-rounds/invitations-62.html" TargetMode="External"/><Relationship Id="rId6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22" TargetMode="External"/><Relationship Id="rId13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57" TargetMode="External"/><Relationship Id="rId17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15" TargetMode="External"/><Relationship Id="rId340" Type="http://schemas.openxmlformats.org/officeDocument/2006/relationships/hyperlink" Target="https://www.canada.ca/en/immigration-refugees-citizenship/corporate/mandate/policies-operational-instructions-agreements/ministerial-instructions/express-entry-rounds/invitations-51.html" TargetMode="External"/><Relationship Id="rId200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0" TargetMode="External"/><Relationship Id="rId382" Type="http://schemas.openxmlformats.org/officeDocument/2006/relationships/hyperlink" Target="https://www.canada.ca/en/immigration-refugees-citizenship/corporate/mandate/policies-operational-instructions-agreements/ministerial-instructions/express-entry-rounds/invitations-9.html" TargetMode="External"/><Relationship Id="rId242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48" TargetMode="External"/><Relationship Id="rId284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06" TargetMode="External"/><Relationship Id="rId3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53" TargetMode="External"/><Relationship Id="rId79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11" TargetMode="External"/><Relationship Id="rId102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88" TargetMode="External"/><Relationship Id="rId144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46" TargetMode="External"/><Relationship Id="rId90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00" TargetMode="External"/><Relationship Id="rId186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04" TargetMode="External"/><Relationship Id="rId351" Type="http://schemas.openxmlformats.org/officeDocument/2006/relationships/hyperlink" Target="https://www.canada.ca/en/immigration-refugees-citizenship/corporate/mandate/policies-operational-instructions-agreements/ministerial-instructions/express-entry-rounds/invitations-40.html" TargetMode="External"/><Relationship Id="rId393" Type="http://schemas.openxmlformats.org/officeDocument/2006/relationships/hyperlink" Target="https://www.canada.ca/en/immigration-refugees-citizenship/corporate/mandate/policies-operational-instructions-agreements/ministerial-instructions/express-entry-rounds.html" TargetMode="External"/><Relationship Id="rId407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410" TargetMode="External"/><Relationship Id="rId211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79" TargetMode="External"/><Relationship Id="rId253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37" TargetMode="External"/><Relationship Id="rId29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95" TargetMode="External"/><Relationship Id="rId309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82" TargetMode="External"/><Relationship Id="rId48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342" TargetMode="External"/><Relationship Id="rId113" Type="http://schemas.openxmlformats.org/officeDocument/2006/relationships/hyperlink" Target="https://www.canada.ca/content/canadasite/en/immigration-refugees-citizenship/corporate/mandate/policies-operational-instructions-agreements/ministerial-instructions/express-entry-rounds/invitations.html?q=277" TargetMode="External"/><Relationship Id="rId320" Type="http://schemas.openxmlformats.org/officeDocument/2006/relationships/hyperlink" Target="https://www.canada.ca/en/immigration-refugees-citizenship/corporate/mandate/policies-operational-instructions-agreements/ministerial-instructions/express-entry-rounds/invitations-71.html" TargetMode="External"/><Relationship Id="rId155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235" TargetMode="External"/><Relationship Id="rId197" Type="http://schemas.openxmlformats.org/officeDocument/2006/relationships/hyperlink" Target="https://www.canada.ca/en/immigration-refugees-citizenship/corporate/mandate/policies-operational-instructions-agreements/ministerial-instructions/express-entry-rounds/invitations.html?q=193" TargetMode="External"/><Relationship Id="rId362" Type="http://schemas.openxmlformats.org/officeDocument/2006/relationships/hyperlink" Target="https://www.canada.ca/en/immigration-refugees-citizenship/corporate/mandate/policies-operational-instructions-agreements/ministerial-instructions/express-entry-rounds/invitations-29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canada.ca/en/immigration-refugees-citizenship/corporate/mandate/policies-operational-instructions-agreements/ministerial-instructions/express-entry-rounds.html" TargetMode="External"/><Relationship Id="rId1" Type="http://schemas.openxmlformats.org/officeDocument/2006/relationships/hyperlink" Target="https://onedrive.live.com/personal/69f235c83271dd38/_layouts/15/Doc.aspx?resid=69F235C83271DD38!s23b976115786470dac4bdb3c2d25af44&amp;cid=69f235c83271dd38&amp;migratedtospo=true&amp;app=Excel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3" sqref="C13"/>
    </sheetView>
  </sheetViews>
  <sheetFormatPr defaultRowHeight="15"/>
  <cols>
    <col min="1" max="1" width="22.42578125" customWidth="1"/>
    <col min="2" max="2" width="32" customWidth="1"/>
  </cols>
  <sheetData>
    <row r="1" spans="1:3" ht="32.25" customHeight="1">
      <c r="A1" s="113" t="s">
        <v>0</v>
      </c>
      <c r="B1" s="127" t="s">
        <v>1</v>
      </c>
      <c r="C1" s="127"/>
    </row>
    <row r="2" spans="1:3">
      <c r="A2" s="1" t="s">
        <v>2</v>
      </c>
      <c r="B2" s="2">
        <v>46035</v>
      </c>
      <c r="C2" s="1"/>
    </row>
    <row r="3" spans="1:3">
      <c r="A3" s="1" t="s">
        <v>3</v>
      </c>
      <c r="B3" s="1"/>
      <c r="C3" s="1"/>
    </row>
    <row r="4" spans="1:3">
      <c r="A4" s="1" t="s">
        <v>4</v>
      </c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10" spans="1:3">
      <c r="C10" t="s">
        <v>5</v>
      </c>
    </row>
    <row r="11" spans="1:3">
      <c r="B11" s="14" t="s">
        <v>6</v>
      </c>
      <c r="C11" s="19" t="s">
        <v>7</v>
      </c>
    </row>
    <row r="12" spans="1:3">
      <c r="B12" s="14" t="s">
        <v>8</v>
      </c>
      <c r="C12" s="19" t="s">
        <v>9</v>
      </c>
    </row>
    <row r="13" spans="1:3">
      <c r="B13" s="14" t="s">
        <v>10</v>
      </c>
      <c r="C13" s="19" t="s">
        <v>11</v>
      </c>
    </row>
  </sheetData>
  <mergeCells count="1">
    <mergeCell ref="B1:C1"/>
  </mergeCells>
  <hyperlinks>
    <hyperlink ref="C11" r:id="rId1" xr:uid="{5840BF1A-4096-4041-9642-7E7D61223C69}"/>
    <hyperlink ref="C12" r:id="rId2" xr:uid="{E1D7EA75-F7F1-4A63-B914-D3881BEBE8CA}"/>
    <hyperlink ref="C13" r:id="rId3" xr:uid="{9334161B-A6DE-4AAD-8366-27DF769A5E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1070-8FBA-4A4A-AB75-6819CE8D63BD}">
  <dimension ref="A1:AZ115"/>
  <sheetViews>
    <sheetView tabSelected="1" workbookViewId="0">
      <pane xSplit="2" ySplit="1" topLeftCell="S2" activePane="bottomRight" state="frozen"/>
      <selection pane="bottomRight" activeCell="AD15" sqref="AD15"/>
      <selection pane="bottomLeft"/>
      <selection pane="topRight"/>
    </sheetView>
  </sheetViews>
  <sheetFormatPr defaultRowHeight="15"/>
  <cols>
    <col min="1" max="1" width="10" customWidth="1"/>
    <col min="2" max="2" width="12.42578125" customWidth="1"/>
    <col min="3" max="3" width="13" style="17" customWidth="1"/>
    <col min="4" max="4" width="12" style="17" customWidth="1"/>
    <col min="5" max="5" width="11.5703125" style="17" customWidth="1"/>
    <col min="6" max="6" width="13.42578125" style="17" customWidth="1"/>
    <col min="7" max="8" width="12.85546875" customWidth="1"/>
    <col min="9" max="9" width="13" customWidth="1"/>
    <col min="10" max="10" width="12.5703125" customWidth="1"/>
    <col min="11" max="11" width="13.7109375" customWidth="1"/>
    <col min="12" max="12" width="11.42578125" customWidth="1"/>
    <col min="13" max="13" width="12.5703125" customWidth="1"/>
    <col min="14" max="14" width="10" customWidth="1"/>
    <col min="15" max="16" width="12.42578125" customWidth="1"/>
    <col min="17" max="17" width="13.85546875" customWidth="1"/>
    <col min="20" max="20" width="12" customWidth="1"/>
    <col min="21" max="21" width="10.5703125" customWidth="1"/>
    <col min="23" max="23" width="10.85546875" customWidth="1"/>
    <col min="24" max="24" width="12.85546875" customWidth="1"/>
  </cols>
  <sheetData>
    <row r="1" spans="1:32">
      <c r="A1" s="125" t="s">
        <v>12</v>
      </c>
      <c r="B1" s="126"/>
      <c r="C1" s="120">
        <v>46026</v>
      </c>
      <c r="D1" s="121"/>
      <c r="E1" s="118">
        <v>46041</v>
      </c>
      <c r="F1" s="119"/>
      <c r="G1" s="115">
        <v>46057</v>
      </c>
      <c r="H1" s="116"/>
      <c r="I1" s="116">
        <v>46068</v>
      </c>
      <c r="J1" s="116"/>
      <c r="K1" s="116">
        <v>46082</v>
      </c>
      <c r="L1" s="116"/>
      <c r="M1" s="116">
        <v>46096</v>
      </c>
      <c r="N1" s="116"/>
      <c r="O1" s="114">
        <v>46110</v>
      </c>
      <c r="P1" s="115"/>
      <c r="Q1" s="114">
        <v>46124</v>
      </c>
      <c r="R1" s="115"/>
      <c r="S1" s="114">
        <v>46152</v>
      </c>
      <c r="T1" s="115"/>
      <c r="U1" s="114">
        <v>46166</v>
      </c>
      <c r="V1" s="115"/>
      <c r="W1" s="114">
        <v>46163</v>
      </c>
      <c r="X1" s="115"/>
    </row>
    <row r="2" spans="1:32" s="45" customFormat="1">
      <c r="A2" s="117" t="s">
        <v>13</v>
      </c>
      <c r="B2" s="117"/>
      <c r="C2" s="44">
        <v>559</v>
      </c>
      <c r="D2" s="49"/>
      <c r="E2" s="52">
        <v>677</v>
      </c>
      <c r="F2" s="52">
        <f>E2-C2</f>
        <v>118</v>
      </c>
      <c r="G2" s="44">
        <v>423</v>
      </c>
      <c r="H2" s="44">
        <f>G2-E2</f>
        <v>-254</v>
      </c>
      <c r="I2" s="44">
        <v>280</v>
      </c>
      <c r="J2" s="44">
        <f>I2-G2</f>
        <v>-143</v>
      </c>
      <c r="K2" s="44">
        <v>258</v>
      </c>
      <c r="L2" s="44">
        <f>K2-I2</f>
        <v>-22</v>
      </c>
      <c r="M2" s="44">
        <v>360</v>
      </c>
      <c r="N2" s="44">
        <f>M2-K2</f>
        <v>102</v>
      </c>
      <c r="O2" s="44">
        <v>351</v>
      </c>
      <c r="P2" s="44">
        <f>O2-M2</f>
        <v>-9</v>
      </c>
      <c r="Q2" s="44">
        <v>325</v>
      </c>
      <c r="R2" s="44">
        <f>Q2-O2</f>
        <v>-26</v>
      </c>
      <c r="S2" s="44">
        <v>372</v>
      </c>
      <c r="T2" s="44">
        <f>S2-Q2</f>
        <v>47</v>
      </c>
      <c r="U2" s="44">
        <v>332</v>
      </c>
      <c r="V2" s="44">
        <f>U2-S2</f>
        <v>-40</v>
      </c>
      <c r="W2" s="44">
        <v>941</v>
      </c>
      <c r="X2" s="44">
        <f>W2-U2</f>
        <v>609</v>
      </c>
    </row>
    <row r="3" spans="1:32" s="45" customFormat="1">
      <c r="A3" s="122" t="s">
        <v>14</v>
      </c>
      <c r="B3" s="122"/>
      <c r="C3" s="46">
        <v>21013</v>
      </c>
      <c r="D3" s="49"/>
      <c r="E3" s="46">
        <v>16341</v>
      </c>
      <c r="F3" s="46">
        <f>E3-C3</f>
        <v>-4672</v>
      </c>
      <c r="G3" s="46">
        <v>14911</v>
      </c>
      <c r="H3" s="46">
        <f>G3-E3</f>
        <v>-1430</v>
      </c>
      <c r="I3" s="46">
        <v>16559</v>
      </c>
      <c r="J3" s="46">
        <f>I3-G3</f>
        <v>1648</v>
      </c>
      <c r="K3" s="46">
        <v>14031</v>
      </c>
      <c r="L3" s="46">
        <f>K3-I3</f>
        <v>-2528</v>
      </c>
      <c r="M3" s="46">
        <v>13039</v>
      </c>
      <c r="N3" s="46">
        <f>M3-K3</f>
        <v>-992</v>
      </c>
      <c r="O3" s="46">
        <v>11648</v>
      </c>
      <c r="P3" s="46">
        <f>O3-M3</f>
        <v>-1391</v>
      </c>
      <c r="Q3" s="46">
        <v>13610</v>
      </c>
      <c r="R3" s="46">
        <f>Q3-O3</f>
        <v>1962</v>
      </c>
      <c r="S3" s="46">
        <v>15659</v>
      </c>
      <c r="T3" s="46">
        <f>S3-Q3</f>
        <v>2049</v>
      </c>
      <c r="U3" s="46">
        <v>17945</v>
      </c>
      <c r="V3" s="46">
        <f>U3-S3</f>
        <v>2286</v>
      </c>
      <c r="W3" s="46">
        <v>20012</v>
      </c>
      <c r="X3" s="46">
        <f>W3-U3</f>
        <v>2067</v>
      </c>
      <c r="Y3" s="79"/>
      <c r="Z3" s="79"/>
      <c r="AA3" s="79"/>
    </row>
    <row r="4" spans="1:32" s="45" customFormat="1">
      <c r="A4" s="123" t="s">
        <v>15</v>
      </c>
      <c r="B4" s="124"/>
      <c r="C4" s="47">
        <v>70523</v>
      </c>
      <c r="D4" s="48"/>
      <c r="E4" s="47">
        <v>72714</v>
      </c>
      <c r="F4" s="47">
        <f>E4-C4</f>
        <v>2191</v>
      </c>
      <c r="G4" s="47">
        <v>74811</v>
      </c>
      <c r="H4" s="47">
        <f>G4-E4</f>
        <v>2097</v>
      </c>
      <c r="I4" s="47">
        <v>73609</v>
      </c>
      <c r="J4" s="47">
        <f>I4-G4</f>
        <v>-1202</v>
      </c>
      <c r="K4" s="47">
        <v>71680</v>
      </c>
      <c r="L4" s="47">
        <f>K4-I4</f>
        <v>-1929</v>
      </c>
      <c r="M4" s="47">
        <v>72558</v>
      </c>
      <c r="N4" s="47">
        <f>M4-K4</f>
        <v>878</v>
      </c>
      <c r="O4" s="47">
        <v>73445</v>
      </c>
      <c r="P4" s="47">
        <f>O4-M4</f>
        <v>887</v>
      </c>
      <c r="Q4" s="47">
        <v>73563</v>
      </c>
      <c r="R4" s="47">
        <f>Q4-O4</f>
        <v>118</v>
      </c>
      <c r="S4" s="47">
        <v>74300</v>
      </c>
      <c r="T4" s="47">
        <f>S4-Q4</f>
        <v>737</v>
      </c>
      <c r="U4" s="47">
        <v>75348</v>
      </c>
      <c r="V4" s="47">
        <f>U4-S4</f>
        <v>1048</v>
      </c>
      <c r="W4" s="47">
        <v>75938</v>
      </c>
      <c r="X4" s="47">
        <f>W4-U4</f>
        <v>590</v>
      </c>
      <c r="Y4" s="79"/>
      <c r="Z4" s="79"/>
      <c r="AA4" s="79"/>
    </row>
    <row r="5" spans="1:32">
      <c r="A5" s="22"/>
      <c r="B5" s="22" t="s">
        <v>16</v>
      </c>
      <c r="C5" s="23">
        <v>12873</v>
      </c>
      <c r="D5" s="18"/>
      <c r="E5" s="23">
        <v>13278</v>
      </c>
      <c r="F5" s="23">
        <f>E5-C5</f>
        <v>405</v>
      </c>
      <c r="G5" s="23">
        <v>13586</v>
      </c>
      <c r="H5" s="23">
        <f>G5-E5</f>
        <v>308</v>
      </c>
      <c r="I5" s="23">
        <v>13504</v>
      </c>
      <c r="J5" s="23">
        <f>I5-G5</f>
        <v>-82</v>
      </c>
      <c r="K5" s="23">
        <v>13321</v>
      </c>
      <c r="L5" s="23">
        <f>K5-I5</f>
        <v>-183</v>
      </c>
      <c r="M5" s="23">
        <v>13421</v>
      </c>
      <c r="N5" s="23">
        <f>M5-K5</f>
        <v>100</v>
      </c>
      <c r="O5" s="23">
        <v>13558</v>
      </c>
      <c r="P5" s="23">
        <f>O5-M5</f>
        <v>137</v>
      </c>
      <c r="Q5" s="23">
        <v>13174</v>
      </c>
      <c r="R5" s="23">
        <f>Q5-O5</f>
        <v>-384</v>
      </c>
      <c r="S5" s="23">
        <v>13325</v>
      </c>
      <c r="T5" s="23">
        <f>S5-Q5</f>
        <v>151</v>
      </c>
      <c r="U5" s="23">
        <v>13449</v>
      </c>
      <c r="V5" s="23">
        <f>U5-S5</f>
        <v>124</v>
      </c>
      <c r="W5" s="23">
        <v>13537</v>
      </c>
      <c r="X5" s="23">
        <f>W5-U5</f>
        <v>88</v>
      </c>
      <c r="Y5" s="17"/>
      <c r="Z5" s="17"/>
      <c r="AA5" s="17"/>
      <c r="AF5" s="17"/>
    </row>
    <row r="6" spans="1:32">
      <c r="A6" s="15"/>
      <c r="B6" s="15" t="s">
        <v>17</v>
      </c>
      <c r="C6" s="18">
        <v>12499</v>
      </c>
      <c r="D6" s="18"/>
      <c r="E6" s="18">
        <v>12942</v>
      </c>
      <c r="F6" s="18">
        <f>E6-C6</f>
        <v>443</v>
      </c>
      <c r="G6" s="18">
        <v>13417</v>
      </c>
      <c r="H6" s="18">
        <f>G6-E6</f>
        <v>475</v>
      </c>
      <c r="I6" s="18">
        <v>13248</v>
      </c>
      <c r="J6" s="18">
        <f>I6-G6</f>
        <v>-169</v>
      </c>
      <c r="K6" s="18">
        <v>12678</v>
      </c>
      <c r="L6" s="23">
        <f>K6-I6</f>
        <v>-570</v>
      </c>
      <c r="M6" s="18">
        <v>12992</v>
      </c>
      <c r="N6" s="23">
        <f>M6-K6</f>
        <v>314</v>
      </c>
      <c r="O6" s="18">
        <v>13075</v>
      </c>
      <c r="P6" s="23">
        <f>O6-M6</f>
        <v>83</v>
      </c>
      <c r="Q6" s="18">
        <v>12663</v>
      </c>
      <c r="R6" s="23">
        <f>Q6-O6</f>
        <v>-412</v>
      </c>
      <c r="S6" s="18">
        <v>13109</v>
      </c>
      <c r="T6" s="23">
        <f>S6-Q6</f>
        <v>446</v>
      </c>
      <c r="U6" s="18">
        <v>13323</v>
      </c>
      <c r="V6" s="23">
        <f>U6-S6</f>
        <v>214</v>
      </c>
      <c r="W6" s="18">
        <v>13598</v>
      </c>
      <c r="X6" s="23">
        <f>W6-U6</f>
        <v>275</v>
      </c>
      <c r="Y6" s="17"/>
      <c r="Z6" s="17"/>
      <c r="AA6" s="17"/>
      <c r="AF6" s="17"/>
    </row>
    <row r="7" spans="1:32">
      <c r="A7" s="20"/>
      <c r="B7" s="20" t="s">
        <v>18</v>
      </c>
      <c r="C7" s="21">
        <v>15435</v>
      </c>
      <c r="D7" s="18"/>
      <c r="E7" s="21">
        <v>15965</v>
      </c>
      <c r="F7" s="21">
        <f>E7-C7</f>
        <v>530</v>
      </c>
      <c r="G7" s="21">
        <v>16617</v>
      </c>
      <c r="H7" s="21">
        <f>G7-E7</f>
        <v>652</v>
      </c>
      <c r="I7" s="21">
        <v>16531</v>
      </c>
      <c r="J7" s="21">
        <f>I7-G7</f>
        <v>-86</v>
      </c>
      <c r="K7" s="21">
        <v>15415</v>
      </c>
      <c r="L7" s="21">
        <f>K7-I7</f>
        <v>-1116</v>
      </c>
      <c r="M7" s="21">
        <v>15751</v>
      </c>
      <c r="N7" s="21">
        <f>M7-K7</f>
        <v>336</v>
      </c>
      <c r="O7" s="21">
        <v>16153</v>
      </c>
      <c r="P7" s="21">
        <f>O7-M7</f>
        <v>402</v>
      </c>
      <c r="Q7" s="21">
        <v>16246</v>
      </c>
      <c r="R7" s="21">
        <f>Q7-O7</f>
        <v>93</v>
      </c>
      <c r="S7" s="21">
        <v>16598</v>
      </c>
      <c r="T7" s="21">
        <f>S7-Q7</f>
        <v>352</v>
      </c>
      <c r="U7" s="21">
        <v>17040</v>
      </c>
      <c r="V7" s="21">
        <f>U7-S7</f>
        <v>442</v>
      </c>
      <c r="W7" s="21">
        <v>17318</v>
      </c>
      <c r="X7" s="21">
        <f>W7-U7</f>
        <v>278</v>
      </c>
      <c r="Y7" s="17"/>
      <c r="Z7" s="17"/>
      <c r="AA7" s="17"/>
      <c r="AF7" s="17"/>
    </row>
    <row r="8" spans="1:32">
      <c r="A8" s="25"/>
      <c r="B8" s="26" t="s">
        <v>19</v>
      </c>
      <c r="C8" s="24">
        <v>14881</v>
      </c>
      <c r="D8" s="48"/>
      <c r="E8" s="24">
        <v>15320</v>
      </c>
      <c r="F8" s="51">
        <f t="shared" ref="F8:F19" si="0">E8-C8</f>
        <v>439</v>
      </c>
      <c r="G8" s="24">
        <v>15791</v>
      </c>
      <c r="H8" s="51">
        <f t="shared" ref="H8:H19" si="1">G8-E8</f>
        <v>471</v>
      </c>
      <c r="I8" s="24">
        <v>15426</v>
      </c>
      <c r="J8" s="51">
        <f t="shared" ref="J8:J19" si="2">I8-G8</f>
        <v>-365</v>
      </c>
      <c r="K8" s="24">
        <v>15099</v>
      </c>
      <c r="L8" s="51">
        <f t="shared" ref="L8:L19" si="3">K8-I8</f>
        <v>-327</v>
      </c>
      <c r="M8" s="24">
        <v>15272</v>
      </c>
      <c r="N8" s="51">
        <f t="shared" ref="N8:N19" si="4">M8-K8</f>
        <v>173</v>
      </c>
      <c r="O8" s="24">
        <v>15421</v>
      </c>
      <c r="P8" s="51">
        <f t="shared" ref="P8:P19" si="5">O8-M8</f>
        <v>149</v>
      </c>
      <c r="Q8" s="24">
        <v>15968</v>
      </c>
      <c r="R8" s="51">
        <f t="shared" ref="R8:R19" si="6">Q8-O8</f>
        <v>547</v>
      </c>
      <c r="S8" s="24">
        <v>16160</v>
      </c>
      <c r="T8" s="51">
        <f t="shared" ref="T8:T19" si="7">S8-Q8</f>
        <v>192</v>
      </c>
      <c r="U8" s="24">
        <v>16262</v>
      </c>
      <c r="V8" s="51">
        <f t="shared" ref="V8:V19" si="8">U8-S8</f>
        <v>102</v>
      </c>
      <c r="W8" s="24">
        <v>16358</v>
      </c>
      <c r="X8" s="51">
        <f t="shared" ref="X8:X19" si="9">W8-U8</f>
        <v>96</v>
      </c>
      <c r="Y8" s="17"/>
      <c r="Z8" s="17"/>
      <c r="AA8" s="17"/>
      <c r="AF8" s="17"/>
    </row>
    <row r="9" spans="1:32">
      <c r="A9" s="22"/>
      <c r="B9" s="22" t="s">
        <v>20</v>
      </c>
      <c r="C9" s="23">
        <v>14835</v>
      </c>
      <c r="D9" s="18"/>
      <c r="E9" s="23">
        <v>15209</v>
      </c>
      <c r="F9" s="21">
        <f t="shared" si="0"/>
        <v>374</v>
      </c>
      <c r="G9" s="23">
        <v>15400</v>
      </c>
      <c r="H9" s="21">
        <f t="shared" si="1"/>
        <v>191</v>
      </c>
      <c r="I9" s="23">
        <v>14900</v>
      </c>
      <c r="J9" s="21">
        <f t="shared" si="2"/>
        <v>-500</v>
      </c>
      <c r="K9" s="23">
        <v>15167</v>
      </c>
      <c r="L9" s="21">
        <f t="shared" si="3"/>
        <v>267</v>
      </c>
      <c r="M9" s="23">
        <v>15122</v>
      </c>
      <c r="N9" s="21">
        <f t="shared" si="4"/>
        <v>-45</v>
      </c>
      <c r="O9" s="23">
        <v>15238</v>
      </c>
      <c r="P9" s="21">
        <f t="shared" si="5"/>
        <v>116</v>
      </c>
      <c r="Q9" s="23">
        <v>15512</v>
      </c>
      <c r="R9" s="21">
        <f t="shared" si="6"/>
        <v>274</v>
      </c>
      <c r="S9" s="23">
        <v>15108</v>
      </c>
      <c r="T9" s="21">
        <f t="shared" si="7"/>
        <v>-404</v>
      </c>
      <c r="U9" s="23">
        <v>15274</v>
      </c>
      <c r="V9" s="21">
        <f t="shared" si="8"/>
        <v>166</v>
      </c>
      <c r="W9" s="23">
        <v>15127</v>
      </c>
      <c r="X9" s="21">
        <f t="shared" si="9"/>
        <v>-147</v>
      </c>
      <c r="Y9" s="17"/>
      <c r="Z9" s="17"/>
      <c r="AA9" s="17"/>
      <c r="AF9" s="17"/>
    </row>
    <row r="10" spans="1:32" s="45" customFormat="1">
      <c r="A10" s="117" t="s">
        <v>21</v>
      </c>
      <c r="B10" s="117"/>
      <c r="C10" s="44">
        <v>65120</v>
      </c>
      <c r="D10" s="49"/>
      <c r="E10" s="44">
        <v>66836</v>
      </c>
      <c r="F10" s="46">
        <f t="shared" si="0"/>
        <v>1716</v>
      </c>
      <c r="G10" s="65">
        <v>66836</v>
      </c>
      <c r="H10" s="46">
        <f t="shared" si="1"/>
        <v>0</v>
      </c>
      <c r="I10" s="44">
        <v>64305</v>
      </c>
      <c r="J10" s="46">
        <f t="shared" si="2"/>
        <v>-2531</v>
      </c>
      <c r="K10" s="44">
        <v>65868</v>
      </c>
      <c r="L10" s="46">
        <f t="shared" si="3"/>
        <v>1563</v>
      </c>
      <c r="M10" s="44">
        <v>64638</v>
      </c>
      <c r="N10" s="46">
        <f t="shared" si="4"/>
        <v>-1230</v>
      </c>
      <c r="O10" s="44">
        <v>64782</v>
      </c>
      <c r="P10" s="46">
        <f t="shared" si="5"/>
        <v>144</v>
      </c>
      <c r="Q10" s="44">
        <v>66952</v>
      </c>
      <c r="R10" s="46">
        <f t="shared" si="6"/>
        <v>2170</v>
      </c>
      <c r="S10" s="44">
        <v>64614</v>
      </c>
      <c r="T10" s="46">
        <f t="shared" si="7"/>
        <v>-2338</v>
      </c>
      <c r="U10" s="44">
        <v>65963</v>
      </c>
      <c r="V10" s="46">
        <f t="shared" si="8"/>
        <v>1349</v>
      </c>
      <c r="W10" s="44">
        <v>64807</v>
      </c>
      <c r="X10" s="46">
        <f t="shared" si="9"/>
        <v>-1156</v>
      </c>
      <c r="Y10" s="79"/>
      <c r="Z10" s="79"/>
      <c r="AA10" s="79"/>
      <c r="AF10" s="79"/>
    </row>
    <row r="11" spans="1:32">
      <c r="A11" s="15"/>
      <c r="B11" s="15" t="s">
        <v>22</v>
      </c>
      <c r="C11" s="18">
        <v>14139</v>
      </c>
      <c r="D11" s="18"/>
      <c r="E11" s="18">
        <v>14452</v>
      </c>
      <c r="F11" s="21">
        <f t="shared" si="0"/>
        <v>313</v>
      </c>
      <c r="G11" s="66">
        <v>14452</v>
      </c>
      <c r="H11" s="21">
        <f t="shared" si="1"/>
        <v>0</v>
      </c>
      <c r="I11" s="68">
        <v>14142</v>
      </c>
      <c r="J11" s="21">
        <f t="shared" si="2"/>
        <v>-310</v>
      </c>
      <c r="K11" s="68">
        <v>14334</v>
      </c>
      <c r="L11" s="21">
        <f t="shared" si="3"/>
        <v>192</v>
      </c>
      <c r="M11" s="68">
        <v>14195</v>
      </c>
      <c r="N11" s="21">
        <f t="shared" si="4"/>
        <v>-139</v>
      </c>
      <c r="O11" s="68">
        <v>14173</v>
      </c>
      <c r="P11" s="21">
        <f t="shared" si="5"/>
        <v>-22</v>
      </c>
      <c r="Q11" s="68">
        <v>14606</v>
      </c>
      <c r="R11" s="21">
        <f t="shared" si="6"/>
        <v>433</v>
      </c>
      <c r="S11" s="68">
        <v>14247</v>
      </c>
      <c r="T11" s="21">
        <f t="shared" si="7"/>
        <v>-359</v>
      </c>
      <c r="U11" s="68">
        <v>14463</v>
      </c>
      <c r="V11" s="21">
        <f t="shared" si="8"/>
        <v>216</v>
      </c>
      <c r="W11" s="68">
        <v>14147</v>
      </c>
      <c r="X11" s="21">
        <f t="shared" si="9"/>
        <v>-316</v>
      </c>
      <c r="Y11" s="17"/>
      <c r="Z11" s="17"/>
      <c r="AA11" s="17"/>
      <c r="AF11" s="17"/>
    </row>
    <row r="12" spans="1:32">
      <c r="A12" s="15"/>
      <c r="B12" s="15" t="s">
        <v>23</v>
      </c>
      <c r="C12" s="18">
        <v>14285</v>
      </c>
      <c r="D12" s="18"/>
      <c r="E12" s="18">
        <v>14571</v>
      </c>
      <c r="F12" s="21">
        <f t="shared" si="0"/>
        <v>286</v>
      </c>
      <c r="G12" s="66">
        <v>14571</v>
      </c>
      <c r="H12" s="21">
        <f t="shared" si="1"/>
        <v>0</v>
      </c>
      <c r="I12" s="68">
        <v>14239</v>
      </c>
      <c r="J12" s="21">
        <f t="shared" si="2"/>
        <v>-332</v>
      </c>
      <c r="K12" s="68">
        <v>14481</v>
      </c>
      <c r="L12" s="21">
        <f t="shared" si="3"/>
        <v>242</v>
      </c>
      <c r="M12" s="68">
        <v>14247</v>
      </c>
      <c r="N12" s="21">
        <f t="shared" si="4"/>
        <v>-234</v>
      </c>
      <c r="O12" s="68">
        <v>14334</v>
      </c>
      <c r="P12" s="21">
        <f t="shared" si="5"/>
        <v>87</v>
      </c>
      <c r="Q12" s="68">
        <v>14775</v>
      </c>
      <c r="R12" s="21">
        <f t="shared" si="6"/>
        <v>441</v>
      </c>
      <c r="S12" s="68">
        <v>14171</v>
      </c>
      <c r="T12" s="21">
        <f t="shared" si="7"/>
        <v>-604</v>
      </c>
      <c r="U12" s="68">
        <v>14401</v>
      </c>
      <c r="V12" s="21">
        <f t="shared" si="8"/>
        <v>230</v>
      </c>
      <c r="W12" s="68">
        <v>13980</v>
      </c>
      <c r="X12" s="21">
        <f t="shared" si="9"/>
        <v>-421</v>
      </c>
      <c r="Y12" s="17"/>
      <c r="Z12" s="17"/>
      <c r="AA12" s="17"/>
      <c r="AF12" s="17"/>
    </row>
    <row r="13" spans="1:32">
      <c r="A13" s="15"/>
      <c r="B13" s="15" t="s">
        <v>24</v>
      </c>
      <c r="C13" s="18">
        <v>12816</v>
      </c>
      <c r="D13" s="18"/>
      <c r="E13" s="18">
        <v>13092</v>
      </c>
      <c r="F13" s="21">
        <f t="shared" si="0"/>
        <v>276</v>
      </c>
      <c r="G13" s="66">
        <v>13092</v>
      </c>
      <c r="H13" s="21">
        <f t="shared" si="1"/>
        <v>0</v>
      </c>
      <c r="I13" s="68">
        <v>12425</v>
      </c>
      <c r="J13" s="21">
        <f t="shared" si="2"/>
        <v>-667</v>
      </c>
      <c r="K13" s="68">
        <v>12746</v>
      </c>
      <c r="L13" s="21">
        <f t="shared" si="3"/>
        <v>321</v>
      </c>
      <c r="M13" s="68">
        <v>12471</v>
      </c>
      <c r="N13" s="21">
        <f t="shared" si="4"/>
        <v>-275</v>
      </c>
      <c r="O13" s="68">
        <v>12433</v>
      </c>
      <c r="P13" s="21">
        <f t="shared" si="5"/>
        <v>-38</v>
      </c>
      <c r="Q13" s="68">
        <v>12973</v>
      </c>
      <c r="R13" s="21">
        <f t="shared" si="6"/>
        <v>540</v>
      </c>
      <c r="S13" s="68">
        <v>12709</v>
      </c>
      <c r="T13" s="21">
        <f t="shared" si="7"/>
        <v>-264</v>
      </c>
      <c r="U13" s="68">
        <v>12915</v>
      </c>
      <c r="V13" s="21">
        <f t="shared" si="8"/>
        <v>206</v>
      </c>
      <c r="W13" s="68">
        <v>12584</v>
      </c>
      <c r="X13" s="21">
        <f t="shared" si="9"/>
        <v>-331</v>
      </c>
      <c r="Y13" s="17"/>
      <c r="Z13" s="17"/>
      <c r="AA13" s="17"/>
      <c r="AF13" s="17"/>
    </row>
    <row r="14" spans="1:32">
      <c r="A14" s="15"/>
      <c r="B14" s="15" t="s">
        <v>25</v>
      </c>
      <c r="C14" s="18">
        <v>12442</v>
      </c>
      <c r="D14" s="18"/>
      <c r="E14" s="18">
        <v>12863</v>
      </c>
      <c r="F14" s="21">
        <f t="shared" si="0"/>
        <v>421</v>
      </c>
      <c r="G14" s="66">
        <v>12863</v>
      </c>
      <c r="H14" s="21">
        <f t="shared" si="1"/>
        <v>0</v>
      </c>
      <c r="I14" s="68">
        <v>12183</v>
      </c>
      <c r="J14" s="21">
        <f t="shared" si="2"/>
        <v>-680</v>
      </c>
      <c r="K14" s="68">
        <v>12511</v>
      </c>
      <c r="L14" s="21">
        <f t="shared" si="3"/>
        <v>328</v>
      </c>
      <c r="M14" s="68">
        <v>12288</v>
      </c>
      <c r="N14" s="21">
        <f t="shared" si="4"/>
        <v>-223</v>
      </c>
      <c r="O14" s="68">
        <v>12348</v>
      </c>
      <c r="P14" s="21">
        <f t="shared" si="5"/>
        <v>60</v>
      </c>
      <c r="Q14" s="68">
        <v>12753</v>
      </c>
      <c r="R14" s="21">
        <f t="shared" si="6"/>
        <v>405</v>
      </c>
      <c r="S14" s="68">
        <v>12096</v>
      </c>
      <c r="T14" s="21">
        <f t="shared" si="7"/>
        <v>-657</v>
      </c>
      <c r="U14" s="68">
        <v>12402</v>
      </c>
      <c r="V14" s="21">
        <f t="shared" si="8"/>
        <v>306</v>
      </c>
      <c r="W14" s="68">
        <v>12128</v>
      </c>
      <c r="X14" s="21">
        <f t="shared" si="9"/>
        <v>-274</v>
      </c>
      <c r="Y14" s="17"/>
      <c r="Z14" s="17"/>
      <c r="AA14" s="17"/>
      <c r="AF14" s="17"/>
    </row>
    <row r="15" spans="1:32">
      <c r="A15" s="15"/>
      <c r="B15" s="15" t="s">
        <v>26</v>
      </c>
      <c r="C15" s="18">
        <v>11438</v>
      </c>
      <c r="D15" s="18"/>
      <c r="E15" s="18">
        <v>11858</v>
      </c>
      <c r="F15" s="21">
        <f t="shared" si="0"/>
        <v>420</v>
      </c>
      <c r="G15" s="66">
        <v>11858</v>
      </c>
      <c r="H15" s="21">
        <f t="shared" si="1"/>
        <v>0</v>
      </c>
      <c r="I15" s="68">
        <v>11316</v>
      </c>
      <c r="J15" s="21">
        <f t="shared" si="2"/>
        <v>-542</v>
      </c>
      <c r="K15" s="68">
        <v>11796</v>
      </c>
      <c r="L15" s="21">
        <f t="shared" si="3"/>
        <v>480</v>
      </c>
      <c r="M15" s="68">
        <v>11437</v>
      </c>
      <c r="N15" s="21">
        <f t="shared" si="4"/>
        <v>-359</v>
      </c>
      <c r="O15" s="68">
        <v>11494</v>
      </c>
      <c r="P15" s="21">
        <f t="shared" si="5"/>
        <v>57</v>
      </c>
      <c r="Q15" s="68">
        <v>11845</v>
      </c>
      <c r="R15" s="21">
        <f t="shared" si="6"/>
        <v>351</v>
      </c>
      <c r="S15" s="68">
        <v>11391</v>
      </c>
      <c r="T15" s="21">
        <f t="shared" si="7"/>
        <v>-454</v>
      </c>
      <c r="U15" s="68">
        <v>11782</v>
      </c>
      <c r="V15" s="21">
        <f t="shared" si="8"/>
        <v>391</v>
      </c>
      <c r="W15" s="68">
        <v>11968</v>
      </c>
      <c r="X15" s="21">
        <f t="shared" si="9"/>
        <v>186</v>
      </c>
      <c r="Y15" s="17"/>
      <c r="Z15" s="17"/>
      <c r="AA15" s="17"/>
      <c r="AF15" s="17"/>
    </row>
    <row r="16" spans="1:32" s="45" customFormat="1">
      <c r="A16" s="117" t="s">
        <v>27</v>
      </c>
      <c r="B16" s="117"/>
      <c r="C16" s="44">
        <v>52469</v>
      </c>
      <c r="D16" s="49"/>
      <c r="E16" s="50">
        <v>53221</v>
      </c>
      <c r="F16" s="44">
        <f t="shared" si="0"/>
        <v>752</v>
      </c>
      <c r="G16" s="67">
        <v>53221</v>
      </c>
      <c r="H16" s="44">
        <f t="shared" si="1"/>
        <v>0</v>
      </c>
      <c r="I16" s="50">
        <v>53650</v>
      </c>
      <c r="J16" s="44">
        <f t="shared" si="2"/>
        <v>429</v>
      </c>
      <c r="K16" s="50">
        <v>53727</v>
      </c>
      <c r="L16" s="44">
        <f t="shared" si="3"/>
        <v>77</v>
      </c>
      <c r="M16" s="50">
        <v>53565</v>
      </c>
      <c r="N16" s="44">
        <f t="shared" si="4"/>
        <v>-162</v>
      </c>
      <c r="O16" s="50">
        <v>52655</v>
      </c>
      <c r="P16" s="44">
        <f t="shared" si="5"/>
        <v>-910</v>
      </c>
      <c r="Q16" s="50">
        <v>52309</v>
      </c>
      <c r="R16" s="44">
        <f t="shared" si="6"/>
        <v>-346</v>
      </c>
      <c r="S16" s="50">
        <v>52286</v>
      </c>
      <c r="T16" s="44">
        <f t="shared" si="7"/>
        <v>-23</v>
      </c>
      <c r="U16" s="50">
        <v>52581</v>
      </c>
      <c r="V16" s="44">
        <f t="shared" si="8"/>
        <v>295</v>
      </c>
      <c r="W16" s="50">
        <v>51897</v>
      </c>
      <c r="X16" s="44">
        <f t="shared" si="9"/>
        <v>-684</v>
      </c>
      <c r="Y16" s="79"/>
      <c r="Z16" s="79"/>
      <c r="AA16" s="79"/>
      <c r="AF16" s="79"/>
    </row>
    <row r="17" spans="1:32" s="45" customFormat="1">
      <c r="A17" s="117" t="s">
        <v>28</v>
      </c>
      <c r="B17" s="117"/>
      <c r="C17" s="44">
        <v>18745</v>
      </c>
      <c r="D17" s="49"/>
      <c r="E17" s="50">
        <v>19062</v>
      </c>
      <c r="F17" s="46">
        <f t="shared" si="0"/>
        <v>317</v>
      </c>
      <c r="G17" s="67">
        <v>19062</v>
      </c>
      <c r="H17" s="46">
        <f t="shared" si="1"/>
        <v>0</v>
      </c>
      <c r="I17" s="50">
        <v>19009</v>
      </c>
      <c r="J17" s="46">
        <f t="shared" si="2"/>
        <v>-53</v>
      </c>
      <c r="K17" s="50">
        <v>18694</v>
      </c>
      <c r="L17" s="46">
        <f t="shared" si="3"/>
        <v>-315</v>
      </c>
      <c r="M17" s="50">
        <v>18903</v>
      </c>
      <c r="N17" s="46">
        <f t="shared" si="4"/>
        <v>209</v>
      </c>
      <c r="O17" s="50">
        <v>19007</v>
      </c>
      <c r="P17" s="46">
        <f t="shared" si="5"/>
        <v>104</v>
      </c>
      <c r="Q17" s="50">
        <v>18543</v>
      </c>
      <c r="R17" s="46">
        <f t="shared" si="6"/>
        <v>-464</v>
      </c>
      <c r="S17" s="50">
        <v>18247</v>
      </c>
      <c r="T17" s="46">
        <f t="shared" si="7"/>
        <v>-296</v>
      </c>
      <c r="U17" s="50">
        <v>18375</v>
      </c>
      <c r="V17" s="46">
        <f t="shared" si="8"/>
        <v>128</v>
      </c>
      <c r="W17" s="50">
        <v>17946</v>
      </c>
      <c r="X17" s="46">
        <f t="shared" si="9"/>
        <v>-429</v>
      </c>
      <c r="Y17" s="79"/>
      <c r="Z17" s="79"/>
      <c r="AA17" s="79"/>
      <c r="AF17" s="79"/>
    </row>
    <row r="18" spans="1:32" s="45" customFormat="1">
      <c r="A18" s="117" t="s">
        <v>29</v>
      </c>
      <c r="B18" s="117"/>
      <c r="C18" s="44">
        <v>8125</v>
      </c>
      <c r="D18" s="49"/>
      <c r="E18" s="50">
        <v>8269</v>
      </c>
      <c r="F18" s="44">
        <f t="shared" si="0"/>
        <v>144</v>
      </c>
      <c r="G18" s="67">
        <v>8269</v>
      </c>
      <c r="H18" s="44">
        <f t="shared" si="1"/>
        <v>0</v>
      </c>
      <c r="I18" s="50">
        <v>8283</v>
      </c>
      <c r="J18" s="44">
        <f t="shared" si="2"/>
        <v>14</v>
      </c>
      <c r="K18" s="50">
        <v>8276</v>
      </c>
      <c r="L18" s="44">
        <f t="shared" si="3"/>
        <v>-7</v>
      </c>
      <c r="M18" s="50">
        <v>8299</v>
      </c>
      <c r="N18" s="44">
        <f t="shared" si="4"/>
        <v>23</v>
      </c>
      <c r="O18" s="50">
        <v>8298</v>
      </c>
      <c r="P18" s="44">
        <f t="shared" si="5"/>
        <v>-1</v>
      </c>
      <c r="Q18" s="50">
        <v>8253</v>
      </c>
      <c r="R18" s="44">
        <f t="shared" si="6"/>
        <v>-45</v>
      </c>
      <c r="S18" s="50">
        <v>8292</v>
      </c>
      <c r="T18" s="44">
        <f t="shared" si="7"/>
        <v>39</v>
      </c>
      <c r="U18" s="50">
        <v>8303</v>
      </c>
      <c r="V18" s="44">
        <f t="shared" si="8"/>
        <v>11</v>
      </c>
      <c r="W18" s="50">
        <v>8104</v>
      </c>
      <c r="X18" s="44">
        <f t="shared" si="9"/>
        <v>-199</v>
      </c>
      <c r="Y18" s="79"/>
      <c r="Z18" s="79"/>
      <c r="AA18" s="79"/>
      <c r="AF18" s="79"/>
    </row>
    <row r="19" spans="1:32" s="45" customFormat="1">
      <c r="A19" s="117" t="s">
        <v>30</v>
      </c>
      <c r="B19" s="117"/>
      <c r="C19" s="44">
        <v>236554</v>
      </c>
      <c r="D19" s="49"/>
      <c r="E19" s="50">
        <v>237120</v>
      </c>
      <c r="F19" s="52">
        <f t="shared" si="0"/>
        <v>566</v>
      </c>
      <c r="G19" s="67">
        <v>237120</v>
      </c>
      <c r="H19" s="52">
        <f t="shared" si="1"/>
        <v>0</v>
      </c>
      <c r="I19" s="50">
        <v>235695</v>
      </c>
      <c r="J19" s="52">
        <f t="shared" si="2"/>
        <v>-1425</v>
      </c>
      <c r="K19" s="50">
        <v>232534</v>
      </c>
      <c r="L19" s="52">
        <f t="shared" si="3"/>
        <v>-3161</v>
      </c>
      <c r="M19" s="50">
        <v>231362</v>
      </c>
      <c r="N19" s="52">
        <f t="shared" si="4"/>
        <v>-1172</v>
      </c>
      <c r="O19" s="50">
        <v>230186</v>
      </c>
      <c r="P19" s="52">
        <f t="shared" si="5"/>
        <v>-1176</v>
      </c>
      <c r="Q19" s="50">
        <v>233555</v>
      </c>
      <c r="R19" s="52">
        <f t="shared" si="6"/>
        <v>3369</v>
      </c>
      <c r="S19" s="50">
        <v>233770</v>
      </c>
      <c r="T19" s="52">
        <f t="shared" si="7"/>
        <v>215</v>
      </c>
      <c r="U19" s="50">
        <v>238847</v>
      </c>
      <c r="V19" s="52">
        <f t="shared" si="8"/>
        <v>5077</v>
      </c>
      <c r="W19" s="50">
        <v>239645</v>
      </c>
      <c r="X19" s="52">
        <f t="shared" si="9"/>
        <v>798</v>
      </c>
      <c r="Y19" s="79"/>
      <c r="Z19" s="79"/>
      <c r="AA19" s="79"/>
      <c r="AF19" s="79"/>
    </row>
    <row r="20" spans="1:32">
      <c r="G20" s="17"/>
      <c r="H20" s="17"/>
      <c r="I20" s="17"/>
      <c r="J20" s="17"/>
      <c r="K20" s="17"/>
      <c r="L20" s="17"/>
      <c r="M20" s="17"/>
      <c r="N20" s="17"/>
      <c r="O20" s="17"/>
      <c r="P20" s="17"/>
      <c r="AF20" s="17"/>
    </row>
    <row r="21" spans="1:32">
      <c r="G21" s="17"/>
      <c r="H21" s="17"/>
      <c r="I21" s="17"/>
      <c r="J21" s="17"/>
      <c r="K21" s="17"/>
      <c r="L21" s="17"/>
      <c r="M21" s="17"/>
      <c r="N21" s="17"/>
      <c r="O21" s="17"/>
      <c r="P21" s="17"/>
      <c r="AF21" s="17"/>
    </row>
    <row r="22" spans="1:32"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32">
      <c r="A23" s="19" t="s">
        <v>31</v>
      </c>
      <c r="B23" s="19" t="s">
        <v>31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33" spans="1:52" s="83" customFormat="1">
      <c r="A33" s="15" t="s">
        <v>32</v>
      </c>
      <c r="C33" s="83" cm="1">
        <f t="array" ref="C33:M33">_xlfn.CHOOSECOLS(C1:BH1,_xlfn.SEQUENCE(1,D54,1,2))</f>
        <v>46026</v>
      </c>
      <c r="D33" s="83">
        <v>46041</v>
      </c>
      <c r="E33" s="83">
        <v>46057</v>
      </c>
      <c r="F33" s="83">
        <v>46068</v>
      </c>
      <c r="G33" s="83">
        <v>46082</v>
      </c>
      <c r="H33" s="83">
        <v>46096</v>
      </c>
      <c r="I33" s="83">
        <v>46110</v>
      </c>
      <c r="J33" s="83">
        <v>46124</v>
      </c>
      <c r="K33" s="83">
        <v>46152</v>
      </c>
      <c r="L33" s="83">
        <v>46166</v>
      </c>
      <c r="M33" s="83">
        <v>46163</v>
      </c>
    </row>
    <row r="34" spans="1:52">
      <c r="A34" s="82" t="s">
        <v>13</v>
      </c>
      <c r="B34" s="85" t="s">
        <v>13</v>
      </c>
      <c r="C34" s="81" cm="1">
        <f t="array" ref="C34:M51">IF(A33="Pool",_xlfn.CHOOSECOLS(C2:DD19,_xlfn.SEQUENCE(1,D54,1,2)),_xlfn.CHOOSECOLS(D2:DE19,_xlfn.SEQUENCE(1,D54,1,2)))</f>
        <v>0</v>
      </c>
      <c r="D34" s="18">
        <v>118</v>
      </c>
      <c r="E34" s="18">
        <v>-254</v>
      </c>
      <c r="F34" s="18">
        <v>-143</v>
      </c>
      <c r="G34" s="18">
        <v>-22</v>
      </c>
      <c r="H34" s="18">
        <v>102</v>
      </c>
      <c r="I34" s="18">
        <v>-9</v>
      </c>
      <c r="J34" s="18">
        <v>-26</v>
      </c>
      <c r="K34" s="18">
        <v>47</v>
      </c>
      <c r="L34" s="18">
        <v>-40</v>
      </c>
      <c r="M34" s="18">
        <v>609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>
      <c r="A35" s="82" t="s">
        <v>14</v>
      </c>
      <c r="B35" s="85" t="s">
        <v>14</v>
      </c>
      <c r="C35" s="87">
        <v>0</v>
      </c>
      <c r="D35" s="21">
        <v>-4672</v>
      </c>
      <c r="E35" s="21">
        <v>-1430</v>
      </c>
      <c r="F35" s="21">
        <v>1648</v>
      </c>
      <c r="G35" s="21">
        <v>-2528</v>
      </c>
      <c r="H35" s="21">
        <v>-992</v>
      </c>
      <c r="I35" s="21">
        <v>-1391</v>
      </c>
      <c r="J35" s="21">
        <v>1962</v>
      </c>
      <c r="K35" s="21">
        <v>2049</v>
      </c>
      <c r="L35" s="21">
        <v>2286</v>
      </c>
      <c r="M35" s="21">
        <v>2067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</row>
    <row r="36" spans="1:52">
      <c r="A36" s="82" t="s">
        <v>15</v>
      </c>
      <c r="B36" s="89" t="s">
        <v>15</v>
      </c>
      <c r="C36" s="90">
        <v>0</v>
      </c>
      <c r="D36" s="24">
        <v>2191</v>
      </c>
      <c r="E36" s="24">
        <v>2097</v>
      </c>
      <c r="F36" s="24">
        <v>-1202</v>
      </c>
      <c r="G36" s="24">
        <v>-1929</v>
      </c>
      <c r="H36" s="24">
        <v>878</v>
      </c>
      <c r="I36" s="24">
        <v>887</v>
      </c>
      <c r="J36" s="24">
        <v>118</v>
      </c>
      <c r="K36" s="24">
        <v>737</v>
      </c>
      <c r="L36" s="24">
        <v>1048</v>
      </c>
      <c r="M36" s="24">
        <v>590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97"/>
    </row>
    <row r="37" spans="1:52">
      <c r="A37" s="82" t="s">
        <v>21</v>
      </c>
      <c r="B37" s="86" t="s">
        <v>16</v>
      </c>
      <c r="C37" s="88">
        <v>0</v>
      </c>
      <c r="D37" s="23">
        <v>405</v>
      </c>
      <c r="E37" s="23">
        <v>308</v>
      </c>
      <c r="F37" s="23">
        <v>-82</v>
      </c>
      <c r="G37" s="23">
        <v>-183</v>
      </c>
      <c r="H37" s="23">
        <v>100</v>
      </c>
      <c r="I37" s="23">
        <v>137</v>
      </c>
      <c r="J37" s="23">
        <v>-384</v>
      </c>
      <c r="K37" s="23">
        <v>151</v>
      </c>
      <c r="L37" s="23">
        <v>124</v>
      </c>
      <c r="M37" s="23">
        <v>88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82" t="s">
        <v>27</v>
      </c>
      <c r="B38" s="86" t="s">
        <v>17</v>
      </c>
      <c r="C38" s="81">
        <v>0</v>
      </c>
      <c r="D38" s="18">
        <v>443</v>
      </c>
      <c r="E38" s="18">
        <v>475</v>
      </c>
      <c r="F38" s="18">
        <v>-169</v>
      </c>
      <c r="G38" s="18">
        <v>-570</v>
      </c>
      <c r="H38" s="18">
        <v>314</v>
      </c>
      <c r="I38" s="18">
        <v>83</v>
      </c>
      <c r="J38" s="18">
        <v>-412</v>
      </c>
      <c r="K38" s="18">
        <v>446</v>
      </c>
      <c r="L38" s="18">
        <v>214</v>
      </c>
      <c r="M38" s="18">
        <v>275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>
      <c r="A39" s="82" t="s">
        <v>28</v>
      </c>
      <c r="B39" s="86" t="s">
        <v>18</v>
      </c>
      <c r="C39" s="87">
        <v>0</v>
      </c>
      <c r="D39" s="21">
        <v>530</v>
      </c>
      <c r="E39" s="21">
        <v>652</v>
      </c>
      <c r="F39" s="21">
        <v>-86</v>
      </c>
      <c r="G39" s="21">
        <v>-1116</v>
      </c>
      <c r="H39" s="21">
        <v>336</v>
      </c>
      <c r="I39" s="21">
        <v>402</v>
      </c>
      <c r="J39" s="21">
        <v>93</v>
      </c>
      <c r="K39" s="21">
        <v>352</v>
      </c>
      <c r="L39" s="21">
        <v>442</v>
      </c>
      <c r="M39" s="21">
        <v>278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</row>
    <row r="40" spans="1:52">
      <c r="A40" s="82" t="s">
        <v>29</v>
      </c>
      <c r="B40" s="91" t="s">
        <v>19</v>
      </c>
      <c r="C40" s="90">
        <v>0</v>
      </c>
      <c r="D40" s="24">
        <v>439</v>
      </c>
      <c r="E40" s="24">
        <v>471</v>
      </c>
      <c r="F40" s="24">
        <v>-365</v>
      </c>
      <c r="G40" s="24">
        <v>-327</v>
      </c>
      <c r="H40" s="24">
        <v>173</v>
      </c>
      <c r="I40" s="24">
        <v>149</v>
      </c>
      <c r="J40" s="24">
        <v>547</v>
      </c>
      <c r="K40" s="24">
        <v>192</v>
      </c>
      <c r="L40" s="24">
        <v>102</v>
      </c>
      <c r="M40" s="24">
        <v>96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97"/>
    </row>
    <row r="41" spans="1:52">
      <c r="A41" s="82" t="s">
        <v>30</v>
      </c>
      <c r="B41" s="86" t="s">
        <v>20</v>
      </c>
      <c r="C41" s="88">
        <v>0</v>
      </c>
      <c r="D41" s="23">
        <v>374</v>
      </c>
      <c r="E41" s="23">
        <v>191</v>
      </c>
      <c r="F41" s="23">
        <v>-500</v>
      </c>
      <c r="G41" s="23">
        <v>267</v>
      </c>
      <c r="H41" s="23">
        <v>-45</v>
      </c>
      <c r="I41" s="23">
        <v>116</v>
      </c>
      <c r="J41" s="23">
        <v>274</v>
      </c>
      <c r="K41" s="23">
        <v>-404</v>
      </c>
      <c r="L41" s="23">
        <v>166</v>
      </c>
      <c r="M41" s="23">
        <v>-147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80" t="s">
        <v>16</v>
      </c>
      <c r="B42" s="85" t="s">
        <v>21</v>
      </c>
      <c r="C42" s="81">
        <v>0</v>
      </c>
      <c r="D42" s="18">
        <v>1716</v>
      </c>
      <c r="E42" s="18">
        <v>0</v>
      </c>
      <c r="F42" s="18">
        <v>-2531</v>
      </c>
      <c r="G42" s="18">
        <v>1563</v>
      </c>
      <c r="H42" s="18">
        <v>-1230</v>
      </c>
      <c r="I42" s="18">
        <v>144</v>
      </c>
      <c r="J42" s="18">
        <v>2170</v>
      </c>
      <c r="K42" s="18">
        <v>-2338</v>
      </c>
      <c r="L42" s="18">
        <v>1349</v>
      </c>
      <c r="M42" s="18">
        <v>-1156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>
      <c r="A43" s="80" t="s">
        <v>17</v>
      </c>
      <c r="B43" s="86" t="s">
        <v>22</v>
      </c>
      <c r="C43" s="81">
        <v>0</v>
      </c>
      <c r="D43" s="18">
        <v>313</v>
      </c>
      <c r="E43" s="18">
        <v>0</v>
      </c>
      <c r="F43" s="18">
        <v>-310</v>
      </c>
      <c r="G43" s="18">
        <v>192</v>
      </c>
      <c r="H43" s="18">
        <v>-139</v>
      </c>
      <c r="I43" s="18">
        <v>-22</v>
      </c>
      <c r="J43" s="18">
        <v>433</v>
      </c>
      <c r="K43" s="18">
        <v>-359</v>
      </c>
      <c r="L43" s="18">
        <v>216</v>
      </c>
      <c r="M43" s="18">
        <v>-316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>
      <c r="A44" s="80" t="s">
        <v>18</v>
      </c>
      <c r="B44" s="86" t="s">
        <v>23</v>
      </c>
      <c r="C44" s="81">
        <v>0</v>
      </c>
      <c r="D44" s="18">
        <v>286</v>
      </c>
      <c r="E44" s="18">
        <v>0</v>
      </c>
      <c r="F44" s="18">
        <v>-332</v>
      </c>
      <c r="G44" s="18">
        <v>242</v>
      </c>
      <c r="H44" s="18">
        <v>-234</v>
      </c>
      <c r="I44" s="18">
        <v>87</v>
      </c>
      <c r="J44" s="18">
        <v>441</v>
      </c>
      <c r="K44" s="18">
        <v>-604</v>
      </c>
      <c r="L44" s="18">
        <v>230</v>
      </c>
      <c r="M44" s="18">
        <v>-421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>
      <c r="A45" s="80" t="s">
        <v>19</v>
      </c>
      <c r="B45" s="86" t="s">
        <v>24</v>
      </c>
      <c r="C45" s="81">
        <v>0</v>
      </c>
      <c r="D45" s="18">
        <v>276</v>
      </c>
      <c r="E45" s="18">
        <v>0</v>
      </c>
      <c r="F45" s="18">
        <v>-667</v>
      </c>
      <c r="G45" s="18">
        <v>321</v>
      </c>
      <c r="H45" s="18">
        <v>-275</v>
      </c>
      <c r="I45" s="18">
        <v>-38</v>
      </c>
      <c r="J45" s="18">
        <v>540</v>
      </c>
      <c r="K45" s="18">
        <v>-264</v>
      </c>
      <c r="L45" s="18">
        <v>206</v>
      </c>
      <c r="M45" s="18">
        <v>-331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>
      <c r="A46" s="80" t="s">
        <v>20</v>
      </c>
      <c r="B46" s="86" t="s">
        <v>25</v>
      </c>
      <c r="C46" s="81">
        <v>0</v>
      </c>
      <c r="D46" s="18">
        <v>421</v>
      </c>
      <c r="E46" s="18">
        <v>0</v>
      </c>
      <c r="F46" s="18">
        <v>-680</v>
      </c>
      <c r="G46" s="18">
        <v>328</v>
      </c>
      <c r="H46" s="18">
        <v>-223</v>
      </c>
      <c r="I46" s="18">
        <v>60</v>
      </c>
      <c r="J46" s="18">
        <v>405</v>
      </c>
      <c r="K46" s="18">
        <v>-657</v>
      </c>
      <c r="L46" s="18">
        <v>306</v>
      </c>
      <c r="M46" s="18">
        <v>-274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>
      <c r="A47" s="80" t="s">
        <v>22</v>
      </c>
      <c r="B47" s="86" t="s">
        <v>26</v>
      </c>
      <c r="C47" s="81">
        <v>0</v>
      </c>
      <c r="D47" s="18">
        <v>420</v>
      </c>
      <c r="E47" s="18">
        <v>0</v>
      </c>
      <c r="F47" s="18">
        <v>-542</v>
      </c>
      <c r="G47" s="18">
        <v>480</v>
      </c>
      <c r="H47" s="18">
        <v>-359</v>
      </c>
      <c r="I47" s="18">
        <v>57</v>
      </c>
      <c r="J47" s="18">
        <v>351</v>
      </c>
      <c r="K47" s="18">
        <v>-454</v>
      </c>
      <c r="L47" s="18">
        <v>391</v>
      </c>
      <c r="M47" s="18">
        <v>186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>
      <c r="A48" s="80" t="s">
        <v>23</v>
      </c>
      <c r="B48" s="85" t="s">
        <v>27</v>
      </c>
      <c r="C48" s="81">
        <v>0</v>
      </c>
      <c r="D48" s="18">
        <v>752</v>
      </c>
      <c r="E48" s="18">
        <v>0</v>
      </c>
      <c r="F48" s="18">
        <v>429</v>
      </c>
      <c r="G48" s="18">
        <v>77</v>
      </c>
      <c r="H48" s="18">
        <v>-162</v>
      </c>
      <c r="I48" s="18">
        <v>-910</v>
      </c>
      <c r="J48" s="18">
        <v>-346</v>
      </c>
      <c r="K48" s="18">
        <v>-23</v>
      </c>
      <c r="L48" s="18">
        <v>295</v>
      </c>
      <c r="M48" s="18">
        <v>-684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>
      <c r="A49" s="80" t="s">
        <v>24</v>
      </c>
      <c r="B49" s="85" t="s">
        <v>28</v>
      </c>
      <c r="C49" s="81">
        <v>0</v>
      </c>
      <c r="D49" s="18">
        <v>317</v>
      </c>
      <c r="E49" s="18">
        <v>0</v>
      </c>
      <c r="F49" s="18">
        <v>-53</v>
      </c>
      <c r="G49" s="18">
        <v>-315</v>
      </c>
      <c r="H49" s="18">
        <v>209</v>
      </c>
      <c r="I49" s="18">
        <v>104</v>
      </c>
      <c r="J49" s="18">
        <v>-464</v>
      </c>
      <c r="K49" s="18">
        <v>-296</v>
      </c>
      <c r="L49" s="18">
        <v>128</v>
      </c>
      <c r="M49" s="18">
        <v>-429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>
      <c r="A50" s="80" t="s">
        <v>25</v>
      </c>
      <c r="B50" s="85" t="s">
        <v>29</v>
      </c>
      <c r="C50" s="81">
        <v>0</v>
      </c>
      <c r="D50" s="18">
        <v>144</v>
      </c>
      <c r="E50" s="18">
        <v>0</v>
      </c>
      <c r="F50" s="18">
        <v>14</v>
      </c>
      <c r="G50" s="18">
        <v>-7</v>
      </c>
      <c r="H50" s="18">
        <v>23</v>
      </c>
      <c r="I50" s="18">
        <v>-1</v>
      </c>
      <c r="J50" s="18">
        <v>-45</v>
      </c>
      <c r="K50" s="18">
        <v>39</v>
      </c>
      <c r="L50" s="18">
        <v>11</v>
      </c>
      <c r="M50" s="18">
        <v>-199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>
      <c r="A51" s="80" t="s">
        <v>26</v>
      </c>
      <c r="B51" s="85" t="s">
        <v>30</v>
      </c>
      <c r="C51" s="81">
        <v>0</v>
      </c>
      <c r="D51" s="18">
        <v>566</v>
      </c>
      <c r="E51" s="18">
        <v>0</v>
      </c>
      <c r="F51" s="18">
        <v>-1425</v>
      </c>
      <c r="G51" s="18">
        <v>-3161</v>
      </c>
      <c r="H51" s="18">
        <v>-1172</v>
      </c>
      <c r="I51" s="18">
        <v>-1176</v>
      </c>
      <c r="J51" s="18">
        <v>3369</v>
      </c>
      <c r="K51" s="18">
        <v>215</v>
      </c>
      <c r="L51" s="18">
        <v>5077</v>
      </c>
      <c r="M51" s="18">
        <v>798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3" spans="1:52">
      <c r="A53" s="15" t="s">
        <v>15</v>
      </c>
      <c r="C53" s="92"/>
    </row>
    <row r="54" spans="1:52">
      <c r="A54" t="s">
        <v>33</v>
      </c>
      <c r="B54" t="s">
        <v>34</v>
      </c>
      <c r="C54" s="92" t="s">
        <v>35</v>
      </c>
      <c r="D54" s="100">
        <f>MAX(D55:D100)-1</f>
        <v>11</v>
      </c>
    </row>
    <row r="55" spans="1:52">
      <c r="A55" s="93" cm="1">
        <f t="array" ref="A55:A65">_xlfn._xlws.FILTER(TRANSPOSE(_xlfn.CHOOSECOLS(C1:BZ1,_xlfn.SEQUENCE(1,30,1,2))),TRANSPOSE(_xlfn.CHOOSECOLS(C1:BZ1,_xlfn.SEQUENCE(1,30,1,2)))&lt;&gt;0)</f>
        <v>46026</v>
      </c>
      <c r="B55" s="94">
        <f>IF(ISBLANK(A55),"",VLOOKUP($A$53,$B$34:$AZ$51,_xlfn.XLOOKUP(A55,$A$55:$A$100,$D$55:$D$100),0))</f>
        <v>0</v>
      </c>
      <c r="C55" s="99">
        <v>0</v>
      </c>
      <c r="D55" s="98">
        <v>2</v>
      </c>
    </row>
    <row r="56" spans="1:52">
      <c r="A56" s="95">
        <v>46041</v>
      </c>
      <c r="B56" s="94">
        <f t="shared" ref="B56:B99" si="10">IF(ISBLANK(A56),"",VLOOKUP($A$53,$B$34:$AZ$51,_xlfn.XLOOKUP(A56,$A$55:$A$100,$D$55:$D$100),0))</f>
        <v>2191</v>
      </c>
      <c r="C56" s="99">
        <f>IF(ISBLANK(A56),"",B56-B55)</f>
        <v>2191</v>
      </c>
      <c r="D56" s="98">
        <f>IF(A56&gt;0,D55+1,"")</f>
        <v>3</v>
      </c>
    </row>
    <row r="57" spans="1:52">
      <c r="A57" s="95">
        <v>46057</v>
      </c>
      <c r="B57" s="94">
        <f t="shared" si="10"/>
        <v>2097</v>
      </c>
      <c r="C57" s="99">
        <f t="shared" ref="C57:C68" si="11">IF(ISBLANK(A57),"",B57-B56)</f>
        <v>-94</v>
      </c>
      <c r="D57" s="98">
        <f t="shared" ref="D57:D100" si="12">IF(A57&gt;0,D56+1,"")</f>
        <v>4</v>
      </c>
    </row>
    <row r="58" spans="1:52">
      <c r="A58" s="95">
        <v>46068</v>
      </c>
      <c r="B58" s="94">
        <f t="shared" si="10"/>
        <v>-1202</v>
      </c>
      <c r="C58" s="99">
        <f t="shared" si="11"/>
        <v>-3299</v>
      </c>
      <c r="D58" s="98">
        <f t="shared" si="12"/>
        <v>5</v>
      </c>
    </row>
    <row r="59" spans="1:52">
      <c r="A59" s="95">
        <v>46082</v>
      </c>
      <c r="B59" s="94">
        <f t="shared" si="10"/>
        <v>-1929</v>
      </c>
      <c r="C59" s="99">
        <f t="shared" si="11"/>
        <v>-727</v>
      </c>
      <c r="D59" s="98">
        <f t="shared" si="12"/>
        <v>6</v>
      </c>
    </row>
    <row r="60" spans="1:52">
      <c r="A60" s="95">
        <v>46096</v>
      </c>
      <c r="B60" s="94">
        <f t="shared" si="10"/>
        <v>878</v>
      </c>
      <c r="C60" s="99">
        <f t="shared" si="11"/>
        <v>2807</v>
      </c>
      <c r="D60" s="98">
        <f t="shared" si="12"/>
        <v>7</v>
      </c>
    </row>
    <row r="61" spans="1:52">
      <c r="A61" s="95">
        <v>46110</v>
      </c>
      <c r="B61" s="94">
        <f t="shared" si="10"/>
        <v>887</v>
      </c>
      <c r="C61" s="99">
        <f t="shared" si="11"/>
        <v>9</v>
      </c>
      <c r="D61" s="98">
        <f t="shared" si="12"/>
        <v>8</v>
      </c>
      <c r="I61" s="32"/>
    </row>
    <row r="62" spans="1:52">
      <c r="A62" s="95">
        <v>46124</v>
      </c>
      <c r="B62" s="94">
        <f t="shared" si="10"/>
        <v>118</v>
      </c>
      <c r="C62" s="99">
        <f t="shared" si="11"/>
        <v>-769</v>
      </c>
      <c r="D62" s="98">
        <f t="shared" si="12"/>
        <v>9</v>
      </c>
    </row>
    <row r="63" spans="1:52">
      <c r="A63" s="95">
        <v>46152</v>
      </c>
      <c r="B63" s="94">
        <f t="shared" si="10"/>
        <v>737</v>
      </c>
      <c r="C63" s="99">
        <f t="shared" si="11"/>
        <v>619</v>
      </c>
      <c r="D63" s="98">
        <f t="shared" si="12"/>
        <v>10</v>
      </c>
    </row>
    <row r="64" spans="1:52">
      <c r="A64" s="95">
        <v>46166</v>
      </c>
      <c r="B64" s="94">
        <f t="shared" si="10"/>
        <v>1048</v>
      </c>
      <c r="C64" s="99">
        <f t="shared" si="11"/>
        <v>311</v>
      </c>
      <c r="D64" s="98">
        <f t="shared" si="12"/>
        <v>11</v>
      </c>
    </row>
    <row r="65" spans="1:4">
      <c r="A65" s="95">
        <v>46163</v>
      </c>
      <c r="B65" s="94">
        <f t="shared" si="10"/>
        <v>590</v>
      </c>
      <c r="C65" s="99">
        <f t="shared" si="11"/>
        <v>-458</v>
      </c>
      <c r="D65" s="98">
        <f t="shared" si="12"/>
        <v>12</v>
      </c>
    </row>
    <row r="66" spans="1:4">
      <c r="A66" s="95"/>
      <c r="B66" s="94" t="str">
        <f t="shared" si="10"/>
        <v/>
      </c>
      <c r="C66" s="99" t="str">
        <f t="shared" si="11"/>
        <v/>
      </c>
      <c r="D66" s="98" t="str">
        <f t="shared" si="12"/>
        <v/>
      </c>
    </row>
    <row r="67" spans="1:4">
      <c r="A67" s="95"/>
      <c r="B67" s="94" t="str">
        <f t="shared" si="10"/>
        <v/>
      </c>
      <c r="C67" s="99" t="str">
        <f t="shared" si="11"/>
        <v/>
      </c>
      <c r="D67" s="98" t="str">
        <f t="shared" si="12"/>
        <v/>
      </c>
    </row>
    <row r="68" spans="1:4">
      <c r="A68" s="95"/>
      <c r="B68" s="94" t="str">
        <f t="shared" si="10"/>
        <v/>
      </c>
      <c r="C68" s="99" t="str">
        <f t="shared" si="11"/>
        <v/>
      </c>
      <c r="D68" s="98" t="str">
        <f t="shared" si="12"/>
        <v/>
      </c>
    </row>
    <row r="69" spans="1:4">
      <c r="A69" s="95"/>
      <c r="B69" s="94" t="str">
        <f t="shared" si="10"/>
        <v/>
      </c>
      <c r="C69" s="99" t="str">
        <f>IF(ISBLANK(A69),"",D68+1)</f>
        <v/>
      </c>
      <c r="D69" s="98" t="str">
        <f t="shared" si="12"/>
        <v/>
      </c>
    </row>
    <row r="70" spans="1:4">
      <c r="A70" s="95"/>
      <c r="B70" s="94" t="str">
        <f t="shared" si="10"/>
        <v/>
      </c>
      <c r="C70" s="99" t="str">
        <f t="shared" ref="C70:C83" si="13">IF(ISBLANK(A70),"",C69+1)</f>
        <v/>
      </c>
      <c r="D70" s="98" t="str">
        <f t="shared" si="12"/>
        <v/>
      </c>
    </row>
    <row r="71" spans="1:4">
      <c r="A71" s="95"/>
      <c r="B71" s="94" t="str">
        <f t="shared" si="10"/>
        <v/>
      </c>
      <c r="C71" s="99" t="str">
        <f t="shared" si="13"/>
        <v/>
      </c>
      <c r="D71" s="98" t="str">
        <f t="shared" si="12"/>
        <v/>
      </c>
    </row>
    <row r="72" spans="1:4">
      <c r="A72" s="95"/>
      <c r="B72" s="94" t="str">
        <f t="shared" si="10"/>
        <v/>
      </c>
      <c r="C72" s="99" t="str">
        <f t="shared" si="13"/>
        <v/>
      </c>
      <c r="D72" s="98" t="str">
        <f t="shared" si="12"/>
        <v/>
      </c>
    </row>
    <row r="73" spans="1:4">
      <c r="A73" s="95"/>
      <c r="B73" s="94" t="str">
        <f t="shared" si="10"/>
        <v/>
      </c>
      <c r="C73" s="99" t="str">
        <f t="shared" si="13"/>
        <v/>
      </c>
      <c r="D73" s="98" t="str">
        <f t="shared" si="12"/>
        <v/>
      </c>
    </row>
    <row r="74" spans="1:4">
      <c r="A74" s="95"/>
      <c r="B74" s="94" t="str">
        <f t="shared" si="10"/>
        <v/>
      </c>
      <c r="C74" s="99" t="str">
        <f t="shared" si="13"/>
        <v/>
      </c>
      <c r="D74" s="98" t="str">
        <f t="shared" si="12"/>
        <v/>
      </c>
    </row>
    <row r="75" spans="1:4">
      <c r="A75" s="95"/>
      <c r="B75" s="94" t="str">
        <f t="shared" si="10"/>
        <v/>
      </c>
      <c r="C75" s="99" t="str">
        <f t="shared" si="13"/>
        <v/>
      </c>
      <c r="D75" s="98" t="str">
        <f t="shared" si="12"/>
        <v/>
      </c>
    </row>
    <row r="76" spans="1:4">
      <c r="A76" s="95"/>
      <c r="B76" s="94" t="str">
        <f t="shared" si="10"/>
        <v/>
      </c>
      <c r="C76" s="99" t="str">
        <f t="shared" si="13"/>
        <v/>
      </c>
      <c r="D76" s="98" t="str">
        <f t="shared" si="12"/>
        <v/>
      </c>
    </row>
    <row r="77" spans="1:4">
      <c r="A77" s="95"/>
      <c r="B77" s="94" t="str">
        <f t="shared" si="10"/>
        <v/>
      </c>
      <c r="C77" s="99" t="str">
        <f t="shared" si="13"/>
        <v/>
      </c>
      <c r="D77" s="98" t="str">
        <f t="shared" si="12"/>
        <v/>
      </c>
    </row>
    <row r="78" spans="1:4">
      <c r="A78" s="95"/>
      <c r="B78" s="94" t="str">
        <f t="shared" si="10"/>
        <v/>
      </c>
      <c r="C78" s="99" t="str">
        <f t="shared" si="13"/>
        <v/>
      </c>
      <c r="D78" s="98" t="str">
        <f t="shared" si="12"/>
        <v/>
      </c>
    </row>
    <row r="79" spans="1:4">
      <c r="A79" s="95"/>
      <c r="B79" s="94" t="str">
        <f t="shared" si="10"/>
        <v/>
      </c>
      <c r="C79" s="99" t="str">
        <f t="shared" si="13"/>
        <v/>
      </c>
      <c r="D79" s="98" t="str">
        <f t="shared" si="12"/>
        <v/>
      </c>
    </row>
    <row r="80" spans="1:4">
      <c r="A80" s="95"/>
      <c r="B80" s="94" t="str">
        <f t="shared" si="10"/>
        <v/>
      </c>
      <c r="C80" s="99" t="str">
        <f t="shared" si="13"/>
        <v/>
      </c>
      <c r="D80" s="98" t="str">
        <f t="shared" si="12"/>
        <v/>
      </c>
    </row>
    <row r="81" spans="1:4">
      <c r="A81" s="95"/>
      <c r="B81" s="94" t="str">
        <f t="shared" si="10"/>
        <v/>
      </c>
      <c r="C81" s="99" t="str">
        <f t="shared" si="13"/>
        <v/>
      </c>
      <c r="D81" s="98" t="str">
        <f t="shared" si="12"/>
        <v/>
      </c>
    </row>
    <row r="82" spans="1:4">
      <c r="A82" s="95"/>
      <c r="B82" s="94" t="str">
        <f t="shared" si="10"/>
        <v/>
      </c>
      <c r="C82" s="99" t="str">
        <f t="shared" si="13"/>
        <v/>
      </c>
      <c r="D82" s="98" t="str">
        <f t="shared" si="12"/>
        <v/>
      </c>
    </row>
    <row r="83" spans="1:4">
      <c r="A83" s="95"/>
      <c r="B83" s="94" t="str">
        <f t="shared" si="10"/>
        <v/>
      </c>
      <c r="C83" s="99" t="str">
        <f t="shared" si="13"/>
        <v/>
      </c>
      <c r="D83" s="98" t="str">
        <f t="shared" si="12"/>
        <v/>
      </c>
    </row>
    <row r="84" spans="1:4">
      <c r="A84" s="95"/>
      <c r="B84" s="94" t="str">
        <f t="shared" si="10"/>
        <v/>
      </c>
      <c r="C84" s="99"/>
      <c r="D84" s="98" t="str">
        <f t="shared" si="12"/>
        <v/>
      </c>
    </row>
    <row r="85" spans="1:4">
      <c r="A85" s="95"/>
      <c r="B85" s="94" t="str">
        <f t="shared" si="10"/>
        <v/>
      </c>
      <c r="C85" s="99"/>
      <c r="D85" s="98" t="str">
        <f t="shared" si="12"/>
        <v/>
      </c>
    </row>
    <row r="86" spans="1:4">
      <c r="A86" s="95"/>
      <c r="B86" s="94" t="str">
        <f t="shared" si="10"/>
        <v/>
      </c>
      <c r="C86" s="99"/>
      <c r="D86" s="98" t="str">
        <f t="shared" si="12"/>
        <v/>
      </c>
    </row>
    <row r="87" spans="1:4">
      <c r="A87" s="95"/>
      <c r="B87" s="94" t="str">
        <f t="shared" si="10"/>
        <v/>
      </c>
      <c r="C87" s="99"/>
      <c r="D87" s="98" t="str">
        <f t="shared" si="12"/>
        <v/>
      </c>
    </row>
    <row r="88" spans="1:4">
      <c r="A88" s="95"/>
      <c r="B88" s="94" t="str">
        <f t="shared" si="10"/>
        <v/>
      </c>
      <c r="C88" s="99"/>
      <c r="D88" s="98" t="str">
        <f t="shared" si="12"/>
        <v/>
      </c>
    </row>
    <row r="89" spans="1:4">
      <c r="A89" s="95"/>
      <c r="B89" s="94" t="str">
        <f t="shared" si="10"/>
        <v/>
      </c>
      <c r="C89" s="99"/>
      <c r="D89" s="98" t="str">
        <f t="shared" si="12"/>
        <v/>
      </c>
    </row>
    <row r="90" spans="1:4">
      <c r="A90" s="95"/>
      <c r="B90" s="94" t="str">
        <f t="shared" si="10"/>
        <v/>
      </c>
      <c r="C90" s="99"/>
      <c r="D90" s="98" t="str">
        <f t="shared" si="12"/>
        <v/>
      </c>
    </row>
    <row r="91" spans="1:4">
      <c r="A91" s="95"/>
      <c r="B91" s="94" t="str">
        <f t="shared" si="10"/>
        <v/>
      </c>
      <c r="C91" s="99"/>
      <c r="D91" s="98" t="str">
        <f t="shared" si="12"/>
        <v/>
      </c>
    </row>
    <row r="92" spans="1:4">
      <c r="A92" s="95"/>
      <c r="B92" s="94" t="str">
        <f t="shared" si="10"/>
        <v/>
      </c>
      <c r="C92" s="99"/>
      <c r="D92" s="98" t="str">
        <f t="shared" si="12"/>
        <v/>
      </c>
    </row>
    <row r="93" spans="1:4">
      <c r="A93" s="95"/>
      <c r="B93" s="94" t="str">
        <f t="shared" si="10"/>
        <v/>
      </c>
      <c r="C93" s="99"/>
      <c r="D93" s="98" t="str">
        <f t="shared" si="12"/>
        <v/>
      </c>
    </row>
    <row r="94" spans="1:4">
      <c r="A94" s="95"/>
      <c r="B94" s="94" t="str">
        <f t="shared" si="10"/>
        <v/>
      </c>
      <c r="C94" s="99"/>
      <c r="D94" s="98" t="str">
        <f t="shared" si="12"/>
        <v/>
      </c>
    </row>
    <row r="95" spans="1:4">
      <c r="A95" s="95"/>
      <c r="B95" s="94" t="str">
        <f t="shared" si="10"/>
        <v/>
      </c>
      <c r="C95" s="99"/>
      <c r="D95" s="98" t="str">
        <f t="shared" si="12"/>
        <v/>
      </c>
    </row>
    <row r="96" spans="1:4">
      <c r="A96" s="95"/>
      <c r="B96" s="94" t="str">
        <f t="shared" si="10"/>
        <v/>
      </c>
      <c r="C96" s="99"/>
      <c r="D96" s="98" t="str">
        <f t="shared" si="12"/>
        <v/>
      </c>
    </row>
    <row r="97" spans="1:4">
      <c r="A97" s="95"/>
      <c r="B97" s="94" t="str">
        <f t="shared" si="10"/>
        <v/>
      </c>
      <c r="C97" s="99"/>
      <c r="D97" s="98" t="str">
        <f t="shared" si="12"/>
        <v/>
      </c>
    </row>
    <row r="98" spans="1:4">
      <c r="A98" s="95"/>
      <c r="B98" s="94" t="str">
        <f t="shared" si="10"/>
        <v/>
      </c>
      <c r="C98" s="99"/>
      <c r="D98" s="98" t="str">
        <f t="shared" si="12"/>
        <v/>
      </c>
    </row>
    <row r="99" spans="1:4">
      <c r="A99" s="95"/>
      <c r="B99" s="94" t="str">
        <f t="shared" si="10"/>
        <v/>
      </c>
      <c r="C99" s="99"/>
      <c r="D99" s="98" t="str">
        <f t="shared" si="12"/>
        <v/>
      </c>
    </row>
    <row r="100" spans="1:4">
      <c r="A100" s="95"/>
      <c r="B100" s="96"/>
      <c r="C100" s="99"/>
      <c r="D100" s="98" t="str">
        <f t="shared" si="12"/>
        <v/>
      </c>
    </row>
    <row r="101" spans="1:4">
      <c r="A101" s="83"/>
      <c r="B101" s="84"/>
    </row>
    <row r="102" spans="1:4">
      <c r="A102" s="83"/>
      <c r="B102" s="84"/>
    </row>
    <row r="103" spans="1:4">
      <c r="A103" s="83"/>
      <c r="B103" s="84"/>
    </row>
    <row r="104" spans="1:4">
      <c r="A104" s="83"/>
      <c r="B104" s="84"/>
    </row>
    <row r="105" spans="1:4">
      <c r="B105" s="84"/>
    </row>
    <row r="106" spans="1:4">
      <c r="B106" s="84"/>
    </row>
    <row r="107" spans="1:4">
      <c r="B107" s="84"/>
    </row>
    <row r="108" spans="1:4">
      <c r="B108" s="84"/>
    </row>
    <row r="109" spans="1:4">
      <c r="B109" s="84"/>
    </row>
    <row r="110" spans="1:4">
      <c r="B110" s="84"/>
    </row>
    <row r="111" spans="1:4">
      <c r="B111" s="84"/>
    </row>
    <row r="112" spans="1:4">
      <c r="B112" s="84"/>
    </row>
    <row r="113" spans="2:2">
      <c r="B113" s="84"/>
    </row>
    <row r="114" spans="2:2">
      <c r="B114" s="84"/>
    </row>
    <row r="115" spans="2:2">
      <c r="B115" s="84"/>
    </row>
  </sheetData>
  <mergeCells count="20">
    <mergeCell ref="G1:H1"/>
    <mergeCell ref="S1:T1"/>
    <mergeCell ref="I1:J1"/>
    <mergeCell ref="Q1:R1"/>
    <mergeCell ref="A19:B19"/>
    <mergeCell ref="E1:F1"/>
    <mergeCell ref="C1:D1"/>
    <mergeCell ref="A2:B2"/>
    <mergeCell ref="A3:B3"/>
    <mergeCell ref="A4:B4"/>
    <mergeCell ref="A10:B10"/>
    <mergeCell ref="A1:B1"/>
    <mergeCell ref="A16:B16"/>
    <mergeCell ref="A17:B17"/>
    <mergeCell ref="A18:B18"/>
    <mergeCell ref="W1:X1"/>
    <mergeCell ref="U1:V1"/>
    <mergeCell ref="O1:P1"/>
    <mergeCell ref="M1:N1"/>
    <mergeCell ref="K1:L1"/>
  </mergeCells>
  <conditionalFormatting sqref="E2:E4 E10 E16:E1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9">
    <cfRule type="iconSet" priority="8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1:E15"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5:E9">
    <cfRule type="iconSet" priority="7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E11:E15">
    <cfRule type="iconSet" priority="7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2:C4 C10 C16:C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9">
    <cfRule type="iconSet" priority="7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11:C15"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5:C9">
    <cfRule type="iconSet" priority="7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11:C15">
    <cfRule type="iconSet" priority="7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G2:G4 G10 G16:G18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9">
    <cfRule type="iconSet" priority="6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11:G15"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5:G9">
    <cfRule type="iconSet" priority="6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G11:G15">
    <cfRule type="iconSet" priority="6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I2:I4 I10 I16:I18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9">
    <cfRule type="iconSet" priority="6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11:I15"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5:I9">
    <cfRule type="iconSet" priority="6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I11:I15">
    <cfRule type="iconSet" priority="6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K2:K4 K10 K16:K18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9">
    <cfRule type="iconSet" priority="5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K11:K15"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K5:K9">
    <cfRule type="iconSet" priority="5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K11:K15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2:M4 M10 M16:M18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9">
    <cfRule type="iconSet" priority="5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11:M15">
    <cfRule type="iconSet" priority="5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5:M9">
    <cfRule type="iconSet" priority="5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11:M15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O2:O4 O10 O16:O18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9"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11:O15">
    <cfRule type="iconSet" priority="4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5:O9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O11:O15">
    <cfRule type="iconSet" priority="4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34:AZ3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AZ3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AZ3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AZ3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AZ3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AZ3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Z4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:AZ4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AZ4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:AZ4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Z4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AZ45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AZ4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AZ4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AZ4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AZ4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AZ5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:AZ5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5:B9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:C10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:C61">
    <cfRule type="iconSet" priority="2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C55:C100">
    <cfRule type="iconSet" priority="2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2:Q4 Q10 Q16:Q1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9">
    <cfRule type="iconSet" priority="1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11:Q15">
    <cfRule type="iconSet" priority="1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5:Q9">
    <cfRule type="iconSet" priority="1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Q11:Q15">
    <cfRule type="iconSet" priority="1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2:S4 S10 S16:S1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9"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11:S15">
    <cfRule type="iconSet" priority="1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5:S9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11:S15">
    <cfRule type="iconSet" priority="1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U2:U4 U10 U16:U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9">
    <cfRule type="iconSet" priority="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U11:U15"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U5:U9">
    <cfRule type="iconSet" priority="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U11:U15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W2:W4 W10 W16:W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9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W11:W15">
    <cfRule type="iconSet" priority="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W5:W9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W11:W15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2">
    <dataValidation type="list" allowBlank="1" showInputMessage="1" showErrorMessage="1" sqref="A53" xr:uid="{CD63B9B1-2FA8-4E7B-86B4-85F8D1DE4B5E}">
      <formula1>$A$34:$A$51</formula1>
    </dataValidation>
    <dataValidation type="list" allowBlank="1" showInputMessage="1" showErrorMessage="1" sqref="A33" xr:uid="{E90111CB-8B38-4A95-A395-92710537298A}">
      <formula1>"Pool,Increment"</formula1>
    </dataValidation>
  </dataValidations>
  <hyperlinks>
    <hyperlink ref="B23" r:id="rId1" xr:uid="{B9807EBF-58A6-4107-BA78-A45CFFFD22F7}"/>
    <hyperlink ref="A23" r:id="rId2" xr:uid="{822E82AF-1E0E-4EE5-B0E5-0656237F4E99}"/>
    <hyperlink ref="A1:B1" r:id="rId3" display="CRS score range" xr:uid="{CABB959F-0B40-43C2-B9DB-F7A55E1E2FD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7959-D97A-494E-B64E-6338847F6F11}">
  <dimension ref="A1:F435"/>
  <sheetViews>
    <sheetView workbookViewId="0">
      <pane ySplit="1" topLeftCell="A407" activePane="bottomLeft" state="frozen"/>
      <selection pane="bottomLeft" activeCell="A422" sqref="A422"/>
    </sheetView>
  </sheetViews>
  <sheetFormatPr defaultRowHeight="15.75" customHeight="1"/>
  <cols>
    <col min="1" max="1" width="9.140625" style="7"/>
    <col min="2" max="2" width="34.42578125" style="8" customWidth="1"/>
    <col min="3" max="3" width="51.7109375" style="7" bestFit="1" customWidth="1"/>
    <col min="4" max="4" width="20.7109375" style="7" bestFit="1" customWidth="1"/>
    <col min="5" max="5" width="17.28515625" style="7" customWidth="1"/>
    <col min="6" max="16384" width="9.140625" style="7"/>
  </cols>
  <sheetData>
    <row r="1" spans="1:6" s="112" customFormat="1" ht="15.75" customHeight="1">
      <c r="A1" s="108" t="s">
        <v>36</v>
      </c>
      <c r="B1" s="109" t="s">
        <v>33</v>
      </c>
      <c r="C1" s="110" t="s">
        <v>37</v>
      </c>
      <c r="D1" s="110" t="s">
        <v>38</v>
      </c>
      <c r="E1" s="110" t="s">
        <v>39</v>
      </c>
      <c r="F1" s="111" t="s">
        <v>40</v>
      </c>
    </row>
    <row r="2" spans="1:6" ht="15.75" customHeight="1">
      <c r="A2" s="54">
        <v>1</v>
      </c>
      <c r="B2" s="3">
        <v>42035</v>
      </c>
      <c r="C2" s="4" t="s">
        <v>41</v>
      </c>
      <c r="D2" s="4">
        <v>779</v>
      </c>
      <c r="E2" s="4">
        <v>886</v>
      </c>
      <c r="F2" s="7">
        <f>YEAR(Table1[[#This Row],[Date]])</f>
        <v>2015</v>
      </c>
    </row>
    <row r="3" spans="1:6" ht="15.75" customHeight="1">
      <c r="A3" s="54">
        <v>2</v>
      </c>
      <c r="B3" s="3">
        <v>42042</v>
      </c>
      <c r="C3" s="4" t="s">
        <v>41</v>
      </c>
      <c r="D3" s="4">
        <v>779</v>
      </c>
      <c r="E3" s="4">
        <v>818</v>
      </c>
      <c r="F3" s="7">
        <f>YEAR(Table1[[#This Row],[Date]])</f>
        <v>2015</v>
      </c>
    </row>
    <row r="4" spans="1:6" ht="15.75" customHeight="1">
      <c r="A4" s="54">
        <v>3</v>
      </c>
      <c r="B4" s="3">
        <v>42055</v>
      </c>
      <c r="C4" s="4" t="s">
        <v>42</v>
      </c>
      <c r="D4" s="4">
        <v>849</v>
      </c>
      <c r="E4" s="4">
        <v>808</v>
      </c>
      <c r="F4" s="7">
        <f>YEAR(Table1[[#This Row],[Date]])</f>
        <v>2015</v>
      </c>
    </row>
    <row r="5" spans="1:6" ht="15.75" customHeight="1">
      <c r="A5" s="9">
        <v>4</v>
      </c>
      <c r="B5" s="3">
        <v>42062</v>
      </c>
      <c r="C5" s="4" t="s">
        <v>41</v>
      </c>
      <c r="D5" s="5">
        <v>1187</v>
      </c>
      <c r="E5" s="4">
        <v>735</v>
      </c>
      <c r="F5" s="7">
        <f>YEAR(Table1[[#This Row],[Date]])</f>
        <v>2015</v>
      </c>
    </row>
    <row r="6" spans="1:6" ht="15.75" customHeight="1">
      <c r="A6" s="9">
        <v>5</v>
      </c>
      <c r="B6" s="3">
        <v>42083</v>
      </c>
      <c r="C6" s="4" t="s">
        <v>41</v>
      </c>
      <c r="D6" s="5">
        <v>1620</v>
      </c>
      <c r="E6" s="4">
        <v>481</v>
      </c>
      <c r="F6" s="7">
        <f>YEAR(Table1[[#This Row],[Date]])</f>
        <v>2015</v>
      </c>
    </row>
    <row r="7" spans="1:6" ht="15.75" customHeight="1">
      <c r="A7" s="9">
        <v>6</v>
      </c>
      <c r="B7" s="3">
        <v>42090</v>
      </c>
      <c r="C7" s="4" t="s">
        <v>41</v>
      </c>
      <c r="D7" s="5">
        <v>1637</v>
      </c>
      <c r="E7" s="4">
        <v>453</v>
      </c>
      <c r="F7" s="7">
        <f>YEAR(Table1[[#This Row],[Date]])</f>
        <v>2015</v>
      </c>
    </row>
    <row r="8" spans="1:6" ht="15.75" customHeight="1">
      <c r="A8" s="9">
        <v>7</v>
      </c>
      <c r="B8" s="3">
        <v>42104</v>
      </c>
      <c r="C8" s="4" t="s">
        <v>41</v>
      </c>
      <c r="D8" s="4">
        <v>925</v>
      </c>
      <c r="E8" s="4">
        <v>469</v>
      </c>
      <c r="F8" s="7">
        <f>YEAR(Table1[[#This Row],[Date]])</f>
        <v>2015</v>
      </c>
    </row>
    <row r="9" spans="1:6" ht="15.75" customHeight="1">
      <c r="A9" s="9">
        <v>8</v>
      </c>
      <c r="B9" s="3">
        <v>42111</v>
      </c>
      <c r="C9" s="4" t="s">
        <v>41</v>
      </c>
      <c r="D9" s="4">
        <v>715</v>
      </c>
      <c r="E9" s="4">
        <v>453</v>
      </c>
      <c r="F9" s="7">
        <f>YEAR(Table1[[#This Row],[Date]])</f>
        <v>2015</v>
      </c>
    </row>
    <row r="10" spans="1:6" ht="15.75" customHeight="1">
      <c r="A10" s="9">
        <v>9</v>
      </c>
      <c r="B10" s="3">
        <v>42146</v>
      </c>
      <c r="C10" s="4" t="s">
        <v>41</v>
      </c>
      <c r="D10" s="5">
        <v>1361</v>
      </c>
      <c r="E10" s="4">
        <v>755</v>
      </c>
      <c r="F10" s="7">
        <f>YEAR(Table1[[#This Row],[Date]])</f>
        <v>2015</v>
      </c>
    </row>
    <row r="11" spans="1:6" ht="15.75" customHeight="1">
      <c r="A11" s="9">
        <v>10</v>
      </c>
      <c r="B11" s="3">
        <v>42167</v>
      </c>
      <c r="C11" s="4" t="s">
        <v>41</v>
      </c>
      <c r="D11" s="5">
        <v>1501</v>
      </c>
      <c r="E11" s="4">
        <v>482</v>
      </c>
      <c r="F11" s="7">
        <f>YEAR(Table1[[#This Row],[Date]])</f>
        <v>2015</v>
      </c>
    </row>
    <row r="12" spans="1:6" ht="15.75" customHeight="1">
      <c r="A12" s="9">
        <v>11</v>
      </c>
      <c r="B12" s="3">
        <v>42181</v>
      </c>
      <c r="C12" s="4" t="s">
        <v>41</v>
      </c>
      <c r="D12" s="5">
        <v>1575</v>
      </c>
      <c r="E12" s="4">
        <v>469</v>
      </c>
      <c r="F12" s="7">
        <f>YEAR(Table1[[#This Row],[Date]])</f>
        <v>2015</v>
      </c>
    </row>
    <row r="13" spans="1:6" ht="15.75" customHeight="1">
      <c r="A13" s="9">
        <v>12</v>
      </c>
      <c r="B13" s="3">
        <v>42195</v>
      </c>
      <c r="C13" s="4" t="s">
        <v>41</v>
      </c>
      <c r="D13" s="5">
        <v>1516</v>
      </c>
      <c r="E13" s="4">
        <v>463</v>
      </c>
      <c r="F13" s="7">
        <f>YEAR(Table1[[#This Row],[Date]])</f>
        <v>2015</v>
      </c>
    </row>
    <row r="14" spans="1:6" ht="15.75" customHeight="1">
      <c r="A14" s="9">
        <v>13</v>
      </c>
      <c r="B14" s="3">
        <v>42202</v>
      </c>
      <c r="C14" s="4" t="s">
        <v>41</v>
      </c>
      <c r="D14" s="5">
        <v>1581</v>
      </c>
      <c r="E14" s="4">
        <v>451</v>
      </c>
      <c r="F14" s="7">
        <f>YEAR(Table1[[#This Row],[Date]])</f>
        <v>2015</v>
      </c>
    </row>
    <row r="15" spans="1:6" ht="15.75" customHeight="1">
      <c r="A15" s="9">
        <v>14</v>
      </c>
      <c r="B15" s="3">
        <v>42223</v>
      </c>
      <c r="C15" s="4" t="s">
        <v>41</v>
      </c>
      <c r="D15" s="5">
        <v>1402</v>
      </c>
      <c r="E15" s="4">
        <v>471</v>
      </c>
      <c r="F15" s="7">
        <f>YEAR(Table1[[#This Row],[Date]])</f>
        <v>2015</v>
      </c>
    </row>
    <row r="16" spans="1:6" ht="15.75" customHeight="1">
      <c r="A16" s="9">
        <v>15</v>
      </c>
      <c r="B16" s="3">
        <v>42237</v>
      </c>
      <c r="C16" s="4" t="s">
        <v>41</v>
      </c>
      <c r="D16" s="5">
        <v>1523</v>
      </c>
      <c r="E16" s="4">
        <v>456</v>
      </c>
      <c r="F16" s="7">
        <f>YEAR(Table1[[#This Row],[Date]])</f>
        <v>2015</v>
      </c>
    </row>
    <row r="17" spans="1:6" ht="15.75" customHeight="1">
      <c r="A17" s="9">
        <v>16</v>
      </c>
      <c r="B17" s="3">
        <v>42255</v>
      </c>
      <c r="C17" s="4" t="s">
        <v>41</v>
      </c>
      <c r="D17" s="5">
        <v>1517</v>
      </c>
      <c r="E17" s="4">
        <v>459</v>
      </c>
      <c r="F17" s="7">
        <f>YEAR(Table1[[#This Row],[Date]])</f>
        <v>2015</v>
      </c>
    </row>
    <row r="18" spans="1:6" ht="15.75" customHeight="1">
      <c r="A18" s="9">
        <v>17</v>
      </c>
      <c r="B18" s="3">
        <v>42265</v>
      </c>
      <c r="C18" s="4" t="s">
        <v>41</v>
      </c>
      <c r="D18" s="5">
        <v>1545</v>
      </c>
      <c r="E18" s="4">
        <v>450</v>
      </c>
      <c r="F18" s="7">
        <f>YEAR(Table1[[#This Row],[Date]])</f>
        <v>2015</v>
      </c>
    </row>
    <row r="19" spans="1:6" ht="15.75" customHeight="1">
      <c r="A19" s="9">
        <v>18</v>
      </c>
      <c r="B19" s="3">
        <v>42279</v>
      </c>
      <c r="C19" s="4" t="s">
        <v>41</v>
      </c>
      <c r="D19" s="5">
        <v>1530</v>
      </c>
      <c r="E19" s="4">
        <v>450</v>
      </c>
      <c r="F19" s="7">
        <f>YEAR(Table1[[#This Row],[Date]])</f>
        <v>2015</v>
      </c>
    </row>
    <row r="20" spans="1:6" ht="15.75" customHeight="1">
      <c r="A20" s="9">
        <v>19</v>
      </c>
      <c r="B20" s="3">
        <v>42300</v>
      </c>
      <c r="C20" s="4" t="s">
        <v>41</v>
      </c>
      <c r="D20" s="5">
        <v>1502</v>
      </c>
      <c r="E20" s="4">
        <v>489</v>
      </c>
      <c r="F20" s="7">
        <f>YEAR(Table1[[#This Row],[Date]])</f>
        <v>2015</v>
      </c>
    </row>
    <row r="21" spans="1:6" ht="15.75" customHeight="1">
      <c r="A21" s="9">
        <v>20</v>
      </c>
      <c r="B21" s="3">
        <v>42321</v>
      </c>
      <c r="C21" s="4" t="s">
        <v>41</v>
      </c>
      <c r="D21" s="5">
        <v>1506</v>
      </c>
      <c r="E21" s="4">
        <v>484</v>
      </c>
      <c r="F21" s="7">
        <f>YEAR(Table1[[#This Row],[Date]])</f>
        <v>2015</v>
      </c>
    </row>
    <row r="22" spans="1:6" ht="15.75" customHeight="1">
      <c r="A22" s="9">
        <v>21</v>
      </c>
      <c r="B22" s="3">
        <v>42335</v>
      </c>
      <c r="C22" s="4" t="s">
        <v>41</v>
      </c>
      <c r="D22" s="5">
        <v>1559</v>
      </c>
      <c r="E22" s="4">
        <v>472</v>
      </c>
      <c r="F22" s="7">
        <f>YEAR(Table1[[#This Row],[Date]])</f>
        <v>2015</v>
      </c>
    </row>
    <row r="23" spans="1:6" ht="15.75" customHeight="1">
      <c r="A23" s="9">
        <v>22</v>
      </c>
      <c r="B23" s="3">
        <v>42342</v>
      </c>
      <c r="C23" s="4" t="s">
        <v>41</v>
      </c>
      <c r="D23" s="5">
        <v>1451</v>
      </c>
      <c r="E23" s="4">
        <v>461</v>
      </c>
      <c r="F23" s="7">
        <f>YEAR(Table1[[#This Row],[Date]])</f>
        <v>2015</v>
      </c>
    </row>
    <row r="24" spans="1:6" ht="15.75" customHeight="1">
      <c r="A24" s="9">
        <v>23</v>
      </c>
      <c r="B24" s="3">
        <v>42356</v>
      </c>
      <c r="C24" s="4" t="s">
        <v>41</v>
      </c>
      <c r="D24" s="5">
        <v>1503</v>
      </c>
      <c r="E24" s="4">
        <v>460</v>
      </c>
      <c r="F24" s="7">
        <f>YEAR(Table1[[#This Row],[Date]])</f>
        <v>2015</v>
      </c>
    </row>
    <row r="25" spans="1:6" ht="15.75" customHeight="1">
      <c r="A25" s="9">
        <v>24</v>
      </c>
      <c r="B25" s="3">
        <v>42375</v>
      </c>
      <c r="C25" s="4" t="s">
        <v>41</v>
      </c>
      <c r="D25" s="5">
        <v>1463</v>
      </c>
      <c r="E25" s="4">
        <v>461</v>
      </c>
      <c r="F25" s="7">
        <f>YEAR(Table1[[#This Row],[Date]])</f>
        <v>2016</v>
      </c>
    </row>
    <row r="26" spans="1:6" ht="15.75" customHeight="1">
      <c r="A26" s="9">
        <v>25</v>
      </c>
      <c r="B26" s="3">
        <v>42382</v>
      </c>
      <c r="C26" s="4" t="s">
        <v>41</v>
      </c>
      <c r="D26" s="5">
        <v>1518</v>
      </c>
      <c r="E26" s="4">
        <v>453</v>
      </c>
      <c r="F26" s="7">
        <f>YEAR(Table1[[#This Row],[Date]])</f>
        <v>2016</v>
      </c>
    </row>
    <row r="27" spans="1:6" ht="15.75" customHeight="1">
      <c r="A27" s="9">
        <v>26</v>
      </c>
      <c r="B27" s="3">
        <v>42396</v>
      </c>
      <c r="C27" s="4" t="s">
        <v>41</v>
      </c>
      <c r="D27" s="5">
        <v>1468</v>
      </c>
      <c r="E27" s="4">
        <v>457</v>
      </c>
      <c r="F27" s="7">
        <f>YEAR(Table1[[#This Row],[Date]])</f>
        <v>2016</v>
      </c>
    </row>
    <row r="28" spans="1:6" ht="15.75" customHeight="1">
      <c r="A28" s="9">
        <v>27</v>
      </c>
      <c r="B28" s="3">
        <v>42410</v>
      </c>
      <c r="C28" s="4" t="s">
        <v>41</v>
      </c>
      <c r="D28" s="5">
        <v>1505</v>
      </c>
      <c r="E28" s="4">
        <v>459</v>
      </c>
      <c r="F28" s="7">
        <f>YEAR(Table1[[#This Row],[Date]])</f>
        <v>2016</v>
      </c>
    </row>
    <row r="29" spans="1:6" ht="15.75" customHeight="1">
      <c r="A29" s="9">
        <v>28</v>
      </c>
      <c r="B29" s="3">
        <v>42424</v>
      </c>
      <c r="C29" s="4" t="s">
        <v>41</v>
      </c>
      <c r="D29" s="5">
        <v>1484</v>
      </c>
      <c r="E29" s="4">
        <v>453</v>
      </c>
      <c r="F29" s="7">
        <f>YEAR(Table1[[#This Row],[Date]])</f>
        <v>2016</v>
      </c>
    </row>
    <row r="30" spans="1:6" ht="15.75" customHeight="1">
      <c r="A30" s="9">
        <v>29</v>
      </c>
      <c r="B30" s="3">
        <v>42438</v>
      </c>
      <c r="C30" s="4" t="s">
        <v>41</v>
      </c>
      <c r="D30" s="5">
        <v>1013</v>
      </c>
      <c r="E30" s="4">
        <v>473</v>
      </c>
      <c r="F30" s="7">
        <f>YEAR(Table1[[#This Row],[Date]])</f>
        <v>2016</v>
      </c>
    </row>
    <row r="31" spans="1:6" ht="15.75" customHeight="1">
      <c r="A31" s="9">
        <v>30</v>
      </c>
      <c r="B31" s="3">
        <v>42452</v>
      </c>
      <c r="C31" s="4" t="s">
        <v>41</v>
      </c>
      <c r="D31" s="5">
        <v>1014</v>
      </c>
      <c r="E31" s="4">
        <v>470</v>
      </c>
      <c r="F31" s="7">
        <f>YEAR(Table1[[#This Row],[Date]])</f>
        <v>2016</v>
      </c>
    </row>
    <row r="32" spans="1:6" ht="15.75" customHeight="1">
      <c r="A32" s="9">
        <v>31</v>
      </c>
      <c r="B32" s="3">
        <v>42466</v>
      </c>
      <c r="C32" s="4" t="s">
        <v>41</v>
      </c>
      <c r="D32" s="4">
        <v>954</v>
      </c>
      <c r="E32" s="4">
        <v>470</v>
      </c>
      <c r="F32" s="7">
        <f>YEAR(Table1[[#This Row],[Date]])</f>
        <v>2016</v>
      </c>
    </row>
    <row r="33" spans="1:6" ht="15.75" customHeight="1">
      <c r="A33" s="9">
        <v>32</v>
      </c>
      <c r="B33" s="3">
        <v>42480</v>
      </c>
      <c r="C33" s="4" t="s">
        <v>41</v>
      </c>
      <c r="D33" s="5">
        <v>1018</v>
      </c>
      <c r="E33" s="4">
        <v>468</v>
      </c>
      <c r="F33" s="7">
        <f>YEAR(Table1[[#This Row],[Date]])</f>
        <v>2016</v>
      </c>
    </row>
    <row r="34" spans="1:6" ht="15.75" customHeight="1">
      <c r="A34" s="9">
        <v>33</v>
      </c>
      <c r="B34" s="3">
        <v>42496</v>
      </c>
      <c r="C34" s="4" t="s">
        <v>41</v>
      </c>
      <c r="D34" s="4">
        <v>799</v>
      </c>
      <c r="E34" s="4">
        <v>534</v>
      </c>
      <c r="F34" s="7">
        <f>YEAR(Table1[[#This Row],[Date]])</f>
        <v>2016</v>
      </c>
    </row>
    <row r="35" spans="1:6" ht="15.75" customHeight="1">
      <c r="A35" s="9">
        <v>34</v>
      </c>
      <c r="B35" s="3">
        <v>42508</v>
      </c>
      <c r="C35" s="4" t="s">
        <v>41</v>
      </c>
      <c r="D35" s="4">
        <v>763</v>
      </c>
      <c r="E35" s="4">
        <v>484</v>
      </c>
      <c r="F35" s="7">
        <f>YEAR(Table1[[#This Row],[Date]])</f>
        <v>2016</v>
      </c>
    </row>
    <row r="36" spans="1:6" ht="15.75" customHeight="1">
      <c r="A36" s="9">
        <v>35</v>
      </c>
      <c r="B36" s="3">
        <v>42522</v>
      </c>
      <c r="C36" s="4" t="s">
        <v>41</v>
      </c>
      <c r="D36" s="4">
        <v>762</v>
      </c>
      <c r="E36" s="4">
        <v>483</v>
      </c>
      <c r="F36" s="7">
        <f>YEAR(Table1[[#This Row],[Date]])</f>
        <v>2016</v>
      </c>
    </row>
    <row r="37" spans="1:6" ht="15.75" customHeight="1">
      <c r="A37" s="9">
        <v>36</v>
      </c>
      <c r="B37" s="3">
        <v>42536</v>
      </c>
      <c r="C37" s="4" t="s">
        <v>41</v>
      </c>
      <c r="D37" s="4">
        <v>752</v>
      </c>
      <c r="E37" s="4">
        <v>488</v>
      </c>
      <c r="F37" s="7">
        <f>YEAR(Table1[[#This Row],[Date]])</f>
        <v>2016</v>
      </c>
    </row>
    <row r="38" spans="1:6" ht="15.75" customHeight="1">
      <c r="A38" s="9">
        <v>37</v>
      </c>
      <c r="B38" s="3">
        <v>42550</v>
      </c>
      <c r="C38" s="4" t="s">
        <v>41</v>
      </c>
      <c r="D38" s="4">
        <v>773</v>
      </c>
      <c r="E38" s="4">
        <v>482</v>
      </c>
      <c r="F38" s="7">
        <f>YEAR(Table1[[#This Row],[Date]])</f>
        <v>2016</v>
      </c>
    </row>
    <row r="39" spans="1:6" ht="15.75" customHeight="1">
      <c r="A39" s="9">
        <v>38</v>
      </c>
      <c r="B39" s="3">
        <v>42564</v>
      </c>
      <c r="C39" s="4" t="s">
        <v>41</v>
      </c>
      <c r="D39" s="4">
        <v>747</v>
      </c>
      <c r="E39" s="4">
        <v>482</v>
      </c>
      <c r="F39" s="7">
        <f>YEAR(Table1[[#This Row],[Date]])</f>
        <v>2016</v>
      </c>
    </row>
    <row r="40" spans="1:6" ht="15.75" customHeight="1">
      <c r="A40" s="9">
        <v>39</v>
      </c>
      <c r="B40" s="3">
        <v>42578</v>
      </c>
      <c r="C40" s="4" t="s">
        <v>41</v>
      </c>
      <c r="D40" s="4">
        <v>755</v>
      </c>
      <c r="E40" s="4">
        <v>488</v>
      </c>
      <c r="F40" s="7">
        <f>YEAR(Table1[[#This Row],[Date]])</f>
        <v>2016</v>
      </c>
    </row>
    <row r="41" spans="1:6" ht="15.75" customHeight="1">
      <c r="A41" s="9">
        <v>40</v>
      </c>
      <c r="B41" s="3">
        <v>42592</v>
      </c>
      <c r="C41" s="4" t="s">
        <v>41</v>
      </c>
      <c r="D41" s="4">
        <v>754</v>
      </c>
      <c r="E41" s="4">
        <v>490</v>
      </c>
      <c r="F41" s="7">
        <f>YEAR(Table1[[#This Row],[Date]])</f>
        <v>2016</v>
      </c>
    </row>
    <row r="42" spans="1:6" ht="15.75" customHeight="1">
      <c r="A42" s="9">
        <v>41</v>
      </c>
      <c r="B42" s="3">
        <v>42606</v>
      </c>
      <c r="C42" s="4" t="s">
        <v>41</v>
      </c>
      <c r="D42" s="4">
        <v>750</v>
      </c>
      <c r="E42" s="4">
        <v>538</v>
      </c>
      <c r="F42" s="7">
        <f>YEAR(Table1[[#This Row],[Date]])</f>
        <v>2016</v>
      </c>
    </row>
    <row r="43" spans="1:6" ht="15.75" customHeight="1">
      <c r="A43" s="9">
        <v>42</v>
      </c>
      <c r="B43" s="3">
        <v>42620</v>
      </c>
      <c r="C43" s="4" t="s">
        <v>41</v>
      </c>
      <c r="D43" s="5">
        <v>1000</v>
      </c>
      <c r="E43" s="4">
        <v>491</v>
      </c>
      <c r="F43" s="7">
        <f>YEAR(Table1[[#This Row],[Date]])</f>
        <v>2016</v>
      </c>
    </row>
    <row r="44" spans="1:6" ht="15.75" customHeight="1">
      <c r="A44" s="9">
        <v>43</v>
      </c>
      <c r="B44" s="3">
        <v>42634</v>
      </c>
      <c r="C44" s="4" t="s">
        <v>41</v>
      </c>
      <c r="D44" s="5">
        <v>1288</v>
      </c>
      <c r="E44" s="4">
        <v>483</v>
      </c>
      <c r="F44" s="7">
        <f>YEAR(Table1[[#This Row],[Date]])</f>
        <v>2016</v>
      </c>
    </row>
    <row r="45" spans="1:6" ht="15.75" customHeight="1">
      <c r="A45" s="9">
        <v>44</v>
      </c>
      <c r="B45" s="3">
        <v>42655</v>
      </c>
      <c r="C45" s="4" t="s">
        <v>41</v>
      </c>
      <c r="D45" s="5">
        <v>1518</v>
      </c>
      <c r="E45" s="4">
        <v>484</v>
      </c>
      <c r="F45" s="7">
        <f>YEAR(Table1[[#This Row],[Date]])</f>
        <v>2016</v>
      </c>
    </row>
    <row r="46" spans="1:6" ht="15.75" customHeight="1">
      <c r="A46" s="9">
        <v>45</v>
      </c>
      <c r="B46" s="3">
        <v>42662</v>
      </c>
      <c r="C46" s="4" t="s">
        <v>41</v>
      </c>
      <c r="D46" s="5">
        <v>1804</v>
      </c>
      <c r="E46" s="4">
        <v>475</v>
      </c>
      <c r="F46" s="7">
        <f>YEAR(Table1[[#This Row],[Date]])</f>
        <v>2016</v>
      </c>
    </row>
    <row r="47" spans="1:6" ht="15.75" customHeight="1">
      <c r="A47" s="9">
        <v>46</v>
      </c>
      <c r="B47" s="3">
        <v>42676</v>
      </c>
      <c r="C47" s="4" t="s">
        <v>41</v>
      </c>
      <c r="D47" s="5">
        <v>2080</v>
      </c>
      <c r="E47" s="4">
        <v>472</v>
      </c>
      <c r="F47" s="7">
        <f>YEAR(Table1[[#This Row],[Date]])</f>
        <v>2016</v>
      </c>
    </row>
    <row r="48" spans="1:6" ht="15.75" customHeight="1">
      <c r="A48" s="9">
        <v>47</v>
      </c>
      <c r="B48" s="3">
        <v>42690</v>
      </c>
      <c r="C48" s="4" t="s">
        <v>41</v>
      </c>
      <c r="D48" s="5">
        <v>2427</v>
      </c>
      <c r="E48" s="4">
        <v>470</v>
      </c>
      <c r="F48" s="7">
        <f>YEAR(Table1[[#This Row],[Date]])</f>
        <v>2016</v>
      </c>
    </row>
    <row r="49" spans="1:6" ht="15.75" customHeight="1">
      <c r="A49" s="9">
        <v>48</v>
      </c>
      <c r="B49" s="3">
        <v>42704</v>
      </c>
      <c r="C49" s="4" t="s">
        <v>43</v>
      </c>
      <c r="D49" s="4">
        <v>559</v>
      </c>
      <c r="E49" s="4">
        <v>786</v>
      </c>
      <c r="F49" s="7">
        <f>YEAR(Table1[[#This Row],[Date]])</f>
        <v>2016</v>
      </c>
    </row>
    <row r="50" spans="1:6" ht="15.75" customHeight="1">
      <c r="A50" s="9">
        <v>49</v>
      </c>
      <c r="B50" s="3">
        <v>42720</v>
      </c>
      <c r="C50" s="4" t="s">
        <v>41</v>
      </c>
      <c r="D50" s="5">
        <v>1936</v>
      </c>
      <c r="E50" s="4">
        <v>497</v>
      </c>
      <c r="F50" s="7">
        <f>YEAR(Table1[[#This Row],[Date]])</f>
        <v>2016</v>
      </c>
    </row>
    <row r="51" spans="1:6" ht="15.75" customHeight="1">
      <c r="A51" s="9">
        <v>50</v>
      </c>
      <c r="B51" s="3">
        <v>42726</v>
      </c>
      <c r="C51" s="4" t="s">
        <v>41</v>
      </c>
      <c r="D51" s="5">
        <v>2878</v>
      </c>
      <c r="E51" s="4">
        <v>475</v>
      </c>
      <c r="F51" s="7">
        <f>YEAR(Table1[[#This Row],[Date]])</f>
        <v>2016</v>
      </c>
    </row>
    <row r="52" spans="1:6" ht="15.75" customHeight="1">
      <c r="A52" s="9">
        <v>51</v>
      </c>
      <c r="B52" s="3">
        <v>42739</v>
      </c>
      <c r="C52" s="4" t="s">
        <v>41</v>
      </c>
      <c r="D52" s="5">
        <v>2902</v>
      </c>
      <c r="E52" s="4">
        <v>468</v>
      </c>
      <c r="F52" s="7">
        <f>YEAR(Table1[[#This Row],[Date]])</f>
        <v>2017</v>
      </c>
    </row>
    <row r="53" spans="1:6" ht="15.75" customHeight="1">
      <c r="A53" s="9">
        <v>52</v>
      </c>
      <c r="B53" s="3">
        <v>42746</v>
      </c>
      <c r="C53" s="4" t="s">
        <v>41</v>
      </c>
      <c r="D53" s="5">
        <v>3334</v>
      </c>
      <c r="E53" s="4">
        <v>459</v>
      </c>
      <c r="F53" s="7">
        <f>YEAR(Table1[[#This Row],[Date]])</f>
        <v>2017</v>
      </c>
    </row>
    <row r="54" spans="1:6" ht="15.75" customHeight="1">
      <c r="A54" s="9">
        <v>53</v>
      </c>
      <c r="B54" s="3">
        <v>42760</v>
      </c>
      <c r="C54" s="4" t="s">
        <v>41</v>
      </c>
      <c r="D54" s="5">
        <v>3508</v>
      </c>
      <c r="E54" s="4">
        <v>453</v>
      </c>
      <c r="F54" s="7">
        <f>YEAR(Table1[[#This Row],[Date]])</f>
        <v>2017</v>
      </c>
    </row>
    <row r="55" spans="1:6" ht="15.75" customHeight="1">
      <c r="A55" s="9">
        <v>54</v>
      </c>
      <c r="B55" s="3">
        <v>42774</v>
      </c>
      <c r="C55" s="4" t="s">
        <v>41</v>
      </c>
      <c r="D55" s="5">
        <v>3644</v>
      </c>
      <c r="E55" s="4">
        <v>447</v>
      </c>
      <c r="F55" s="7">
        <f>YEAR(Table1[[#This Row],[Date]])</f>
        <v>2017</v>
      </c>
    </row>
    <row r="56" spans="1:6" ht="15.75" customHeight="1">
      <c r="A56" s="9">
        <v>55</v>
      </c>
      <c r="B56" s="3">
        <v>42788</v>
      </c>
      <c r="C56" s="4" t="s">
        <v>41</v>
      </c>
      <c r="D56" s="5">
        <v>3611</v>
      </c>
      <c r="E56" s="4">
        <v>441</v>
      </c>
      <c r="F56" s="7">
        <f>YEAR(Table1[[#This Row],[Date]])</f>
        <v>2017</v>
      </c>
    </row>
    <row r="57" spans="1:6" ht="15.75" customHeight="1">
      <c r="A57" s="9">
        <v>56</v>
      </c>
      <c r="B57" s="3">
        <v>42795</v>
      </c>
      <c r="C57" s="4" t="s">
        <v>41</v>
      </c>
      <c r="D57" s="5">
        <v>3884</v>
      </c>
      <c r="E57" s="4">
        <v>434</v>
      </c>
      <c r="F57" s="7">
        <f>YEAR(Table1[[#This Row],[Date]])</f>
        <v>2017</v>
      </c>
    </row>
    <row r="58" spans="1:6" ht="15.75" customHeight="1">
      <c r="A58" s="9">
        <v>57</v>
      </c>
      <c r="B58" s="3">
        <v>42818</v>
      </c>
      <c r="C58" s="4" t="s">
        <v>41</v>
      </c>
      <c r="D58" s="5">
        <v>3749</v>
      </c>
      <c r="E58" s="4">
        <v>441</v>
      </c>
      <c r="F58" s="7">
        <f>YEAR(Table1[[#This Row],[Date]])</f>
        <v>2017</v>
      </c>
    </row>
    <row r="59" spans="1:6" ht="15.75" customHeight="1">
      <c r="A59" s="9">
        <v>58</v>
      </c>
      <c r="B59" s="3">
        <v>42830</v>
      </c>
      <c r="C59" s="4" t="s">
        <v>41</v>
      </c>
      <c r="D59" s="5">
        <v>3753</v>
      </c>
      <c r="E59" s="4">
        <v>431</v>
      </c>
      <c r="F59" s="7">
        <f>YEAR(Table1[[#This Row],[Date]])</f>
        <v>2017</v>
      </c>
    </row>
    <row r="60" spans="1:6" ht="15.75" customHeight="1">
      <c r="A60" s="9">
        <v>59</v>
      </c>
      <c r="B60" s="3">
        <v>42837</v>
      </c>
      <c r="C60" s="4" t="s">
        <v>41</v>
      </c>
      <c r="D60" s="5">
        <v>3923</v>
      </c>
      <c r="E60" s="4">
        <v>423</v>
      </c>
      <c r="F60" s="7">
        <f>YEAR(Table1[[#This Row],[Date]])</f>
        <v>2017</v>
      </c>
    </row>
    <row r="61" spans="1:6" ht="15.75" customHeight="1">
      <c r="A61" s="9">
        <v>60</v>
      </c>
      <c r="B61" s="3">
        <v>42844</v>
      </c>
      <c r="C61" s="4" t="s">
        <v>41</v>
      </c>
      <c r="D61" s="5">
        <v>3665</v>
      </c>
      <c r="E61" s="4">
        <v>415</v>
      </c>
      <c r="F61" s="7">
        <f>YEAR(Table1[[#This Row],[Date]])</f>
        <v>2017</v>
      </c>
    </row>
    <row r="62" spans="1:6" ht="15.75" customHeight="1">
      <c r="A62" s="9">
        <v>61</v>
      </c>
      <c r="B62" s="3">
        <v>42859</v>
      </c>
      <c r="C62" s="4" t="s">
        <v>41</v>
      </c>
      <c r="D62" s="5">
        <v>3796</v>
      </c>
      <c r="E62" s="4">
        <v>423</v>
      </c>
      <c r="F62" s="7">
        <f>YEAR(Table1[[#This Row],[Date]])</f>
        <v>2017</v>
      </c>
    </row>
    <row r="63" spans="1:6" ht="15.75" customHeight="1">
      <c r="A63" s="9">
        <v>62</v>
      </c>
      <c r="B63" s="3">
        <v>42872</v>
      </c>
      <c r="C63" s="4" t="s">
        <v>41</v>
      </c>
      <c r="D63" s="5">
        <v>3687</v>
      </c>
      <c r="E63" s="4">
        <v>415</v>
      </c>
      <c r="F63" s="7">
        <f>YEAR(Table1[[#This Row],[Date]])</f>
        <v>2017</v>
      </c>
    </row>
    <row r="64" spans="1:6" ht="15.75" customHeight="1">
      <c r="A64" s="9">
        <v>63</v>
      </c>
      <c r="B64" s="3">
        <v>42881</v>
      </c>
      <c r="C64" s="4" t="s">
        <v>43</v>
      </c>
      <c r="D64" s="4">
        <v>143</v>
      </c>
      <c r="E64" s="4">
        <v>775</v>
      </c>
      <c r="F64" s="7">
        <f>YEAR(Table1[[#This Row],[Date]])</f>
        <v>2017</v>
      </c>
    </row>
    <row r="65" spans="1:6" ht="15.75" customHeight="1">
      <c r="A65" s="9">
        <v>64</v>
      </c>
      <c r="B65" s="3">
        <v>42881</v>
      </c>
      <c r="C65" s="4" t="s">
        <v>44</v>
      </c>
      <c r="D65" s="4">
        <v>400</v>
      </c>
      <c r="E65" s="4">
        <v>199</v>
      </c>
      <c r="F65" s="7">
        <f>YEAR(Table1[[#This Row],[Date]])</f>
        <v>2017</v>
      </c>
    </row>
    <row r="66" spans="1:6" ht="15.75" customHeight="1">
      <c r="A66" s="9">
        <v>65</v>
      </c>
      <c r="B66" s="3">
        <v>42886</v>
      </c>
      <c r="C66" s="4" t="s">
        <v>41</v>
      </c>
      <c r="D66" s="5">
        <v>3877</v>
      </c>
      <c r="E66" s="4">
        <v>413</v>
      </c>
      <c r="F66" s="7">
        <f>YEAR(Table1[[#This Row],[Date]])</f>
        <v>2017</v>
      </c>
    </row>
    <row r="67" spans="1:6" ht="15.75" customHeight="1">
      <c r="A67" s="9">
        <v>66</v>
      </c>
      <c r="B67" s="3">
        <v>42914</v>
      </c>
      <c r="C67" s="4" t="s">
        <v>41</v>
      </c>
      <c r="D67" s="5">
        <v>3409</v>
      </c>
      <c r="E67" s="4">
        <v>449</v>
      </c>
      <c r="F67" s="7">
        <f>YEAR(Table1[[#This Row],[Date]])</f>
        <v>2017</v>
      </c>
    </row>
    <row r="68" spans="1:6" ht="15.75" customHeight="1">
      <c r="A68" s="9">
        <v>67</v>
      </c>
      <c r="B68" s="3">
        <v>42928</v>
      </c>
      <c r="C68" s="4" t="s">
        <v>41</v>
      </c>
      <c r="D68" s="5">
        <v>3202</v>
      </c>
      <c r="E68" s="4">
        <v>440</v>
      </c>
      <c r="F68" s="7">
        <f>YEAR(Table1[[#This Row],[Date]])</f>
        <v>2017</v>
      </c>
    </row>
    <row r="69" spans="1:6" ht="15.75" customHeight="1">
      <c r="A69" s="9">
        <v>68</v>
      </c>
      <c r="B69" s="3">
        <v>42949</v>
      </c>
      <c r="C69" s="4" t="s">
        <v>41</v>
      </c>
      <c r="D69" s="5">
        <v>3264</v>
      </c>
      <c r="E69" s="4">
        <v>441</v>
      </c>
      <c r="F69" s="7">
        <f>YEAR(Table1[[#This Row],[Date]])</f>
        <v>2017</v>
      </c>
    </row>
    <row r="70" spans="1:6" ht="15.75" customHeight="1">
      <c r="A70" s="9">
        <v>69</v>
      </c>
      <c r="B70" s="3">
        <v>42956</v>
      </c>
      <c r="C70" s="4" t="s">
        <v>41</v>
      </c>
      <c r="D70" s="5">
        <v>2991</v>
      </c>
      <c r="E70" s="4">
        <v>433</v>
      </c>
      <c r="F70" s="7">
        <f>YEAR(Table1[[#This Row],[Date]])</f>
        <v>2017</v>
      </c>
    </row>
    <row r="71" spans="1:6" ht="15.75" customHeight="1">
      <c r="A71" s="9">
        <v>70</v>
      </c>
      <c r="B71" s="3">
        <v>42970</v>
      </c>
      <c r="C71" s="4" t="s">
        <v>41</v>
      </c>
      <c r="D71" s="5">
        <v>3035</v>
      </c>
      <c r="E71" s="4">
        <v>434</v>
      </c>
      <c r="F71" s="7">
        <f>YEAR(Table1[[#This Row],[Date]])</f>
        <v>2017</v>
      </c>
    </row>
    <row r="72" spans="1:6" ht="15.75" customHeight="1">
      <c r="A72" s="9">
        <v>71</v>
      </c>
      <c r="B72" s="3">
        <v>42984</v>
      </c>
      <c r="C72" s="4" t="s">
        <v>41</v>
      </c>
      <c r="D72" s="5">
        <v>2772</v>
      </c>
      <c r="E72" s="4">
        <v>435</v>
      </c>
      <c r="F72" s="7">
        <f>YEAR(Table1[[#This Row],[Date]])</f>
        <v>2017</v>
      </c>
    </row>
    <row r="73" spans="1:6" ht="15.75" customHeight="1">
      <c r="A73" s="9">
        <v>72</v>
      </c>
      <c r="B73" s="3">
        <v>42998</v>
      </c>
      <c r="C73" s="4" t="s">
        <v>41</v>
      </c>
      <c r="D73" s="5">
        <v>2871</v>
      </c>
      <c r="E73" s="4">
        <v>433</v>
      </c>
      <c r="F73" s="7">
        <f>YEAR(Table1[[#This Row],[Date]])</f>
        <v>2017</v>
      </c>
    </row>
    <row r="74" spans="1:6" ht="15.75" customHeight="1">
      <c r="A74" s="9">
        <v>73</v>
      </c>
      <c r="B74" s="3">
        <v>43012</v>
      </c>
      <c r="C74" s="4" t="s">
        <v>41</v>
      </c>
      <c r="D74" s="5">
        <v>2801</v>
      </c>
      <c r="E74" s="4">
        <v>438</v>
      </c>
      <c r="F74" s="7">
        <f>YEAR(Table1[[#This Row],[Date]])</f>
        <v>2017</v>
      </c>
    </row>
    <row r="75" spans="1:6" ht="15.75" customHeight="1">
      <c r="A75" s="9">
        <v>74</v>
      </c>
      <c r="B75" s="3">
        <v>43026</v>
      </c>
      <c r="C75" s="4" t="s">
        <v>41</v>
      </c>
      <c r="D75" s="5">
        <v>2757</v>
      </c>
      <c r="E75" s="4">
        <v>436</v>
      </c>
      <c r="F75" s="7">
        <f>YEAR(Table1[[#This Row],[Date]])</f>
        <v>2017</v>
      </c>
    </row>
    <row r="76" spans="1:6" ht="15.75" customHeight="1">
      <c r="A76" s="9">
        <v>75</v>
      </c>
      <c r="B76" s="3">
        <v>43040</v>
      </c>
      <c r="C76" s="4" t="s">
        <v>43</v>
      </c>
      <c r="D76" s="4">
        <v>290</v>
      </c>
      <c r="E76" s="4">
        <v>673</v>
      </c>
      <c r="F76" s="7">
        <f>YEAR(Table1[[#This Row],[Date]])</f>
        <v>2017</v>
      </c>
    </row>
    <row r="77" spans="1:6" ht="15.75" customHeight="1">
      <c r="A77" s="9">
        <v>76</v>
      </c>
      <c r="B77" s="3">
        <v>43040</v>
      </c>
      <c r="C77" s="4" t="s">
        <v>44</v>
      </c>
      <c r="D77" s="4">
        <v>505</v>
      </c>
      <c r="E77" s="4">
        <v>241</v>
      </c>
      <c r="F77" s="7">
        <f>YEAR(Table1[[#This Row],[Date]])</f>
        <v>2017</v>
      </c>
    </row>
    <row r="78" spans="1:6" ht="15.75" customHeight="1">
      <c r="A78" s="9">
        <v>77</v>
      </c>
      <c r="B78" s="3">
        <v>43047</v>
      </c>
      <c r="C78" s="4" t="s">
        <v>41</v>
      </c>
      <c r="D78" s="5">
        <v>2000</v>
      </c>
      <c r="E78" s="4">
        <v>458</v>
      </c>
      <c r="F78" s="7">
        <f>YEAR(Table1[[#This Row],[Date]])</f>
        <v>2017</v>
      </c>
    </row>
    <row r="79" spans="1:6" ht="15.75" customHeight="1">
      <c r="A79" s="9">
        <v>78</v>
      </c>
      <c r="B79" s="3">
        <v>43054</v>
      </c>
      <c r="C79" s="4" t="s">
        <v>41</v>
      </c>
      <c r="D79" s="5">
        <v>2750</v>
      </c>
      <c r="E79" s="4">
        <v>439</v>
      </c>
      <c r="F79" s="7">
        <f>YEAR(Table1[[#This Row],[Date]])</f>
        <v>2017</v>
      </c>
    </row>
    <row r="80" spans="1:6" ht="15.75" customHeight="1">
      <c r="A80" s="9">
        <v>79</v>
      </c>
      <c r="B80" s="3">
        <v>43075</v>
      </c>
      <c r="C80" s="4" t="s">
        <v>41</v>
      </c>
      <c r="D80" s="5">
        <v>2750</v>
      </c>
      <c r="E80" s="4">
        <v>452</v>
      </c>
      <c r="F80" s="7">
        <f>YEAR(Table1[[#This Row],[Date]])</f>
        <v>2017</v>
      </c>
    </row>
    <row r="81" spans="1:6" ht="15.75" customHeight="1">
      <c r="A81" s="9">
        <v>80</v>
      </c>
      <c r="B81" s="3">
        <v>43089</v>
      </c>
      <c r="C81" s="4" t="s">
        <v>41</v>
      </c>
      <c r="D81" s="5">
        <v>2750</v>
      </c>
      <c r="E81" s="4">
        <v>446</v>
      </c>
      <c r="F81" s="7">
        <f>YEAR(Table1[[#This Row],[Date]])</f>
        <v>2017</v>
      </c>
    </row>
    <row r="82" spans="1:6" ht="15.75" customHeight="1">
      <c r="A82" s="9">
        <v>81</v>
      </c>
      <c r="B82" s="3">
        <v>43110</v>
      </c>
      <c r="C82" s="4" t="s">
        <v>41</v>
      </c>
      <c r="D82" s="5">
        <v>2750</v>
      </c>
      <c r="E82" s="4">
        <v>446</v>
      </c>
      <c r="F82" s="7">
        <f>YEAR(Table1[[#This Row],[Date]])</f>
        <v>2018</v>
      </c>
    </row>
    <row r="83" spans="1:6" ht="15.75" customHeight="1">
      <c r="A83" s="9">
        <v>82</v>
      </c>
      <c r="B83" s="3">
        <v>43124</v>
      </c>
      <c r="C83" s="4" t="s">
        <v>41</v>
      </c>
      <c r="D83" s="5">
        <v>2750</v>
      </c>
      <c r="E83" s="4">
        <v>444</v>
      </c>
      <c r="F83" s="7">
        <f>YEAR(Table1[[#This Row],[Date]])</f>
        <v>2018</v>
      </c>
    </row>
    <row r="84" spans="1:6" ht="15.75" customHeight="1">
      <c r="A84" s="9">
        <v>83</v>
      </c>
      <c r="B84" s="3">
        <v>43138</v>
      </c>
      <c r="C84" s="4" t="s">
        <v>41</v>
      </c>
      <c r="D84" s="5">
        <v>3000</v>
      </c>
      <c r="E84" s="4">
        <v>442</v>
      </c>
      <c r="F84" s="7">
        <f>YEAR(Table1[[#This Row],[Date]])</f>
        <v>2018</v>
      </c>
    </row>
    <row r="85" spans="1:6" ht="15.75" customHeight="1">
      <c r="A85" s="9">
        <v>84</v>
      </c>
      <c r="B85" s="3">
        <v>43152</v>
      </c>
      <c r="C85" s="4" t="s">
        <v>41</v>
      </c>
      <c r="D85" s="5">
        <v>3000</v>
      </c>
      <c r="E85" s="4">
        <v>442</v>
      </c>
      <c r="F85" s="7">
        <f>YEAR(Table1[[#This Row],[Date]])</f>
        <v>2018</v>
      </c>
    </row>
    <row r="86" spans="1:6" ht="15.75" customHeight="1">
      <c r="A86" s="9">
        <v>85</v>
      </c>
      <c r="B86" s="3">
        <v>43173</v>
      </c>
      <c r="C86" s="4" t="s">
        <v>41</v>
      </c>
      <c r="D86" s="5">
        <v>3000</v>
      </c>
      <c r="E86" s="4">
        <v>456</v>
      </c>
      <c r="F86" s="7">
        <f>YEAR(Table1[[#This Row],[Date]])</f>
        <v>2018</v>
      </c>
    </row>
    <row r="87" spans="1:6" ht="15.75" customHeight="1">
      <c r="A87" s="9">
        <v>86</v>
      </c>
      <c r="B87" s="3">
        <v>43185</v>
      </c>
      <c r="C87" s="4" t="s">
        <v>41</v>
      </c>
      <c r="D87" s="5">
        <v>3000</v>
      </c>
      <c r="E87" s="4">
        <v>446</v>
      </c>
      <c r="F87" s="7">
        <f>YEAR(Table1[[#This Row],[Date]])</f>
        <v>2018</v>
      </c>
    </row>
    <row r="88" spans="1:6" ht="15.75" customHeight="1">
      <c r="A88" s="9">
        <v>87</v>
      </c>
      <c r="B88" s="3">
        <v>43201</v>
      </c>
      <c r="C88" s="4" t="s">
        <v>41</v>
      </c>
      <c r="D88" s="5">
        <v>3500</v>
      </c>
      <c r="E88" s="4">
        <v>444</v>
      </c>
      <c r="F88" s="7">
        <f>YEAR(Table1[[#This Row],[Date]])</f>
        <v>2018</v>
      </c>
    </row>
    <row r="89" spans="1:6" ht="15.75" customHeight="1">
      <c r="A89" s="9">
        <v>88</v>
      </c>
      <c r="B89" s="3">
        <v>43215</v>
      </c>
      <c r="C89" s="4" t="s">
        <v>41</v>
      </c>
      <c r="D89" s="5">
        <v>3500</v>
      </c>
      <c r="E89" s="4">
        <v>441</v>
      </c>
      <c r="F89" s="7">
        <f>YEAR(Table1[[#This Row],[Date]])</f>
        <v>2018</v>
      </c>
    </row>
    <row r="90" spans="1:6" ht="15.75" customHeight="1">
      <c r="A90" s="9">
        <v>89</v>
      </c>
      <c r="B90" s="3">
        <v>43229</v>
      </c>
      <c r="C90" s="4" t="s">
        <v>41</v>
      </c>
      <c r="D90" s="5">
        <v>3500</v>
      </c>
      <c r="E90" s="4">
        <v>441</v>
      </c>
      <c r="F90" s="7">
        <f>YEAR(Table1[[#This Row],[Date]])</f>
        <v>2018</v>
      </c>
    </row>
    <row r="91" spans="1:6" ht="15.75" customHeight="1">
      <c r="A91" s="9">
        <v>90</v>
      </c>
      <c r="B91" s="3">
        <v>43243</v>
      </c>
      <c r="C91" s="4" t="s">
        <v>41</v>
      </c>
      <c r="D91" s="5">
        <v>3500</v>
      </c>
      <c r="E91" s="4">
        <v>440</v>
      </c>
      <c r="F91" s="7">
        <f>YEAR(Table1[[#This Row],[Date]])</f>
        <v>2018</v>
      </c>
    </row>
    <row r="92" spans="1:6" ht="15.75" customHeight="1">
      <c r="A92" s="9" t="s">
        <v>45</v>
      </c>
      <c r="B92" s="3">
        <v>43250</v>
      </c>
      <c r="C92" s="4" t="s">
        <v>44</v>
      </c>
      <c r="D92" s="4">
        <v>500</v>
      </c>
      <c r="E92" s="4">
        <v>288</v>
      </c>
      <c r="F92" s="7">
        <f>YEAR(Table1[[#This Row],[Date]])</f>
        <v>2018</v>
      </c>
    </row>
    <row r="93" spans="1:6" ht="15.75" customHeight="1">
      <c r="A93" s="9" t="s">
        <v>46</v>
      </c>
      <c r="B93" s="3">
        <v>43250</v>
      </c>
      <c r="C93" s="4" t="s">
        <v>43</v>
      </c>
      <c r="D93" s="4">
        <v>200</v>
      </c>
      <c r="E93" s="4">
        <v>902</v>
      </c>
      <c r="F93" s="7">
        <f>YEAR(Table1[[#This Row],[Date]])</f>
        <v>2018</v>
      </c>
    </row>
    <row r="94" spans="1:6" ht="15.75" customHeight="1">
      <c r="A94" s="9">
        <v>92</v>
      </c>
      <c r="B94" s="3">
        <v>43264</v>
      </c>
      <c r="C94" s="4" t="s">
        <v>41</v>
      </c>
      <c r="D94" s="5">
        <v>3750</v>
      </c>
      <c r="E94" s="4">
        <v>451</v>
      </c>
      <c r="F94" s="7">
        <f>YEAR(Table1[[#This Row],[Date]])</f>
        <v>2018</v>
      </c>
    </row>
    <row r="95" spans="1:6" ht="15.75" customHeight="1">
      <c r="A95" s="9">
        <v>93</v>
      </c>
      <c r="B95" s="3">
        <v>43276</v>
      </c>
      <c r="C95" s="4" t="s">
        <v>41</v>
      </c>
      <c r="D95" s="5">
        <v>3750</v>
      </c>
      <c r="E95" s="4">
        <v>442</v>
      </c>
      <c r="F95" s="7">
        <f>YEAR(Table1[[#This Row],[Date]])</f>
        <v>2018</v>
      </c>
    </row>
    <row r="96" spans="1:6" ht="15.75" customHeight="1">
      <c r="A96" s="9">
        <v>94</v>
      </c>
      <c r="B96" s="3">
        <v>43292</v>
      </c>
      <c r="C96" s="4" t="s">
        <v>41</v>
      </c>
      <c r="D96" s="5">
        <v>3750</v>
      </c>
      <c r="E96" s="4">
        <v>442</v>
      </c>
      <c r="F96" s="7">
        <f>YEAR(Table1[[#This Row],[Date]])</f>
        <v>2018</v>
      </c>
    </row>
    <row r="97" spans="1:6" ht="15.75" customHeight="1">
      <c r="A97" s="9">
        <v>95</v>
      </c>
      <c r="B97" s="3">
        <v>43306</v>
      </c>
      <c r="C97" s="4" t="s">
        <v>41</v>
      </c>
      <c r="D97" s="5">
        <v>3750</v>
      </c>
      <c r="E97" s="4">
        <v>441</v>
      </c>
      <c r="F97" s="7">
        <f>YEAR(Table1[[#This Row],[Date]])</f>
        <v>2018</v>
      </c>
    </row>
    <row r="98" spans="1:6" ht="15.75" customHeight="1">
      <c r="A98" s="9">
        <v>96</v>
      </c>
      <c r="B98" s="3">
        <v>43320</v>
      </c>
      <c r="C98" s="4" t="s">
        <v>41</v>
      </c>
      <c r="D98" s="5">
        <v>3750</v>
      </c>
      <c r="E98" s="4">
        <v>440</v>
      </c>
      <c r="F98" s="7">
        <f>YEAR(Table1[[#This Row],[Date]])</f>
        <v>2018</v>
      </c>
    </row>
    <row r="99" spans="1:6" ht="15.75" customHeight="1">
      <c r="A99" s="9">
        <v>97</v>
      </c>
      <c r="B99" s="3">
        <v>43334</v>
      </c>
      <c r="C99" s="4" t="s">
        <v>41</v>
      </c>
      <c r="D99" s="5">
        <v>3750</v>
      </c>
      <c r="E99" s="4">
        <v>440</v>
      </c>
      <c r="F99" s="7">
        <f>YEAR(Table1[[#This Row],[Date]])</f>
        <v>2018</v>
      </c>
    </row>
    <row r="100" spans="1:6" ht="15.75" customHeight="1">
      <c r="A100" s="9">
        <v>98</v>
      </c>
      <c r="B100" s="3">
        <v>43348</v>
      </c>
      <c r="C100" s="4" t="s">
        <v>41</v>
      </c>
      <c r="D100" s="5">
        <v>3900</v>
      </c>
      <c r="E100" s="4">
        <v>440</v>
      </c>
      <c r="F100" s="7">
        <f>YEAR(Table1[[#This Row],[Date]])</f>
        <v>2018</v>
      </c>
    </row>
    <row r="101" spans="1:6" ht="15.75" customHeight="1">
      <c r="A101" s="9">
        <v>99</v>
      </c>
      <c r="B101" s="3">
        <v>43362</v>
      </c>
      <c r="C101" s="4" t="s">
        <v>41</v>
      </c>
      <c r="D101" s="5">
        <v>3500</v>
      </c>
      <c r="E101" s="4">
        <v>441</v>
      </c>
      <c r="F101" s="7">
        <f>YEAR(Table1[[#This Row],[Date]])</f>
        <v>2018</v>
      </c>
    </row>
    <row r="102" spans="1:6" ht="15.75" customHeight="1">
      <c r="A102" s="9">
        <v>100</v>
      </c>
      <c r="B102" s="3">
        <v>43367</v>
      </c>
      <c r="C102" s="4" t="s">
        <v>44</v>
      </c>
      <c r="D102" s="4">
        <v>400</v>
      </c>
      <c r="E102" s="4">
        <v>284</v>
      </c>
      <c r="F102" s="7">
        <f>YEAR(Table1[[#This Row],[Date]])</f>
        <v>2018</v>
      </c>
    </row>
    <row r="103" spans="1:6" ht="15.75" customHeight="1">
      <c r="A103" s="9">
        <v>101</v>
      </c>
      <c r="B103" s="3">
        <v>43376</v>
      </c>
      <c r="C103" s="4" t="s">
        <v>41</v>
      </c>
      <c r="D103" s="5">
        <v>3900</v>
      </c>
      <c r="E103" s="4">
        <v>445</v>
      </c>
      <c r="F103" s="7">
        <f>YEAR(Table1[[#This Row],[Date]])</f>
        <v>2018</v>
      </c>
    </row>
    <row r="104" spans="1:6" ht="15.75" customHeight="1">
      <c r="A104" s="9">
        <v>102</v>
      </c>
      <c r="B104" s="3">
        <v>43388</v>
      </c>
      <c r="C104" s="4" t="s">
        <v>41</v>
      </c>
      <c r="D104" s="5">
        <v>3900</v>
      </c>
      <c r="E104" s="4">
        <v>440</v>
      </c>
      <c r="F104" s="7">
        <f>YEAR(Table1[[#This Row],[Date]])</f>
        <v>2018</v>
      </c>
    </row>
    <row r="105" spans="1:6" ht="15.75" customHeight="1">
      <c r="A105" s="9">
        <v>103</v>
      </c>
      <c r="B105" s="3">
        <v>43402</v>
      </c>
      <c r="C105" s="4" t="s">
        <v>41</v>
      </c>
      <c r="D105" s="5">
        <v>3900</v>
      </c>
      <c r="E105" s="4">
        <v>442</v>
      </c>
      <c r="F105" s="7">
        <f>YEAR(Table1[[#This Row],[Date]])</f>
        <v>2018</v>
      </c>
    </row>
    <row r="106" spans="1:6" ht="15.75" customHeight="1">
      <c r="A106" s="9">
        <v>104</v>
      </c>
      <c r="B106" s="3">
        <v>43418</v>
      </c>
      <c r="C106" s="4" t="s">
        <v>41</v>
      </c>
      <c r="D106" s="5">
        <v>3900</v>
      </c>
      <c r="E106" s="4">
        <v>449</v>
      </c>
      <c r="F106" s="7">
        <f>YEAR(Table1[[#This Row],[Date]])</f>
        <v>2018</v>
      </c>
    </row>
    <row r="107" spans="1:6" ht="15.75" customHeight="1">
      <c r="A107" s="9">
        <v>105</v>
      </c>
      <c r="B107" s="3">
        <v>43432</v>
      </c>
      <c r="C107" s="4" t="s">
        <v>41</v>
      </c>
      <c r="D107" s="5">
        <v>3900</v>
      </c>
      <c r="E107" s="4">
        <v>445</v>
      </c>
      <c r="F107" s="7">
        <f>YEAR(Table1[[#This Row],[Date]])</f>
        <v>2018</v>
      </c>
    </row>
    <row r="108" spans="1:6" ht="15.75" customHeight="1">
      <c r="A108" s="9">
        <v>106</v>
      </c>
      <c r="B108" s="3">
        <v>43446</v>
      </c>
      <c r="C108" s="4" t="s">
        <v>41</v>
      </c>
      <c r="D108" s="5">
        <v>3900</v>
      </c>
      <c r="E108" s="4">
        <v>445</v>
      </c>
      <c r="F108" s="7">
        <f>YEAR(Table1[[#This Row],[Date]])</f>
        <v>2018</v>
      </c>
    </row>
    <row r="109" spans="1:6" ht="15.75" customHeight="1">
      <c r="A109" s="9">
        <v>107</v>
      </c>
      <c r="B109" s="3">
        <v>43453</v>
      </c>
      <c r="C109" s="4" t="s">
        <v>41</v>
      </c>
      <c r="D109" s="5">
        <v>3900</v>
      </c>
      <c r="E109" s="4">
        <v>439</v>
      </c>
      <c r="F109" s="7">
        <f>YEAR(Table1[[#This Row],[Date]])</f>
        <v>2018</v>
      </c>
    </row>
    <row r="110" spans="1:6" ht="15.75" customHeight="1">
      <c r="A110" s="9">
        <v>108</v>
      </c>
      <c r="B110" s="3">
        <v>43474</v>
      </c>
      <c r="C110" s="4" t="s">
        <v>41</v>
      </c>
      <c r="D110" s="5">
        <v>3900</v>
      </c>
      <c r="E110" s="4">
        <v>449</v>
      </c>
      <c r="F110" s="7">
        <f>YEAR(Table1[[#This Row],[Date]])</f>
        <v>2019</v>
      </c>
    </row>
    <row r="111" spans="1:6" ht="15.75" customHeight="1">
      <c r="A111" s="9">
        <v>109</v>
      </c>
      <c r="B111" s="3">
        <v>43488</v>
      </c>
      <c r="C111" s="4" t="s">
        <v>41</v>
      </c>
      <c r="D111" s="5">
        <v>3900</v>
      </c>
      <c r="E111" s="4">
        <v>443</v>
      </c>
      <c r="F111" s="7">
        <f>YEAR(Table1[[#This Row],[Date]])</f>
        <v>2019</v>
      </c>
    </row>
    <row r="112" spans="1:6" ht="15.75" customHeight="1">
      <c r="A112" s="9">
        <v>110</v>
      </c>
      <c r="B112" s="3">
        <v>43495</v>
      </c>
      <c r="C112" s="4" t="s">
        <v>41</v>
      </c>
      <c r="D112" s="5">
        <v>3350</v>
      </c>
      <c r="E112" s="4">
        <v>438</v>
      </c>
      <c r="F112" s="7">
        <f>YEAR(Table1[[#This Row],[Date]])</f>
        <v>2019</v>
      </c>
    </row>
    <row r="113" spans="1:6" ht="15.75" customHeight="1">
      <c r="A113" s="9">
        <v>111</v>
      </c>
      <c r="B113" s="3">
        <v>43516</v>
      </c>
      <c r="C113" s="4" t="s">
        <v>41</v>
      </c>
      <c r="D113" s="5">
        <v>3350</v>
      </c>
      <c r="E113" s="4">
        <v>457</v>
      </c>
      <c r="F113" s="7">
        <f>YEAR(Table1[[#This Row],[Date]])</f>
        <v>2019</v>
      </c>
    </row>
    <row r="114" spans="1:6" ht="15.75" customHeight="1">
      <c r="A114" s="9">
        <v>112</v>
      </c>
      <c r="B114" s="3">
        <v>43530</v>
      </c>
      <c r="C114" s="4" t="s">
        <v>41</v>
      </c>
      <c r="D114" s="5">
        <v>3350</v>
      </c>
      <c r="E114" s="4">
        <v>454</v>
      </c>
      <c r="F114" s="7">
        <f>YEAR(Table1[[#This Row],[Date]])</f>
        <v>2019</v>
      </c>
    </row>
    <row r="115" spans="1:6" ht="15.75" customHeight="1">
      <c r="A115" s="9">
        <v>113</v>
      </c>
      <c r="B115" s="3">
        <v>43544</v>
      </c>
      <c r="C115" s="4" t="s">
        <v>41</v>
      </c>
      <c r="D115" s="5">
        <v>3350</v>
      </c>
      <c r="E115" s="4">
        <v>452</v>
      </c>
      <c r="F115" s="7">
        <f>YEAR(Table1[[#This Row],[Date]])</f>
        <v>2019</v>
      </c>
    </row>
    <row r="116" spans="1:6" ht="15.75" customHeight="1">
      <c r="A116" s="9">
        <v>114</v>
      </c>
      <c r="B116" s="3">
        <v>43558</v>
      </c>
      <c r="C116" s="4" t="s">
        <v>41</v>
      </c>
      <c r="D116" s="5">
        <v>3350</v>
      </c>
      <c r="E116" s="4">
        <v>451</v>
      </c>
      <c r="F116" s="7">
        <f>YEAR(Table1[[#This Row],[Date]])</f>
        <v>2019</v>
      </c>
    </row>
    <row r="117" spans="1:6" ht="15.75" customHeight="1">
      <c r="A117" s="9">
        <v>115</v>
      </c>
      <c r="B117" s="3">
        <v>43572</v>
      </c>
      <c r="C117" s="4" t="s">
        <v>41</v>
      </c>
      <c r="D117" s="5">
        <v>3350</v>
      </c>
      <c r="E117" s="4">
        <v>451</v>
      </c>
      <c r="F117" s="7">
        <f>YEAR(Table1[[#This Row],[Date]])</f>
        <v>2019</v>
      </c>
    </row>
    <row r="118" spans="1:6" ht="15.75" customHeight="1">
      <c r="A118" s="9">
        <v>116</v>
      </c>
      <c r="B118" s="3">
        <v>43586</v>
      </c>
      <c r="C118" s="4" t="s">
        <v>41</v>
      </c>
      <c r="D118" s="5">
        <v>3350</v>
      </c>
      <c r="E118" s="4">
        <v>450</v>
      </c>
      <c r="F118" s="7">
        <f>YEAR(Table1[[#This Row],[Date]])</f>
        <v>2019</v>
      </c>
    </row>
    <row r="119" spans="1:6" ht="15.75" customHeight="1">
      <c r="A119" s="9">
        <v>117</v>
      </c>
      <c r="B119" s="3">
        <v>43600</v>
      </c>
      <c r="C119" s="4" t="s">
        <v>44</v>
      </c>
      <c r="D119" s="4">
        <v>500</v>
      </c>
      <c r="E119" s="4">
        <v>332</v>
      </c>
      <c r="F119" s="7">
        <f>YEAR(Table1[[#This Row],[Date]])</f>
        <v>2019</v>
      </c>
    </row>
    <row r="120" spans="1:6" ht="15.75" customHeight="1">
      <c r="A120" s="9">
        <v>118</v>
      </c>
      <c r="B120" s="3">
        <v>43614</v>
      </c>
      <c r="C120" s="4" t="s">
        <v>41</v>
      </c>
      <c r="D120" s="5">
        <v>3350</v>
      </c>
      <c r="E120" s="4">
        <v>470</v>
      </c>
      <c r="F120" s="7">
        <f>YEAR(Table1[[#This Row],[Date]])</f>
        <v>2019</v>
      </c>
    </row>
    <row r="121" spans="1:6" ht="15.75" customHeight="1">
      <c r="A121" s="9">
        <v>119</v>
      </c>
      <c r="B121" s="3">
        <v>43628</v>
      </c>
      <c r="C121" s="4" t="s">
        <v>41</v>
      </c>
      <c r="D121" s="5">
        <v>3350</v>
      </c>
      <c r="E121" s="4">
        <v>465</v>
      </c>
      <c r="F121" s="7">
        <f>YEAR(Table1[[#This Row],[Date]])</f>
        <v>2019</v>
      </c>
    </row>
    <row r="122" spans="1:6" ht="15.75" customHeight="1">
      <c r="A122" s="9">
        <v>120</v>
      </c>
      <c r="B122" s="3">
        <v>43642</v>
      </c>
      <c r="C122" s="4" t="s">
        <v>41</v>
      </c>
      <c r="D122" s="5">
        <v>3350</v>
      </c>
      <c r="E122" s="4">
        <v>462</v>
      </c>
      <c r="F122" s="7">
        <f>YEAR(Table1[[#This Row],[Date]])</f>
        <v>2019</v>
      </c>
    </row>
    <row r="123" spans="1:6" ht="15.75" customHeight="1">
      <c r="A123" s="9">
        <v>121</v>
      </c>
      <c r="B123" s="3">
        <v>43656</v>
      </c>
      <c r="C123" s="4" t="s">
        <v>41</v>
      </c>
      <c r="D123" s="5">
        <v>3600</v>
      </c>
      <c r="E123" s="4">
        <v>460</v>
      </c>
      <c r="F123" s="7">
        <f>YEAR(Table1[[#This Row],[Date]])</f>
        <v>2019</v>
      </c>
    </row>
    <row r="124" spans="1:6" ht="15.75" customHeight="1">
      <c r="A124" s="9">
        <v>122</v>
      </c>
      <c r="B124" s="3">
        <v>43670</v>
      </c>
      <c r="C124" s="4" t="s">
        <v>41</v>
      </c>
      <c r="D124" s="5">
        <v>3600</v>
      </c>
      <c r="E124" s="4">
        <v>459</v>
      </c>
      <c r="F124" s="7">
        <f>YEAR(Table1[[#This Row],[Date]])</f>
        <v>2019</v>
      </c>
    </row>
    <row r="125" spans="1:6" ht="15.75" customHeight="1">
      <c r="A125" s="9">
        <v>123</v>
      </c>
      <c r="B125" s="3">
        <v>43689</v>
      </c>
      <c r="C125" s="4" t="s">
        <v>41</v>
      </c>
      <c r="D125" s="5">
        <v>3600</v>
      </c>
      <c r="E125" s="4">
        <v>466</v>
      </c>
      <c r="F125" s="7">
        <f>YEAR(Table1[[#This Row],[Date]])</f>
        <v>2019</v>
      </c>
    </row>
    <row r="126" spans="1:6" ht="15.75" customHeight="1">
      <c r="A126" s="9">
        <v>124</v>
      </c>
      <c r="B126" s="3">
        <v>43697</v>
      </c>
      <c r="C126" s="4" t="s">
        <v>41</v>
      </c>
      <c r="D126" s="5">
        <v>3600</v>
      </c>
      <c r="E126" s="4">
        <v>457</v>
      </c>
      <c r="F126" s="7">
        <f>YEAR(Table1[[#This Row],[Date]])</f>
        <v>2019</v>
      </c>
    </row>
    <row r="127" spans="1:6" ht="15.75" customHeight="1">
      <c r="A127" s="9">
        <v>125</v>
      </c>
      <c r="B127" s="3">
        <v>43712</v>
      </c>
      <c r="C127" s="4" t="s">
        <v>41</v>
      </c>
      <c r="D127" s="5">
        <v>3600</v>
      </c>
      <c r="E127" s="4">
        <v>463</v>
      </c>
      <c r="F127" s="7">
        <f>YEAR(Table1[[#This Row],[Date]])</f>
        <v>2019</v>
      </c>
    </row>
    <row r="128" spans="1:6" ht="15.75" customHeight="1">
      <c r="A128" s="9">
        <v>126</v>
      </c>
      <c r="B128" s="3">
        <v>43726</v>
      </c>
      <c r="C128" s="4" t="s">
        <v>41</v>
      </c>
      <c r="D128" s="5">
        <v>3600</v>
      </c>
      <c r="E128" s="4">
        <v>462</v>
      </c>
      <c r="F128" s="7">
        <f>YEAR(Table1[[#This Row],[Date]])</f>
        <v>2019</v>
      </c>
    </row>
    <row r="129" spans="1:6" ht="15.75" customHeight="1">
      <c r="A129" s="9">
        <v>127</v>
      </c>
      <c r="B129" s="3">
        <v>43740</v>
      </c>
      <c r="C129" s="4" t="s">
        <v>41</v>
      </c>
      <c r="D129" s="5">
        <v>3900</v>
      </c>
      <c r="E129" s="4">
        <v>464</v>
      </c>
      <c r="F129" s="7">
        <f>YEAR(Table1[[#This Row],[Date]])</f>
        <v>2019</v>
      </c>
    </row>
    <row r="130" spans="1:6" ht="15.75" customHeight="1">
      <c r="A130" s="9">
        <v>128</v>
      </c>
      <c r="B130" s="3">
        <v>43754</v>
      </c>
      <c r="C130" s="4" t="s">
        <v>44</v>
      </c>
      <c r="D130" s="4">
        <v>500</v>
      </c>
      <c r="E130" s="4">
        <v>357</v>
      </c>
      <c r="F130" s="7">
        <f>YEAR(Table1[[#This Row],[Date]])</f>
        <v>2019</v>
      </c>
    </row>
    <row r="131" spans="1:6" ht="15.75" customHeight="1">
      <c r="A131" s="9">
        <v>129</v>
      </c>
      <c r="B131" s="3">
        <v>43768</v>
      </c>
      <c r="C131" s="4" t="s">
        <v>41</v>
      </c>
      <c r="D131" s="5">
        <v>3900</v>
      </c>
      <c r="E131" s="4">
        <v>475</v>
      </c>
      <c r="F131" s="7">
        <f>YEAR(Table1[[#This Row],[Date]])</f>
        <v>2019</v>
      </c>
    </row>
    <row r="132" spans="1:6" ht="15.75" customHeight="1">
      <c r="A132" s="9">
        <v>130</v>
      </c>
      <c r="B132" s="3">
        <v>43782</v>
      </c>
      <c r="C132" s="4" t="s">
        <v>41</v>
      </c>
      <c r="D132" s="5">
        <v>3600</v>
      </c>
      <c r="E132" s="4">
        <v>472</v>
      </c>
      <c r="F132" s="7">
        <f>YEAR(Table1[[#This Row],[Date]])</f>
        <v>2019</v>
      </c>
    </row>
    <row r="133" spans="1:6" ht="15.75" customHeight="1">
      <c r="A133" s="9">
        <v>131</v>
      </c>
      <c r="B133" s="3">
        <v>43796</v>
      </c>
      <c r="C133" s="4" t="s">
        <v>41</v>
      </c>
      <c r="D133" s="5">
        <v>3600</v>
      </c>
      <c r="E133" s="4">
        <v>471</v>
      </c>
      <c r="F133" s="7">
        <f>YEAR(Table1[[#This Row],[Date]])</f>
        <v>2019</v>
      </c>
    </row>
    <row r="134" spans="1:6" ht="15.75" customHeight="1">
      <c r="A134" s="9">
        <v>132</v>
      </c>
      <c r="B134" s="3">
        <v>43810</v>
      </c>
      <c r="C134" s="4" t="s">
        <v>41</v>
      </c>
      <c r="D134" s="5">
        <v>3200</v>
      </c>
      <c r="E134" s="4">
        <v>472</v>
      </c>
      <c r="F134" s="7">
        <f>YEAR(Table1[[#This Row],[Date]])</f>
        <v>2019</v>
      </c>
    </row>
    <row r="135" spans="1:6" ht="15.75" customHeight="1">
      <c r="A135" s="9">
        <v>133</v>
      </c>
      <c r="B135" s="3">
        <v>43818</v>
      </c>
      <c r="C135" s="4" t="s">
        <v>41</v>
      </c>
      <c r="D135" s="5">
        <v>3200</v>
      </c>
      <c r="E135" s="4">
        <v>469</v>
      </c>
      <c r="F135" s="7">
        <f>YEAR(Table1[[#This Row],[Date]])</f>
        <v>2019</v>
      </c>
    </row>
    <row r="136" spans="1:6" ht="15.75" customHeight="1">
      <c r="A136" s="9">
        <v>134</v>
      </c>
      <c r="B136" s="3">
        <v>43838</v>
      </c>
      <c r="C136" s="4" t="s">
        <v>41</v>
      </c>
      <c r="D136" s="5">
        <v>3400</v>
      </c>
      <c r="E136" s="4">
        <v>473</v>
      </c>
      <c r="F136" s="7">
        <f>YEAR(Table1[[#This Row],[Date]])</f>
        <v>2020</v>
      </c>
    </row>
    <row r="137" spans="1:6" ht="15.75" customHeight="1">
      <c r="A137" s="9">
        <v>135</v>
      </c>
      <c r="B137" s="3">
        <v>43852</v>
      </c>
      <c r="C137" s="4" t="s">
        <v>41</v>
      </c>
      <c r="D137" s="5">
        <v>3400</v>
      </c>
      <c r="E137" s="4">
        <v>471</v>
      </c>
      <c r="F137" s="7">
        <f>YEAR(Table1[[#This Row],[Date]])</f>
        <v>2020</v>
      </c>
    </row>
    <row r="138" spans="1:6" ht="15.75" customHeight="1">
      <c r="A138" s="9">
        <v>136</v>
      </c>
      <c r="B138" s="3">
        <v>43866</v>
      </c>
      <c r="C138" s="4" t="s">
        <v>41</v>
      </c>
      <c r="D138" s="5">
        <v>3500</v>
      </c>
      <c r="E138" s="4">
        <v>472</v>
      </c>
      <c r="F138" s="7">
        <f>YEAR(Table1[[#This Row],[Date]])</f>
        <v>2020</v>
      </c>
    </row>
    <row r="139" spans="1:6" ht="15.75" customHeight="1">
      <c r="A139" s="9">
        <v>137</v>
      </c>
      <c r="B139" s="3">
        <v>43880</v>
      </c>
      <c r="C139" s="4" t="s">
        <v>41</v>
      </c>
      <c r="D139" s="5">
        <v>4500</v>
      </c>
      <c r="E139" s="4">
        <v>470</v>
      </c>
      <c r="F139" s="7">
        <f>YEAR(Table1[[#This Row],[Date]])</f>
        <v>2020</v>
      </c>
    </row>
    <row r="140" spans="1:6" ht="15.75" customHeight="1">
      <c r="A140" s="9">
        <v>138</v>
      </c>
      <c r="B140" s="3">
        <v>43894</v>
      </c>
      <c r="C140" s="4" t="s">
        <v>41</v>
      </c>
      <c r="D140" s="5">
        <v>3900</v>
      </c>
      <c r="E140" s="4">
        <v>471</v>
      </c>
      <c r="F140" s="7">
        <f>YEAR(Table1[[#This Row],[Date]])</f>
        <v>2020</v>
      </c>
    </row>
    <row r="141" spans="1:6" ht="15.75" customHeight="1">
      <c r="A141" s="9">
        <v>139</v>
      </c>
      <c r="B141" s="3">
        <v>43908</v>
      </c>
      <c r="C141" s="4" t="s">
        <v>43</v>
      </c>
      <c r="D141" s="4">
        <v>668</v>
      </c>
      <c r="E141" s="4">
        <v>720</v>
      </c>
      <c r="F141" s="7">
        <f>YEAR(Table1[[#This Row],[Date]])</f>
        <v>2020</v>
      </c>
    </row>
    <row r="142" spans="1:6" ht="15.75" customHeight="1">
      <c r="A142" s="9">
        <v>140</v>
      </c>
      <c r="B142" s="3">
        <v>43913</v>
      </c>
      <c r="C142" s="4" t="s">
        <v>42</v>
      </c>
      <c r="D142" s="5">
        <v>3232</v>
      </c>
      <c r="E142" s="4">
        <v>467</v>
      </c>
      <c r="F142" s="7">
        <f>YEAR(Table1[[#This Row],[Date]])</f>
        <v>2020</v>
      </c>
    </row>
    <row r="143" spans="1:6" ht="15.75" customHeight="1">
      <c r="A143" s="9">
        <v>141</v>
      </c>
      <c r="B143" s="3">
        <v>43930</v>
      </c>
      <c r="C143" s="4" t="s">
        <v>43</v>
      </c>
      <c r="D143" s="4">
        <v>606</v>
      </c>
      <c r="E143" s="4">
        <v>698</v>
      </c>
      <c r="F143" s="7">
        <f>YEAR(Table1[[#This Row],[Date]])</f>
        <v>2020</v>
      </c>
    </row>
    <row r="144" spans="1:6" ht="15.75" customHeight="1">
      <c r="A144" s="9">
        <v>142</v>
      </c>
      <c r="B144" s="3">
        <v>43930</v>
      </c>
      <c r="C144" s="4" t="s">
        <v>42</v>
      </c>
      <c r="D144" s="5">
        <v>3294</v>
      </c>
      <c r="E144" s="4">
        <v>464</v>
      </c>
      <c r="F144" s="7">
        <f>YEAR(Table1[[#This Row],[Date]])</f>
        <v>2020</v>
      </c>
    </row>
    <row r="145" spans="1:6" ht="15.75" customHeight="1">
      <c r="A145" s="9">
        <v>143</v>
      </c>
      <c r="B145" s="3">
        <v>43936</v>
      </c>
      <c r="C145" s="4" t="s">
        <v>43</v>
      </c>
      <c r="D145" s="4">
        <v>118</v>
      </c>
      <c r="E145" s="4">
        <v>808</v>
      </c>
      <c r="F145" s="7">
        <f>YEAR(Table1[[#This Row],[Date]])</f>
        <v>2020</v>
      </c>
    </row>
    <row r="146" spans="1:6" ht="15.75" customHeight="1">
      <c r="A146" s="9">
        <v>144</v>
      </c>
      <c r="B146" s="3">
        <v>43937</v>
      </c>
      <c r="C146" s="4" t="s">
        <v>42</v>
      </c>
      <c r="D146" s="5">
        <v>3782</v>
      </c>
      <c r="E146" s="4">
        <v>455</v>
      </c>
      <c r="F146" s="7">
        <f>YEAR(Table1[[#This Row],[Date]])</f>
        <v>2020</v>
      </c>
    </row>
    <row r="147" spans="1:6" ht="15.75" customHeight="1">
      <c r="A147" s="9">
        <v>145</v>
      </c>
      <c r="B147" s="3">
        <v>43950</v>
      </c>
      <c r="C147" s="4" t="s">
        <v>43</v>
      </c>
      <c r="D147" s="4">
        <v>589</v>
      </c>
      <c r="E147" s="4">
        <v>692</v>
      </c>
      <c r="F147" s="7">
        <f>YEAR(Table1[[#This Row],[Date]])</f>
        <v>2020</v>
      </c>
    </row>
    <row r="148" spans="1:6" ht="15.75" customHeight="1">
      <c r="A148" s="9">
        <v>146</v>
      </c>
      <c r="B148" s="3">
        <v>43951</v>
      </c>
      <c r="C148" s="4" t="s">
        <v>42</v>
      </c>
      <c r="D148" s="5">
        <v>3311</v>
      </c>
      <c r="E148" s="4">
        <v>452</v>
      </c>
      <c r="F148" s="7">
        <f>YEAR(Table1[[#This Row],[Date]])</f>
        <v>2020</v>
      </c>
    </row>
    <row r="149" spans="1:6" ht="15.75" customHeight="1">
      <c r="A149" s="9">
        <v>147</v>
      </c>
      <c r="B149" s="3">
        <v>43964</v>
      </c>
      <c r="C149" s="4" t="s">
        <v>43</v>
      </c>
      <c r="D149" s="4">
        <v>529</v>
      </c>
      <c r="E149" s="4">
        <v>718</v>
      </c>
      <c r="F149" s="7">
        <f>YEAR(Table1[[#This Row],[Date]])</f>
        <v>2020</v>
      </c>
    </row>
    <row r="150" spans="1:6" ht="15.75" customHeight="1">
      <c r="A150" s="9">
        <v>148</v>
      </c>
      <c r="B150" s="3">
        <v>43965</v>
      </c>
      <c r="C150" s="4" t="s">
        <v>42</v>
      </c>
      <c r="D150" s="5">
        <v>3371</v>
      </c>
      <c r="E150" s="4">
        <v>447</v>
      </c>
      <c r="F150" s="7">
        <f>YEAR(Table1[[#This Row],[Date]])</f>
        <v>2020</v>
      </c>
    </row>
    <row r="151" spans="1:6" ht="15.75" customHeight="1">
      <c r="A151" s="9">
        <v>149</v>
      </c>
      <c r="B151" s="3">
        <v>43978</v>
      </c>
      <c r="C151" s="4" t="s">
        <v>43</v>
      </c>
      <c r="D151" s="4">
        <v>385</v>
      </c>
      <c r="E151" s="4">
        <v>757</v>
      </c>
      <c r="F151" s="7">
        <f>YEAR(Table1[[#This Row],[Date]])</f>
        <v>2020</v>
      </c>
    </row>
    <row r="152" spans="1:6" ht="15.75" customHeight="1">
      <c r="A152" s="9">
        <v>150</v>
      </c>
      <c r="B152" s="3">
        <v>43979</v>
      </c>
      <c r="C152" s="4" t="s">
        <v>42</v>
      </c>
      <c r="D152" s="5">
        <v>3515</v>
      </c>
      <c r="E152" s="4">
        <v>440</v>
      </c>
      <c r="F152" s="7">
        <f>YEAR(Table1[[#This Row],[Date]])</f>
        <v>2020</v>
      </c>
    </row>
    <row r="153" spans="1:6" ht="15.75" customHeight="1">
      <c r="A153" s="9">
        <v>151</v>
      </c>
      <c r="B153" s="3">
        <v>43992</v>
      </c>
      <c r="C153" s="4" t="s">
        <v>43</v>
      </c>
      <c r="D153" s="4">
        <v>341</v>
      </c>
      <c r="E153" s="4">
        <v>743</v>
      </c>
      <c r="F153" s="7">
        <f>YEAR(Table1[[#This Row],[Date]])</f>
        <v>2020</v>
      </c>
    </row>
    <row r="154" spans="1:6" ht="15.75" customHeight="1">
      <c r="A154" s="9">
        <v>152</v>
      </c>
      <c r="B154" s="3">
        <v>43993</v>
      </c>
      <c r="C154" s="4" t="s">
        <v>42</v>
      </c>
      <c r="D154" s="5">
        <v>3559</v>
      </c>
      <c r="E154" s="4">
        <v>437</v>
      </c>
      <c r="F154" s="7">
        <f>YEAR(Table1[[#This Row],[Date]])</f>
        <v>2020</v>
      </c>
    </row>
    <row r="155" spans="1:6" ht="15.75" customHeight="1">
      <c r="A155" s="9">
        <v>153</v>
      </c>
      <c r="B155" s="3">
        <v>44006</v>
      </c>
      <c r="C155" s="4" t="s">
        <v>43</v>
      </c>
      <c r="D155" s="4">
        <v>392</v>
      </c>
      <c r="E155" s="4">
        <v>696</v>
      </c>
      <c r="F155" s="7">
        <f>YEAR(Table1[[#This Row],[Date]])</f>
        <v>2020</v>
      </c>
    </row>
    <row r="156" spans="1:6" ht="15.75" customHeight="1">
      <c r="A156" s="9">
        <v>154</v>
      </c>
      <c r="B156" s="3">
        <v>44007</v>
      </c>
      <c r="C156" s="4" t="s">
        <v>42</v>
      </c>
      <c r="D156" s="5">
        <v>3508</v>
      </c>
      <c r="E156" s="4">
        <v>431</v>
      </c>
      <c r="F156" s="7">
        <f>YEAR(Table1[[#This Row],[Date]])</f>
        <v>2020</v>
      </c>
    </row>
    <row r="157" spans="1:6" ht="15.75" customHeight="1">
      <c r="A157" s="9">
        <v>155</v>
      </c>
      <c r="B157" s="3">
        <v>44020</v>
      </c>
      <c r="C157" s="4" t="s">
        <v>41</v>
      </c>
      <c r="D157" s="5">
        <v>3900</v>
      </c>
      <c r="E157" s="4">
        <v>478</v>
      </c>
      <c r="F157" s="7">
        <f>YEAR(Table1[[#This Row],[Date]])</f>
        <v>2020</v>
      </c>
    </row>
    <row r="158" spans="1:6" ht="15.75" customHeight="1">
      <c r="A158" s="9">
        <v>156</v>
      </c>
      <c r="B158" s="3">
        <v>44034</v>
      </c>
      <c r="C158" s="4" t="s">
        <v>43</v>
      </c>
      <c r="D158" s="4">
        <v>557</v>
      </c>
      <c r="E158" s="4">
        <v>687</v>
      </c>
      <c r="F158" s="7">
        <f>YEAR(Table1[[#This Row],[Date]])</f>
        <v>2020</v>
      </c>
    </row>
    <row r="159" spans="1:6" ht="15.75" customHeight="1">
      <c r="A159" s="9">
        <v>157</v>
      </c>
      <c r="B159" s="3">
        <v>44035</v>
      </c>
      <c r="C159" s="4" t="s">
        <v>42</v>
      </c>
      <c r="D159" s="5">
        <v>3343</v>
      </c>
      <c r="E159" s="4">
        <v>445</v>
      </c>
      <c r="F159" s="7">
        <f>YEAR(Table1[[#This Row],[Date]])</f>
        <v>2020</v>
      </c>
    </row>
    <row r="160" spans="1:6" ht="15.75" customHeight="1">
      <c r="A160" s="9">
        <v>158</v>
      </c>
      <c r="B160" s="3">
        <v>44048</v>
      </c>
      <c r="C160" s="4" t="s">
        <v>41</v>
      </c>
      <c r="D160" s="5">
        <v>3900</v>
      </c>
      <c r="E160" s="4">
        <v>476</v>
      </c>
      <c r="F160" s="7">
        <f>YEAR(Table1[[#This Row],[Date]])</f>
        <v>2020</v>
      </c>
    </row>
    <row r="161" spans="1:6" ht="15.75" customHeight="1">
      <c r="A161" s="9">
        <v>159</v>
      </c>
      <c r="B161" s="3">
        <v>44049</v>
      </c>
      <c r="C161" s="4" t="s">
        <v>44</v>
      </c>
      <c r="D161" s="4">
        <v>250</v>
      </c>
      <c r="E161" s="4">
        <v>415</v>
      </c>
      <c r="F161" s="7">
        <f>YEAR(Table1[[#This Row],[Date]])</f>
        <v>2020</v>
      </c>
    </row>
    <row r="162" spans="1:6" ht="15.75" customHeight="1">
      <c r="A162" s="9">
        <v>160</v>
      </c>
      <c r="B162" s="3">
        <v>44062</v>
      </c>
      <c r="C162" s="4" t="s">
        <v>43</v>
      </c>
      <c r="D162" s="4">
        <v>600</v>
      </c>
      <c r="E162" s="4">
        <v>771</v>
      </c>
      <c r="F162" s="7">
        <f>YEAR(Table1[[#This Row],[Date]])</f>
        <v>2020</v>
      </c>
    </row>
    <row r="163" spans="1:6" ht="15.75" customHeight="1">
      <c r="A163" s="9">
        <v>161</v>
      </c>
      <c r="B163" s="3">
        <v>44063</v>
      </c>
      <c r="C163" s="4" t="s">
        <v>42</v>
      </c>
      <c r="D163" s="5">
        <v>3300</v>
      </c>
      <c r="E163" s="4">
        <v>454</v>
      </c>
      <c r="F163" s="7">
        <f>YEAR(Table1[[#This Row],[Date]])</f>
        <v>2020</v>
      </c>
    </row>
    <row r="164" spans="1:6" ht="15.75" customHeight="1">
      <c r="A164" s="9">
        <v>162</v>
      </c>
      <c r="B164" s="3">
        <v>44076</v>
      </c>
      <c r="C164" s="4" t="s">
        <v>41</v>
      </c>
      <c r="D164" s="5">
        <v>4200</v>
      </c>
      <c r="E164" s="4">
        <v>475</v>
      </c>
      <c r="F164" s="7">
        <f>YEAR(Table1[[#This Row],[Date]])</f>
        <v>2020</v>
      </c>
    </row>
    <row r="165" spans="1:6" ht="15.75" customHeight="1">
      <c r="A165" s="9">
        <v>163</v>
      </c>
      <c r="B165" s="3">
        <v>44090</v>
      </c>
      <c r="C165" s="4" t="s">
        <v>41</v>
      </c>
      <c r="D165" s="5">
        <v>4200</v>
      </c>
      <c r="E165" s="4">
        <v>472</v>
      </c>
      <c r="F165" s="7">
        <f>YEAR(Table1[[#This Row],[Date]])</f>
        <v>2020</v>
      </c>
    </row>
    <row r="166" spans="1:6" ht="15.75" customHeight="1">
      <c r="A166" s="9">
        <v>164</v>
      </c>
      <c r="B166" s="3">
        <v>44104</v>
      </c>
      <c r="C166" s="4" t="s">
        <v>41</v>
      </c>
      <c r="D166" s="5">
        <v>4200</v>
      </c>
      <c r="E166" s="4">
        <v>471</v>
      </c>
      <c r="F166" s="7">
        <f>YEAR(Table1[[#This Row],[Date]])</f>
        <v>2020</v>
      </c>
    </row>
    <row r="167" spans="1:6" ht="15.75" customHeight="1">
      <c r="A167" s="9">
        <v>165</v>
      </c>
      <c r="B167" s="3">
        <v>44118</v>
      </c>
      <c r="C167" s="4" t="s">
        <v>41</v>
      </c>
      <c r="D167" s="5">
        <v>4500</v>
      </c>
      <c r="E167" s="4">
        <v>471</v>
      </c>
      <c r="F167" s="7">
        <f>YEAR(Table1[[#This Row],[Date]])</f>
        <v>2020</v>
      </c>
    </row>
    <row r="168" spans="1:6" ht="15.75" customHeight="1">
      <c r="A168" s="9">
        <v>166</v>
      </c>
      <c r="B168" s="3">
        <v>44140</v>
      </c>
      <c r="C168" s="4" t="s">
        <v>41</v>
      </c>
      <c r="D168" s="5">
        <v>4500</v>
      </c>
      <c r="E168" s="4">
        <v>478</v>
      </c>
      <c r="F168" s="7">
        <f>YEAR(Table1[[#This Row],[Date]])</f>
        <v>2020</v>
      </c>
    </row>
    <row r="169" spans="1:6" ht="15.75" customHeight="1">
      <c r="A169" s="9">
        <v>167</v>
      </c>
      <c r="B169" s="3">
        <v>44153</v>
      </c>
      <c r="C169" s="4" t="s">
        <v>41</v>
      </c>
      <c r="D169" s="5">
        <v>5000</v>
      </c>
      <c r="E169" s="4">
        <v>472</v>
      </c>
      <c r="F169" s="7">
        <f>YEAR(Table1[[#This Row],[Date]])</f>
        <v>2020</v>
      </c>
    </row>
    <row r="170" spans="1:6" ht="15.75" customHeight="1">
      <c r="A170" s="9">
        <v>168</v>
      </c>
      <c r="B170" s="3">
        <v>44160</v>
      </c>
      <c r="C170" s="4" t="s">
        <v>41</v>
      </c>
      <c r="D170" s="5">
        <v>5000</v>
      </c>
      <c r="E170" s="4">
        <v>469</v>
      </c>
      <c r="F170" s="7">
        <f>YEAR(Table1[[#This Row],[Date]])</f>
        <v>2020</v>
      </c>
    </row>
    <row r="171" spans="1:6" ht="15.75" customHeight="1">
      <c r="A171" s="9">
        <v>169</v>
      </c>
      <c r="B171" s="3">
        <v>44174</v>
      </c>
      <c r="C171" s="4" t="s">
        <v>41</v>
      </c>
      <c r="D171" s="5">
        <v>5000</v>
      </c>
      <c r="E171" s="4">
        <v>469</v>
      </c>
      <c r="F171" s="7">
        <f>YEAR(Table1[[#This Row],[Date]])</f>
        <v>2020</v>
      </c>
    </row>
    <row r="172" spans="1:6" ht="15.75" customHeight="1">
      <c r="A172" s="9">
        <v>170</v>
      </c>
      <c r="B172" s="3">
        <v>44188</v>
      </c>
      <c r="C172" s="4" t="s">
        <v>41</v>
      </c>
      <c r="D172" s="5">
        <v>5000</v>
      </c>
      <c r="E172" s="4">
        <v>468</v>
      </c>
      <c r="F172" s="7">
        <f>YEAR(Table1[[#This Row],[Date]])</f>
        <v>2020</v>
      </c>
    </row>
    <row r="173" spans="1:6" ht="15.75" customHeight="1">
      <c r="A173" s="9">
        <v>171</v>
      </c>
      <c r="B173" s="3">
        <v>44202</v>
      </c>
      <c r="C173" s="4" t="s">
        <v>43</v>
      </c>
      <c r="D173" s="4">
        <v>250</v>
      </c>
      <c r="E173" s="4">
        <v>813</v>
      </c>
      <c r="F173" s="7">
        <f>YEAR(Table1[[#This Row],[Date]])</f>
        <v>2021</v>
      </c>
    </row>
    <row r="174" spans="1:6" ht="15.75" customHeight="1">
      <c r="A174" s="9">
        <v>172</v>
      </c>
      <c r="B174" s="3">
        <v>44203</v>
      </c>
      <c r="C174" s="4" t="s">
        <v>42</v>
      </c>
      <c r="D174" s="5">
        <v>4750</v>
      </c>
      <c r="E174" s="4">
        <v>461</v>
      </c>
      <c r="F174" s="7">
        <f>YEAR(Table1[[#This Row],[Date]])</f>
        <v>2021</v>
      </c>
    </row>
    <row r="175" spans="1:6" ht="15.75" customHeight="1">
      <c r="A175" s="9">
        <v>173</v>
      </c>
      <c r="B175" s="3">
        <v>44216</v>
      </c>
      <c r="C175" s="4" t="s">
        <v>43</v>
      </c>
      <c r="D175" s="4">
        <v>374</v>
      </c>
      <c r="E175" s="4">
        <v>741</v>
      </c>
      <c r="F175" s="7">
        <f>YEAR(Table1[[#This Row],[Date]])</f>
        <v>2021</v>
      </c>
    </row>
    <row r="176" spans="1:6" ht="15.75" customHeight="1">
      <c r="A176" s="9">
        <v>174</v>
      </c>
      <c r="B176" s="3">
        <v>44217</v>
      </c>
      <c r="C176" s="4" t="s">
        <v>42</v>
      </c>
      <c r="D176" s="5">
        <v>4626</v>
      </c>
      <c r="E176" s="4">
        <v>454</v>
      </c>
      <c r="F176" s="7">
        <f>YEAR(Table1[[#This Row],[Date]])</f>
        <v>2021</v>
      </c>
    </row>
    <row r="177" spans="1:6" ht="15.75" customHeight="1">
      <c r="A177" s="9">
        <v>175</v>
      </c>
      <c r="B177" s="3">
        <v>44237</v>
      </c>
      <c r="C177" s="4" t="s">
        <v>43</v>
      </c>
      <c r="D177" s="4">
        <v>654</v>
      </c>
      <c r="E177" s="4">
        <v>720</v>
      </c>
      <c r="F177" s="7">
        <f>YEAR(Table1[[#This Row],[Date]])</f>
        <v>2021</v>
      </c>
    </row>
    <row r="178" spans="1:6" ht="15.75" customHeight="1">
      <c r="A178" s="9">
        <v>176</v>
      </c>
      <c r="B178" s="3">
        <v>44240</v>
      </c>
      <c r="C178" s="4" t="s">
        <v>42</v>
      </c>
      <c r="D178" s="5">
        <v>27332</v>
      </c>
      <c r="E178" s="4">
        <v>75</v>
      </c>
      <c r="F178" s="7">
        <f>YEAR(Table1[[#This Row],[Date]])</f>
        <v>2021</v>
      </c>
    </row>
    <row r="179" spans="1:6" ht="15.75" customHeight="1">
      <c r="A179" s="9">
        <v>177</v>
      </c>
      <c r="B179" s="3">
        <v>44263</v>
      </c>
      <c r="C179" s="4" t="s">
        <v>43</v>
      </c>
      <c r="D179" s="4">
        <v>671</v>
      </c>
      <c r="E179" s="4">
        <v>739</v>
      </c>
      <c r="F179" s="7">
        <f>YEAR(Table1[[#This Row],[Date]])</f>
        <v>2021</v>
      </c>
    </row>
    <row r="180" spans="1:6" ht="15.75" customHeight="1">
      <c r="A180" s="9">
        <v>178</v>
      </c>
      <c r="B180" s="3">
        <v>44272</v>
      </c>
      <c r="C180" s="4" t="s">
        <v>43</v>
      </c>
      <c r="D180" s="4">
        <v>183</v>
      </c>
      <c r="E180" s="4">
        <v>682</v>
      </c>
      <c r="F180" s="7">
        <f>YEAR(Table1[[#This Row],[Date]])</f>
        <v>2021</v>
      </c>
    </row>
    <row r="181" spans="1:6" ht="15.75" customHeight="1">
      <c r="A181" s="9">
        <v>179</v>
      </c>
      <c r="B181" s="3">
        <v>44273</v>
      </c>
      <c r="C181" s="4" t="s">
        <v>42</v>
      </c>
      <c r="D181" s="5">
        <v>5000</v>
      </c>
      <c r="E181" s="4">
        <v>449</v>
      </c>
      <c r="F181" s="7">
        <f>YEAR(Table1[[#This Row],[Date]])</f>
        <v>2021</v>
      </c>
    </row>
    <row r="182" spans="1:6" ht="15.75" customHeight="1">
      <c r="A182" s="9">
        <v>180</v>
      </c>
      <c r="B182" s="3">
        <v>44286</v>
      </c>
      <c r="C182" s="4" t="s">
        <v>43</v>
      </c>
      <c r="D182" s="4">
        <v>284</v>
      </c>
      <c r="E182" s="4">
        <v>778</v>
      </c>
      <c r="F182" s="7">
        <f>YEAR(Table1[[#This Row],[Date]])</f>
        <v>2021</v>
      </c>
    </row>
    <row r="183" spans="1:6" ht="15.75" customHeight="1">
      <c r="A183" s="9">
        <v>181</v>
      </c>
      <c r="B183" s="3">
        <v>44287</v>
      </c>
      <c r="C183" s="4" t="s">
        <v>42</v>
      </c>
      <c r="D183" s="5">
        <v>5000</v>
      </c>
      <c r="E183" s="4">
        <v>432</v>
      </c>
      <c r="F183" s="7">
        <f>YEAR(Table1[[#This Row],[Date]])</f>
        <v>2021</v>
      </c>
    </row>
    <row r="184" spans="1:6" ht="15.75" customHeight="1">
      <c r="A184" s="9">
        <v>182</v>
      </c>
      <c r="B184" s="3">
        <v>44300</v>
      </c>
      <c r="C184" s="4" t="s">
        <v>43</v>
      </c>
      <c r="D184" s="4">
        <v>266</v>
      </c>
      <c r="E184" s="4">
        <v>753</v>
      </c>
      <c r="F184" s="7">
        <f>YEAR(Table1[[#This Row],[Date]])</f>
        <v>2021</v>
      </c>
    </row>
    <row r="185" spans="1:6" ht="15.75" customHeight="1">
      <c r="A185" s="9">
        <v>183</v>
      </c>
      <c r="B185" s="3">
        <v>44302</v>
      </c>
      <c r="C185" s="4" t="s">
        <v>42</v>
      </c>
      <c r="D185" s="5">
        <v>6000</v>
      </c>
      <c r="E185" s="4">
        <v>417</v>
      </c>
      <c r="F185" s="7">
        <f>YEAR(Table1[[#This Row],[Date]])</f>
        <v>2021</v>
      </c>
    </row>
    <row r="186" spans="1:6" ht="15.75" customHeight="1">
      <c r="A186" s="9">
        <v>184</v>
      </c>
      <c r="B186" s="3">
        <v>44314</v>
      </c>
      <c r="C186" s="4" t="s">
        <v>43</v>
      </c>
      <c r="D186" s="4">
        <v>381</v>
      </c>
      <c r="E186" s="4">
        <v>717</v>
      </c>
      <c r="F186" s="7">
        <f>YEAR(Table1[[#This Row],[Date]])</f>
        <v>2021</v>
      </c>
    </row>
    <row r="187" spans="1:6" ht="15.75" customHeight="1">
      <c r="A187" s="9">
        <v>185</v>
      </c>
      <c r="B187" s="3">
        <v>44315</v>
      </c>
      <c r="C187" s="4" t="s">
        <v>42</v>
      </c>
      <c r="D187" s="5">
        <v>6000</v>
      </c>
      <c r="E187" s="4">
        <v>400</v>
      </c>
      <c r="F187" s="7">
        <f>YEAR(Table1[[#This Row],[Date]])</f>
        <v>2021</v>
      </c>
    </row>
    <row r="188" spans="1:6" ht="15.75" customHeight="1">
      <c r="A188" s="9">
        <v>186</v>
      </c>
      <c r="B188" s="3">
        <v>44328</v>
      </c>
      <c r="C188" s="4" t="s">
        <v>43</v>
      </c>
      <c r="D188" s="4">
        <v>557</v>
      </c>
      <c r="E188" s="4">
        <v>752</v>
      </c>
      <c r="F188" s="7">
        <f>YEAR(Table1[[#This Row],[Date]])</f>
        <v>2021</v>
      </c>
    </row>
    <row r="189" spans="1:6" ht="15.75" customHeight="1">
      <c r="A189" s="9">
        <v>187</v>
      </c>
      <c r="B189" s="3">
        <v>44329</v>
      </c>
      <c r="C189" s="4" t="s">
        <v>42</v>
      </c>
      <c r="D189" s="5">
        <v>4147</v>
      </c>
      <c r="E189" s="4">
        <v>401</v>
      </c>
      <c r="F189" s="7">
        <f>YEAR(Table1[[#This Row],[Date]])</f>
        <v>2021</v>
      </c>
    </row>
    <row r="190" spans="1:6" ht="15.75" customHeight="1">
      <c r="A190" s="9">
        <v>188</v>
      </c>
      <c r="B190" s="3">
        <v>44336</v>
      </c>
      <c r="C190" s="4" t="s">
        <v>42</v>
      </c>
      <c r="D190" s="5">
        <v>1842</v>
      </c>
      <c r="E190" s="4">
        <v>397</v>
      </c>
      <c r="F190" s="7">
        <f>YEAR(Table1[[#This Row],[Date]])</f>
        <v>2021</v>
      </c>
    </row>
    <row r="191" spans="1:6" ht="15.75" customHeight="1">
      <c r="A191" s="9">
        <v>189</v>
      </c>
      <c r="B191" s="3">
        <v>44342</v>
      </c>
      <c r="C191" s="4" t="s">
        <v>43</v>
      </c>
      <c r="D191" s="4">
        <v>500</v>
      </c>
      <c r="E191" s="4">
        <v>713</v>
      </c>
      <c r="F191" s="7">
        <f>YEAR(Table1[[#This Row],[Date]])</f>
        <v>2021</v>
      </c>
    </row>
    <row r="192" spans="1:6" ht="15.75" customHeight="1">
      <c r="A192" s="9">
        <v>190</v>
      </c>
      <c r="B192" s="3">
        <v>44347</v>
      </c>
      <c r="C192" s="4" t="s">
        <v>42</v>
      </c>
      <c r="D192" s="5">
        <v>5956</v>
      </c>
      <c r="E192" s="4">
        <v>380</v>
      </c>
      <c r="F192" s="7">
        <f>YEAR(Table1[[#This Row],[Date]])</f>
        <v>2021</v>
      </c>
    </row>
    <row r="193" spans="1:6" ht="15.75" customHeight="1">
      <c r="A193" s="9">
        <v>191</v>
      </c>
      <c r="B193" s="3">
        <v>44356</v>
      </c>
      <c r="C193" s="4" t="s">
        <v>43</v>
      </c>
      <c r="D193" s="4">
        <v>940</v>
      </c>
      <c r="E193" s="4">
        <v>711</v>
      </c>
      <c r="F193" s="7">
        <f>YEAR(Table1[[#This Row],[Date]])</f>
        <v>2021</v>
      </c>
    </row>
    <row r="194" spans="1:6" ht="15.75" customHeight="1">
      <c r="A194" s="9">
        <v>192</v>
      </c>
      <c r="B194" s="3">
        <v>44357</v>
      </c>
      <c r="C194" s="4" t="s">
        <v>42</v>
      </c>
      <c r="D194" s="5">
        <v>6000</v>
      </c>
      <c r="E194" s="4">
        <v>368</v>
      </c>
      <c r="F194" s="7">
        <f>YEAR(Table1[[#This Row],[Date]])</f>
        <v>2021</v>
      </c>
    </row>
    <row r="195" spans="1:6" ht="15.75" customHeight="1">
      <c r="A195" s="9">
        <v>193</v>
      </c>
      <c r="B195" s="3">
        <v>44370</v>
      </c>
      <c r="C195" s="4" t="s">
        <v>43</v>
      </c>
      <c r="D195" s="5">
        <v>1002</v>
      </c>
      <c r="E195" s="4">
        <v>742</v>
      </c>
      <c r="F195" s="7">
        <f>YEAR(Table1[[#This Row],[Date]])</f>
        <v>2021</v>
      </c>
    </row>
    <row r="196" spans="1:6" ht="15.75" customHeight="1">
      <c r="A196" s="9">
        <v>194</v>
      </c>
      <c r="B196" s="3">
        <v>44371</v>
      </c>
      <c r="C196" s="4" t="s">
        <v>42</v>
      </c>
      <c r="D196" s="5">
        <v>6000</v>
      </c>
      <c r="E196" s="4">
        <v>357</v>
      </c>
      <c r="F196" s="7">
        <f>YEAR(Table1[[#This Row],[Date]])</f>
        <v>2021</v>
      </c>
    </row>
    <row r="197" spans="1:6" ht="15.75" customHeight="1">
      <c r="A197" s="9">
        <v>195</v>
      </c>
      <c r="B197" s="3">
        <v>44384</v>
      </c>
      <c r="C197" s="4" t="s">
        <v>43</v>
      </c>
      <c r="D197" s="4">
        <v>627</v>
      </c>
      <c r="E197" s="4">
        <v>760</v>
      </c>
      <c r="F197" s="7">
        <f>YEAR(Table1[[#This Row],[Date]])</f>
        <v>2021</v>
      </c>
    </row>
    <row r="198" spans="1:6" ht="15.75" customHeight="1">
      <c r="A198" s="9">
        <v>196</v>
      </c>
      <c r="B198" s="3">
        <v>44385</v>
      </c>
      <c r="C198" s="4" t="s">
        <v>42</v>
      </c>
      <c r="D198" s="5">
        <v>4500</v>
      </c>
      <c r="E198" s="4">
        <v>369</v>
      </c>
      <c r="F198" s="7">
        <f>YEAR(Table1[[#This Row],[Date]])</f>
        <v>2021</v>
      </c>
    </row>
    <row r="199" spans="1:6" ht="15.75" customHeight="1">
      <c r="A199" s="9">
        <v>197</v>
      </c>
      <c r="B199" s="3">
        <v>44398</v>
      </c>
      <c r="C199" s="4" t="s">
        <v>43</v>
      </c>
      <c r="D199" s="4">
        <v>462</v>
      </c>
      <c r="E199" s="4">
        <v>734</v>
      </c>
      <c r="F199" s="7">
        <f>YEAR(Table1[[#This Row],[Date]])</f>
        <v>2021</v>
      </c>
    </row>
    <row r="200" spans="1:6" ht="15.75" customHeight="1">
      <c r="A200" s="9">
        <v>198</v>
      </c>
      <c r="B200" s="3">
        <v>44399</v>
      </c>
      <c r="C200" s="4" t="s">
        <v>42</v>
      </c>
      <c r="D200" s="5">
        <v>4500</v>
      </c>
      <c r="E200" s="4">
        <v>357</v>
      </c>
      <c r="F200" s="7">
        <f>YEAR(Table1[[#This Row],[Date]])</f>
        <v>2021</v>
      </c>
    </row>
    <row r="201" spans="1:6" ht="15.75" customHeight="1">
      <c r="A201" s="9">
        <v>199</v>
      </c>
      <c r="B201" s="3">
        <v>44412</v>
      </c>
      <c r="C201" s="4" t="s">
        <v>43</v>
      </c>
      <c r="D201" s="4">
        <v>512</v>
      </c>
      <c r="E201" s="4">
        <v>760</v>
      </c>
      <c r="F201" s="7">
        <f>YEAR(Table1[[#This Row],[Date]])</f>
        <v>2021</v>
      </c>
    </row>
    <row r="202" spans="1:6" ht="15.75" customHeight="1">
      <c r="A202" s="9">
        <v>200</v>
      </c>
      <c r="B202" s="3">
        <v>44413</v>
      </c>
      <c r="C202" s="4" t="s">
        <v>42</v>
      </c>
      <c r="D202" s="5">
        <v>3000</v>
      </c>
      <c r="E202" s="4">
        <v>404</v>
      </c>
      <c r="F202" s="7">
        <f>YEAR(Table1[[#This Row],[Date]])</f>
        <v>2021</v>
      </c>
    </row>
    <row r="203" spans="1:6" ht="15.75" customHeight="1">
      <c r="A203" s="9">
        <v>201</v>
      </c>
      <c r="B203" s="3">
        <v>44426</v>
      </c>
      <c r="C203" s="4" t="s">
        <v>43</v>
      </c>
      <c r="D203" s="4">
        <v>463</v>
      </c>
      <c r="E203" s="4">
        <v>751</v>
      </c>
      <c r="F203" s="7">
        <f>YEAR(Table1[[#This Row],[Date]])</f>
        <v>2021</v>
      </c>
    </row>
    <row r="204" spans="1:6" ht="15.75" customHeight="1">
      <c r="A204" s="9">
        <v>202</v>
      </c>
      <c r="B204" s="3">
        <v>44427</v>
      </c>
      <c r="C204" s="4" t="s">
        <v>42</v>
      </c>
      <c r="D204" s="5">
        <v>3000</v>
      </c>
      <c r="E204" s="4">
        <v>403</v>
      </c>
      <c r="F204" s="7">
        <f>YEAR(Table1[[#This Row],[Date]])</f>
        <v>2021</v>
      </c>
    </row>
    <row r="205" spans="1:6" ht="15.75" customHeight="1">
      <c r="A205" s="9">
        <v>203</v>
      </c>
      <c r="B205" s="3">
        <v>44440</v>
      </c>
      <c r="C205" s="4" t="s">
        <v>43</v>
      </c>
      <c r="D205" s="4">
        <v>635</v>
      </c>
      <c r="E205" s="4">
        <v>764</v>
      </c>
      <c r="F205" s="7">
        <f>YEAR(Table1[[#This Row],[Date]])</f>
        <v>2021</v>
      </c>
    </row>
    <row r="206" spans="1:6" ht="15.75" customHeight="1">
      <c r="A206" s="9">
        <v>204</v>
      </c>
      <c r="B206" s="3">
        <v>44453</v>
      </c>
      <c r="C206" s="4" t="s">
        <v>42</v>
      </c>
      <c r="D206" s="5">
        <v>2000</v>
      </c>
      <c r="E206" s="4">
        <v>462</v>
      </c>
      <c r="F206" s="7">
        <f>YEAR(Table1[[#This Row],[Date]])</f>
        <v>2021</v>
      </c>
    </row>
    <row r="207" spans="1:6" ht="15.75" customHeight="1">
      <c r="A207" s="9">
        <v>205</v>
      </c>
      <c r="B207" s="3">
        <v>44454</v>
      </c>
      <c r="C207" s="4" t="s">
        <v>43</v>
      </c>
      <c r="D207" s="4">
        <v>521</v>
      </c>
      <c r="E207" s="4">
        <v>732</v>
      </c>
      <c r="F207" s="7">
        <f>YEAR(Table1[[#This Row],[Date]])</f>
        <v>2021</v>
      </c>
    </row>
    <row r="208" spans="1:6" ht="15.75" customHeight="1">
      <c r="A208" s="9">
        <v>206</v>
      </c>
      <c r="B208" s="3">
        <v>44468</v>
      </c>
      <c r="C208" s="4" t="s">
        <v>43</v>
      </c>
      <c r="D208" s="4">
        <v>761</v>
      </c>
      <c r="E208" s="4">
        <v>742</v>
      </c>
      <c r="F208" s="7">
        <f>YEAR(Table1[[#This Row],[Date]])</f>
        <v>2021</v>
      </c>
    </row>
    <row r="209" spans="1:6" ht="15.75" customHeight="1">
      <c r="A209" s="9">
        <v>207</v>
      </c>
      <c r="B209" s="3">
        <v>44482</v>
      </c>
      <c r="C209" s="4" t="s">
        <v>43</v>
      </c>
      <c r="D209" s="4">
        <v>681</v>
      </c>
      <c r="E209" s="4">
        <v>720</v>
      </c>
      <c r="F209" s="7">
        <f>YEAR(Table1[[#This Row],[Date]])</f>
        <v>2021</v>
      </c>
    </row>
    <row r="210" spans="1:6" ht="15.75" customHeight="1">
      <c r="A210" s="9">
        <v>208</v>
      </c>
      <c r="B210" s="3">
        <v>44496</v>
      </c>
      <c r="C210" s="4" t="s">
        <v>43</v>
      </c>
      <c r="D210" s="4">
        <v>681</v>
      </c>
      <c r="E210" s="4">
        <v>744</v>
      </c>
      <c r="F210" s="7">
        <f>YEAR(Table1[[#This Row],[Date]])</f>
        <v>2021</v>
      </c>
    </row>
    <row r="211" spans="1:6" ht="15.75" customHeight="1">
      <c r="A211" s="9">
        <v>209</v>
      </c>
      <c r="B211" s="3">
        <v>44510</v>
      </c>
      <c r="C211" s="4" t="s">
        <v>43</v>
      </c>
      <c r="D211" s="4">
        <v>775</v>
      </c>
      <c r="E211" s="4">
        <v>685</v>
      </c>
      <c r="F211" s="7">
        <f>YEAR(Table1[[#This Row],[Date]])</f>
        <v>2021</v>
      </c>
    </row>
    <row r="212" spans="1:6" ht="15.75" customHeight="1">
      <c r="A212" s="9">
        <v>210</v>
      </c>
      <c r="B212" s="3">
        <v>44524</v>
      </c>
      <c r="C212" s="4" t="s">
        <v>43</v>
      </c>
      <c r="D212" s="4">
        <v>613</v>
      </c>
      <c r="E212" s="4">
        <v>737</v>
      </c>
      <c r="F212" s="7">
        <f>YEAR(Table1[[#This Row],[Date]])</f>
        <v>2021</v>
      </c>
    </row>
    <row r="213" spans="1:6" ht="15.75" customHeight="1">
      <c r="A213" s="9">
        <v>211</v>
      </c>
      <c r="B213" s="3">
        <v>44540</v>
      </c>
      <c r="C213" s="4" t="s">
        <v>43</v>
      </c>
      <c r="D213" s="5">
        <v>1032</v>
      </c>
      <c r="E213" s="4">
        <v>698</v>
      </c>
      <c r="F213" s="7">
        <f>YEAR(Table1[[#This Row],[Date]])</f>
        <v>2021</v>
      </c>
    </row>
    <row r="214" spans="1:6" ht="15.75" customHeight="1">
      <c r="A214" s="9">
        <v>212</v>
      </c>
      <c r="B214" s="3">
        <v>44552</v>
      </c>
      <c r="C214" s="4" t="s">
        <v>43</v>
      </c>
      <c r="D214" s="4">
        <v>746</v>
      </c>
      <c r="E214" s="4">
        <v>720</v>
      </c>
      <c r="F214" s="7">
        <f>YEAR(Table1[[#This Row],[Date]])</f>
        <v>2021</v>
      </c>
    </row>
    <row r="215" spans="1:6" ht="15.75" customHeight="1">
      <c r="A215" s="9">
        <v>213</v>
      </c>
      <c r="B215" s="3">
        <v>44566</v>
      </c>
      <c r="C215" s="4" t="s">
        <v>43</v>
      </c>
      <c r="D215" s="4">
        <v>392</v>
      </c>
      <c r="E215" s="4">
        <v>808</v>
      </c>
      <c r="F215" s="7">
        <f>YEAR(Table1[[#This Row],[Date]])</f>
        <v>2022</v>
      </c>
    </row>
    <row r="216" spans="1:6" ht="15.75" customHeight="1">
      <c r="A216" s="9">
        <v>214</v>
      </c>
      <c r="B216" s="3">
        <v>44580</v>
      </c>
      <c r="C216" s="4" t="s">
        <v>43</v>
      </c>
      <c r="D216" s="5">
        <v>1036</v>
      </c>
      <c r="E216" s="4">
        <v>745</v>
      </c>
      <c r="F216" s="7">
        <f>YEAR(Table1[[#This Row],[Date]])</f>
        <v>2022</v>
      </c>
    </row>
    <row r="217" spans="1:6" ht="15.75" customHeight="1">
      <c r="A217" s="9">
        <v>215</v>
      </c>
      <c r="B217" s="3">
        <v>44594</v>
      </c>
      <c r="C217" s="4" t="s">
        <v>43</v>
      </c>
      <c r="D217" s="5">
        <v>1070</v>
      </c>
      <c r="E217" s="4">
        <v>674</v>
      </c>
      <c r="F217" s="7">
        <f>YEAR(Table1[[#This Row],[Date]])</f>
        <v>2022</v>
      </c>
    </row>
    <row r="218" spans="1:6" ht="15.75" customHeight="1">
      <c r="A218" s="9">
        <v>216</v>
      </c>
      <c r="B218" s="3">
        <v>44608</v>
      </c>
      <c r="C218" s="4" t="s">
        <v>43</v>
      </c>
      <c r="D218" s="5">
        <v>1082</v>
      </c>
      <c r="E218" s="4">
        <v>710</v>
      </c>
      <c r="F218" s="7">
        <f>YEAR(Table1[[#This Row],[Date]])</f>
        <v>2022</v>
      </c>
    </row>
    <row r="219" spans="1:6" ht="15.75" customHeight="1">
      <c r="A219" s="9">
        <v>217</v>
      </c>
      <c r="B219" s="3">
        <v>44622</v>
      </c>
      <c r="C219" s="4" t="s">
        <v>43</v>
      </c>
      <c r="D219" s="5">
        <v>1047</v>
      </c>
      <c r="E219" s="4">
        <v>761</v>
      </c>
      <c r="F219" s="7">
        <f>YEAR(Table1[[#This Row],[Date]])</f>
        <v>2022</v>
      </c>
    </row>
    <row r="220" spans="1:6" ht="15.75" customHeight="1">
      <c r="A220" s="9">
        <v>218</v>
      </c>
      <c r="B220" s="3">
        <v>44636</v>
      </c>
      <c r="C220" s="4" t="s">
        <v>43</v>
      </c>
      <c r="D220" s="4">
        <v>924</v>
      </c>
      <c r="E220" s="4">
        <v>754</v>
      </c>
      <c r="F220" s="7">
        <f>YEAR(Table1[[#This Row],[Date]])</f>
        <v>2022</v>
      </c>
    </row>
    <row r="221" spans="1:6" ht="15.75" customHeight="1">
      <c r="A221" s="9">
        <v>219</v>
      </c>
      <c r="B221" s="3">
        <v>44650</v>
      </c>
      <c r="C221" s="4" t="s">
        <v>43</v>
      </c>
      <c r="D221" s="4">
        <v>919</v>
      </c>
      <c r="E221" s="4">
        <v>785</v>
      </c>
      <c r="F221" s="7">
        <f>YEAR(Table1[[#This Row],[Date]])</f>
        <v>2022</v>
      </c>
    </row>
    <row r="222" spans="1:6" ht="15.75" customHeight="1">
      <c r="A222" s="9">
        <v>220</v>
      </c>
      <c r="B222" s="3">
        <v>44664</v>
      </c>
      <c r="C222" s="4" t="s">
        <v>43</v>
      </c>
      <c r="D222" s="4">
        <v>787</v>
      </c>
      <c r="E222" s="4">
        <v>782</v>
      </c>
      <c r="F222" s="7">
        <f>YEAR(Table1[[#This Row],[Date]])</f>
        <v>2022</v>
      </c>
    </row>
    <row r="223" spans="1:6" ht="15.75" customHeight="1">
      <c r="A223" s="9">
        <v>221</v>
      </c>
      <c r="B223" s="3">
        <v>44678</v>
      </c>
      <c r="C223" s="4" t="s">
        <v>43</v>
      </c>
      <c r="D223" s="4">
        <v>829</v>
      </c>
      <c r="E223" s="4">
        <v>772</v>
      </c>
      <c r="F223" s="7">
        <f>YEAR(Table1[[#This Row],[Date]])</f>
        <v>2022</v>
      </c>
    </row>
    <row r="224" spans="1:6" ht="15.75" customHeight="1">
      <c r="A224" s="9">
        <v>222</v>
      </c>
      <c r="B224" s="3">
        <v>44692</v>
      </c>
      <c r="C224" s="4" t="s">
        <v>43</v>
      </c>
      <c r="D224" s="4">
        <v>545</v>
      </c>
      <c r="E224" s="4">
        <v>753</v>
      </c>
      <c r="F224" s="7">
        <f>YEAR(Table1[[#This Row],[Date]])</f>
        <v>2022</v>
      </c>
    </row>
    <row r="225" spans="1:6" ht="15.75" customHeight="1">
      <c r="A225" s="9">
        <v>223</v>
      </c>
      <c r="B225" s="3">
        <v>44706</v>
      </c>
      <c r="C225" s="4" t="s">
        <v>43</v>
      </c>
      <c r="D225" s="4">
        <v>590</v>
      </c>
      <c r="E225" s="4">
        <v>741</v>
      </c>
      <c r="F225" s="7">
        <f>YEAR(Table1[[#This Row],[Date]])</f>
        <v>2022</v>
      </c>
    </row>
    <row r="226" spans="1:6" ht="15.75" customHeight="1">
      <c r="A226" s="9">
        <v>224</v>
      </c>
      <c r="B226" s="3">
        <v>44720</v>
      </c>
      <c r="C226" s="4" t="s">
        <v>43</v>
      </c>
      <c r="D226" s="4">
        <v>932</v>
      </c>
      <c r="E226" s="4">
        <v>796</v>
      </c>
      <c r="F226" s="7">
        <f>YEAR(Table1[[#This Row],[Date]])</f>
        <v>2022</v>
      </c>
    </row>
    <row r="227" spans="1:6" ht="15.75" customHeight="1">
      <c r="A227" s="9">
        <v>225</v>
      </c>
      <c r="B227" s="3">
        <v>44734</v>
      </c>
      <c r="C227" s="4" t="s">
        <v>43</v>
      </c>
      <c r="D227" s="4">
        <v>636</v>
      </c>
      <c r="E227" s="4">
        <v>752</v>
      </c>
      <c r="F227" s="7">
        <f>YEAR(Table1[[#This Row],[Date]])</f>
        <v>2022</v>
      </c>
    </row>
    <row r="228" spans="1:6" ht="15.75" customHeight="1">
      <c r="A228" s="9">
        <v>226</v>
      </c>
      <c r="B228" s="3">
        <v>44748</v>
      </c>
      <c r="C228" s="4" t="s">
        <v>41</v>
      </c>
      <c r="D228" s="5">
        <v>1500</v>
      </c>
      <c r="E228" s="4">
        <v>557</v>
      </c>
      <c r="F228" s="7">
        <f>YEAR(Table1[[#This Row],[Date]])</f>
        <v>2022</v>
      </c>
    </row>
    <row r="229" spans="1:6" ht="15.75" customHeight="1">
      <c r="A229" s="9">
        <v>227</v>
      </c>
      <c r="B229" s="3">
        <v>44762</v>
      </c>
      <c r="C229" s="4" t="s">
        <v>41</v>
      </c>
      <c r="D229" s="5">
        <v>1750</v>
      </c>
      <c r="E229" s="4">
        <v>542</v>
      </c>
      <c r="F229" s="7">
        <f>YEAR(Table1[[#This Row],[Date]])</f>
        <v>2022</v>
      </c>
    </row>
    <row r="230" spans="1:6" ht="15.75" customHeight="1">
      <c r="A230" s="9">
        <v>228</v>
      </c>
      <c r="B230" s="3">
        <v>44776</v>
      </c>
      <c r="C230" s="4" t="s">
        <v>41</v>
      </c>
      <c r="D230" s="5">
        <v>2000</v>
      </c>
      <c r="E230" s="4">
        <v>533</v>
      </c>
      <c r="F230" s="7">
        <f>YEAR(Table1[[#This Row],[Date]])</f>
        <v>2022</v>
      </c>
    </row>
    <row r="231" spans="1:6" ht="15.75" customHeight="1">
      <c r="A231" s="9">
        <v>229</v>
      </c>
      <c r="B231" s="3">
        <v>44790</v>
      </c>
      <c r="C231" s="4" t="s">
        <v>41</v>
      </c>
      <c r="D231" s="5">
        <v>2250</v>
      </c>
      <c r="E231" s="4">
        <v>525</v>
      </c>
      <c r="F231" s="7">
        <f>YEAR(Table1[[#This Row],[Date]])</f>
        <v>2022</v>
      </c>
    </row>
    <row r="232" spans="1:6" ht="15.75" customHeight="1">
      <c r="A232" s="9">
        <v>230</v>
      </c>
      <c r="B232" s="3">
        <v>44804</v>
      </c>
      <c r="C232" s="4" t="s">
        <v>41</v>
      </c>
      <c r="D232" s="5">
        <v>2750</v>
      </c>
      <c r="E232" s="4">
        <v>516</v>
      </c>
      <c r="F232" s="7">
        <f>YEAR(Table1[[#This Row],[Date]])</f>
        <v>2022</v>
      </c>
    </row>
    <row r="233" spans="1:6" ht="15.75" customHeight="1">
      <c r="A233" s="9">
        <v>231</v>
      </c>
      <c r="B233" s="3">
        <v>44818</v>
      </c>
      <c r="C233" s="4" t="s">
        <v>41</v>
      </c>
      <c r="D233" s="5">
        <v>3250</v>
      </c>
      <c r="E233" s="4">
        <v>510</v>
      </c>
      <c r="F233" s="7">
        <f>YEAR(Table1[[#This Row],[Date]])</f>
        <v>2022</v>
      </c>
    </row>
    <row r="234" spans="1:6" ht="15.75" customHeight="1">
      <c r="A234" s="9">
        <v>232</v>
      </c>
      <c r="B234" s="3">
        <v>44832</v>
      </c>
      <c r="C234" s="4" t="s">
        <v>41</v>
      </c>
      <c r="D234" s="5">
        <v>3750</v>
      </c>
      <c r="E234" s="4">
        <v>504</v>
      </c>
      <c r="F234" s="7">
        <f>YEAR(Table1[[#This Row],[Date]])</f>
        <v>2022</v>
      </c>
    </row>
    <row r="235" spans="1:6" ht="15.75" customHeight="1">
      <c r="A235" s="9">
        <v>233</v>
      </c>
      <c r="B235" s="3">
        <v>44846</v>
      </c>
      <c r="C235" s="4" t="s">
        <v>41</v>
      </c>
      <c r="D235" s="5">
        <v>4250</v>
      </c>
      <c r="E235" s="4">
        <v>500</v>
      </c>
      <c r="F235" s="7">
        <f>YEAR(Table1[[#This Row],[Date]])</f>
        <v>2022</v>
      </c>
    </row>
    <row r="236" spans="1:6" ht="15.75" customHeight="1">
      <c r="A236" s="9">
        <v>234</v>
      </c>
      <c r="B236" s="3">
        <v>44860</v>
      </c>
      <c r="C236" s="4" t="s">
        <v>41</v>
      </c>
      <c r="D236" s="5">
        <v>4750</v>
      </c>
      <c r="E236" s="4">
        <v>496</v>
      </c>
      <c r="F236" s="7">
        <f>YEAR(Table1[[#This Row],[Date]])</f>
        <v>2022</v>
      </c>
    </row>
    <row r="237" spans="1:6" ht="15.75" customHeight="1">
      <c r="A237" s="9">
        <v>235</v>
      </c>
      <c r="B237" s="3">
        <v>44874</v>
      </c>
      <c r="C237" s="4" t="s">
        <v>41</v>
      </c>
      <c r="D237" s="5">
        <v>4750</v>
      </c>
      <c r="E237" s="4">
        <v>494</v>
      </c>
      <c r="F237" s="7">
        <f>YEAR(Table1[[#This Row],[Date]])</f>
        <v>2022</v>
      </c>
    </row>
    <row r="238" spans="1:6" ht="15.75" customHeight="1">
      <c r="A238" s="9">
        <v>236</v>
      </c>
      <c r="B238" s="3">
        <v>44888</v>
      </c>
      <c r="C238" s="4" t="s">
        <v>41</v>
      </c>
      <c r="D238" s="5">
        <v>4750</v>
      </c>
      <c r="E238" s="4">
        <v>491</v>
      </c>
      <c r="F238" s="7">
        <f>YEAR(Table1[[#This Row],[Date]])</f>
        <v>2022</v>
      </c>
    </row>
    <row r="239" spans="1:6" ht="15.75" customHeight="1">
      <c r="A239" s="9">
        <v>237</v>
      </c>
      <c r="B239" s="3">
        <v>44937</v>
      </c>
      <c r="C239" s="4" t="s">
        <v>41</v>
      </c>
      <c r="D239" s="5">
        <v>5500</v>
      </c>
      <c r="E239" s="4">
        <v>507</v>
      </c>
      <c r="F239" s="7">
        <f>YEAR(Table1[[#This Row],[Date]])</f>
        <v>2023</v>
      </c>
    </row>
    <row r="240" spans="1:6" ht="15.75" customHeight="1">
      <c r="A240" s="9">
        <v>238</v>
      </c>
      <c r="B240" s="3">
        <v>44944</v>
      </c>
      <c r="C240" s="4" t="s">
        <v>41</v>
      </c>
      <c r="D240" s="5">
        <v>5500</v>
      </c>
      <c r="E240" s="4">
        <v>490</v>
      </c>
      <c r="F240" s="7">
        <f>YEAR(Table1[[#This Row],[Date]])</f>
        <v>2023</v>
      </c>
    </row>
    <row r="241" spans="1:6" ht="15.75" customHeight="1">
      <c r="A241" s="9">
        <v>239</v>
      </c>
      <c r="B241" s="3">
        <v>44958</v>
      </c>
      <c r="C241" s="4" t="s">
        <v>43</v>
      </c>
      <c r="D241" s="4">
        <v>893</v>
      </c>
      <c r="E241" s="4">
        <v>733</v>
      </c>
      <c r="F241" s="7">
        <f>YEAR(Table1[[#This Row],[Date]])</f>
        <v>2023</v>
      </c>
    </row>
    <row r="242" spans="1:6" ht="15.75" customHeight="1">
      <c r="A242" s="9">
        <v>240</v>
      </c>
      <c r="B242" s="3">
        <v>44959</v>
      </c>
      <c r="C242" s="4" t="s">
        <v>47</v>
      </c>
      <c r="D242" s="5">
        <v>3300</v>
      </c>
      <c r="E242" s="4">
        <v>489</v>
      </c>
      <c r="F242" s="7">
        <f>YEAR(Table1[[#This Row],[Date]])</f>
        <v>2023</v>
      </c>
    </row>
    <row r="243" spans="1:6" ht="15.75" customHeight="1">
      <c r="A243" s="9">
        <v>241</v>
      </c>
      <c r="B243" s="3">
        <v>44972</v>
      </c>
      <c r="C243" s="4" t="s">
        <v>43</v>
      </c>
      <c r="D243" s="4">
        <v>699</v>
      </c>
      <c r="E243" s="4">
        <v>791</v>
      </c>
      <c r="F243" s="7">
        <f>YEAR(Table1[[#This Row],[Date]])</f>
        <v>2023</v>
      </c>
    </row>
    <row r="244" spans="1:6" ht="15.75" customHeight="1">
      <c r="A244" s="9">
        <v>242</v>
      </c>
      <c r="B244" s="3">
        <v>44986</v>
      </c>
      <c r="C244" s="4" t="s">
        <v>43</v>
      </c>
      <c r="D244" s="4">
        <v>667</v>
      </c>
      <c r="E244" s="4">
        <v>748</v>
      </c>
      <c r="F244" s="7">
        <f>YEAR(Table1[[#This Row],[Date]])</f>
        <v>2023</v>
      </c>
    </row>
    <row r="245" spans="1:6" ht="15.75" customHeight="1">
      <c r="A245" s="9">
        <v>243</v>
      </c>
      <c r="B245" s="3">
        <v>45000</v>
      </c>
      <c r="C245" s="4" t="s">
        <v>41</v>
      </c>
      <c r="D245" s="5">
        <v>7000</v>
      </c>
      <c r="E245" s="4">
        <v>490</v>
      </c>
      <c r="F245" s="7">
        <f>YEAR(Table1[[#This Row],[Date]])</f>
        <v>2023</v>
      </c>
    </row>
    <row r="246" spans="1:6" ht="15.75" customHeight="1">
      <c r="A246" s="9">
        <v>244</v>
      </c>
      <c r="B246" s="3">
        <v>45008</v>
      </c>
      <c r="C246" s="4" t="s">
        <v>41</v>
      </c>
      <c r="D246" s="5">
        <v>7000</v>
      </c>
      <c r="E246" s="4">
        <v>484</v>
      </c>
      <c r="F246" s="7">
        <f>YEAR(Table1[[#This Row],[Date]])</f>
        <v>2023</v>
      </c>
    </row>
    <row r="247" spans="1:6" ht="15.75" customHeight="1">
      <c r="A247" s="9">
        <v>245</v>
      </c>
      <c r="B247" s="3">
        <v>45014</v>
      </c>
      <c r="C247" s="4" t="s">
        <v>41</v>
      </c>
      <c r="D247" s="5">
        <v>7000</v>
      </c>
      <c r="E247" s="4">
        <v>481</v>
      </c>
      <c r="F247" s="7">
        <f>YEAR(Table1[[#This Row],[Date]])</f>
        <v>2023</v>
      </c>
    </row>
    <row r="248" spans="1:6" ht="15.75" customHeight="1">
      <c r="A248" s="9">
        <v>246</v>
      </c>
      <c r="B248" s="3">
        <v>45028</v>
      </c>
      <c r="C248" s="4" t="s">
        <v>41</v>
      </c>
      <c r="D248" s="5">
        <v>3500</v>
      </c>
      <c r="E248" s="4">
        <v>486</v>
      </c>
      <c r="F248" s="7">
        <f>YEAR(Table1[[#This Row],[Date]])</f>
        <v>2023</v>
      </c>
    </row>
    <row r="249" spans="1:6" ht="15.75" customHeight="1">
      <c r="A249" s="9">
        <v>247</v>
      </c>
      <c r="B249" s="3">
        <v>45042</v>
      </c>
      <c r="C249" s="4" t="s">
        <v>41</v>
      </c>
      <c r="D249" s="5">
        <v>3500</v>
      </c>
      <c r="E249" s="4">
        <v>483</v>
      </c>
      <c r="F249" s="7">
        <f>YEAR(Table1[[#This Row],[Date]])</f>
        <v>2023</v>
      </c>
    </row>
    <row r="250" spans="1:6" ht="15.75" customHeight="1">
      <c r="A250" s="9">
        <v>248</v>
      </c>
      <c r="B250" s="3">
        <v>45056</v>
      </c>
      <c r="C250" s="4" t="s">
        <v>43</v>
      </c>
      <c r="D250" s="4">
        <v>589</v>
      </c>
      <c r="E250" s="4">
        <v>691</v>
      </c>
      <c r="F250" s="7">
        <f>YEAR(Table1[[#This Row],[Date]])</f>
        <v>2023</v>
      </c>
    </row>
    <row r="251" spans="1:6" ht="15.75" customHeight="1">
      <c r="A251" s="9">
        <v>249</v>
      </c>
      <c r="B251" s="3">
        <v>45070</v>
      </c>
      <c r="C251" s="4" t="s">
        <v>41</v>
      </c>
      <c r="D251" s="5">
        <v>4800</v>
      </c>
      <c r="E251" s="4">
        <v>488</v>
      </c>
      <c r="F251" s="7">
        <f>YEAR(Table1[[#This Row],[Date]])</f>
        <v>2023</v>
      </c>
    </row>
    <row r="252" spans="1:6" ht="15.75" customHeight="1">
      <c r="A252" s="9">
        <v>250</v>
      </c>
      <c r="B252" s="3">
        <v>45085</v>
      </c>
      <c r="C252" s="4" t="s">
        <v>41</v>
      </c>
      <c r="D252" s="5">
        <v>4800</v>
      </c>
      <c r="E252" s="4">
        <v>486</v>
      </c>
      <c r="F252" s="7">
        <f>YEAR(Table1[[#This Row],[Date]])</f>
        <v>2023</v>
      </c>
    </row>
    <row r="253" spans="1:6" ht="15.75" customHeight="1">
      <c r="A253" s="9">
        <v>251</v>
      </c>
      <c r="B253" s="3">
        <v>45104</v>
      </c>
      <c r="C253" s="4" t="s">
        <v>41</v>
      </c>
      <c r="D253" s="5">
        <v>4300</v>
      </c>
      <c r="E253" s="4">
        <v>486</v>
      </c>
      <c r="F253" s="7">
        <f>YEAR(Table1[[#This Row],[Date]])</f>
        <v>2023</v>
      </c>
    </row>
    <row r="254" spans="1:6" ht="15.75" customHeight="1">
      <c r="A254" s="9">
        <v>252</v>
      </c>
      <c r="B254" s="3">
        <v>45105</v>
      </c>
      <c r="C254" s="4" t="s">
        <v>48</v>
      </c>
      <c r="D254" s="4">
        <v>500</v>
      </c>
      <c r="E254" s="4">
        <v>476</v>
      </c>
      <c r="F254" s="7">
        <f>YEAR(Table1[[#This Row],[Date]])</f>
        <v>2023</v>
      </c>
    </row>
    <row r="255" spans="1:6" ht="15.75" customHeight="1">
      <c r="A255" s="9">
        <v>253</v>
      </c>
      <c r="B255" s="3">
        <v>45111</v>
      </c>
      <c r="C255" s="4" t="s">
        <v>41</v>
      </c>
      <c r="D255" s="4">
        <v>700</v>
      </c>
      <c r="E255" s="4">
        <v>511</v>
      </c>
      <c r="F255" s="7">
        <f>YEAR(Table1[[#This Row],[Date]])</f>
        <v>2023</v>
      </c>
    </row>
    <row r="256" spans="1:6" ht="15.75" customHeight="1">
      <c r="A256" s="9">
        <v>254</v>
      </c>
      <c r="B256" s="3">
        <v>45112</v>
      </c>
      <c r="C256" s="4" t="s">
        <v>49</v>
      </c>
      <c r="D256" s="4">
        <v>500</v>
      </c>
      <c r="E256" s="4">
        <v>486</v>
      </c>
      <c r="F256" s="7">
        <f>YEAR(Table1[[#This Row],[Date]])</f>
        <v>2023</v>
      </c>
    </row>
    <row r="257" spans="1:6" ht="15.75" customHeight="1">
      <c r="A257" s="9">
        <v>255</v>
      </c>
      <c r="B257" s="3">
        <v>45113</v>
      </c>
      <c r="C257" s="4" t="s">
        <v>48</v>
      </c>
      <c r="D257" s="5">
        <v>1500</v>
      </c>
      <c r="E257" s="4">
        <v>463</v>
      </c>
      <c r="F257" s="7">
        <f>YEAR(Table1[[#This Row],[Date]])</f>
        <v>2023</v>
      </c>
    </row>
    <row r="258" spans="1:6" ht="15.75" customHeight="1">
      <c r="A258" s="9">
        <v>256</v>
      </c>
      <c r="B258" s="3">
        <v>45114</v>
      </c>
      <c r="C258" s="4" t="s">
        <v>50</v>
      </c>
      <c r="D258" s="5">
        <v>2300</v>
      </c>
      <c r="E258" s="4">
        <v>439</v>
      </c>
      <c r="F258" s="7">
        <f>YEAR(Table1[[#This Row],[Date]])</f>
        <v>2023</v>
      </c>
    </row>
    <row r="259" spans="1:6" ht="15.75" customHeight="1">
      <c r="A259" s="9">
        <v>257</v>
      </c>
      <c r="B259" s="3">
        <v>45118</v>
      </c>
      <c r="C259" s="4" t="s">
        <v>41</v>
      </c>
      <c r="D259" s="4">
        <v>800</v>
      </c>
      <c r="E259" s="4">
        <v>505</v>
      </c>
      <c r="F259" s="7">
        <f>YEAR(Table1[[#This Row],[Date]])</f>
        <v>2023</v>
      </c>
    </row>
    <row r="260" spans="1:6" ht="15.75" customHeight="1">
      <c r="A260" s="9">
        <v>258</v>
      </c>
      <c r="B260" s="3">
        <v>45119</v>
      </c>
      <c r="C260" s="4" t="s">
        <v>50</v>
      </c>
      <c r="D260" s="5">
        <v>3800</v>
      </c>
      <c r="E260" s="4">
        <v>375</v>
      </c>
      <c r="F260" s="7">
        <f>YEAR(Table1[[#This Row],[Date]])</f>
        <v>2023</v>
      </c>
    </row>
    <row r="261" spans="1:6" ht="15.75" customHeight="1">
      <c r="A261" s="9">
        <v>259</v>
      </c>
      <c r="B261" s="3">
        <v>45139</v>
      </c>
      <c r="C261" s="4" t="s">
        <v>41</v>
      </c>
      <c r="D261" s="5">
        <v>2000</v>
      </c>
      <c r="E261" s="4">
        <v>517</v>
      </c>
      <c r="F261" s="7">
        <f>YEAR(Table1[[#This Row],[Date]])</f>
        <v>2023</v>
      </c>
    </row>
    <row r="262" spans="1:6" ht="15.75" customHeight="1">
      <c r="A262" s="9">
        <v>260</v>
      </c>
      <c r="B262" s="3">
        <v>45140</v>
      </c>
      <c r="C262" s="4" t="s">
        <v>50</v>
      </c>
      <c r="D262" s="4">
        <v>800</v>
      </c>
      <c r="E262" s="4">
        <v>435</v>
      </c>
      <c r="F262" s="7">
        <f>YEAR(Table1[[#This Row],[Date]])</f>
        <v>2023</v>
      </c>
    </row>
    <row r="263" spans="1:6" ht="15.75" customHeight="1">
      <c r="A263" s="9">
        <v>261</v>
      </c>
      <c r="B263" s="3">
        <v>45141</v>
      </c>
      <c r="C263" s="4" t="s">
        <v>51</v>
      </c>
      <c r="D263" s="5">
        <v>1500</v>
      </c>
      <c r="E263" s="4">
        <v>388</v>
      </c>
      <c r="F263" s="7">
        <f>YEAR(Table1[[#This Row],[Date]])</f>
        <v>2023</v>
      </c>
    </row>
    <row r="264" spans="1:6" ht="15.75" customHeight="1">
      <c r="A264" s="9">
        <v>262</v>
      </c>
      <c r="B264" s="3">
        <v>45153</v>
      </c>
      <c r="C264" s="4" t="s">
        <v>41</v>
      </c>
      <c r="D264" s="5">
        <v>4300</v>
      </c>
      <c r="E264" s="4">
        <v>496</v>
      </c>
      <c r="F264" s="7">
        <f>YEAR(Table1[[#This Row],[Date]])</f>
        <v>2023</v>
      </c>
    </row>
    <row r="265" spans="1:6" ht="15.75" customHeight="1">
      <c r="A265" s="9">
        <v>263</v>
      </c>
      <c r="B265" s="3">
        <v>45188</v>
      </c>
      <c r="C265" s="4" t="s">
        <v>41</v>
      </c>
      <c r="D265" s="5">
        <v>3200</v>
      </c>
      <c r="E265" s="4">
        <v>531</v>
      </c>
      <c r="F265" s="7">
        <f>YEAR(Table1[[#This Row],[Date]])</f>
        <v>2023</v>
      </c>
    </row>
    <row r="266" spans="1:6" ht="15.75" customHeight="1">
      <c r="A266" s="9">
        <v>264</v>
      </c>
      <c r="B266" s="3">
        <v>45189</v>
      </c>
      <c r="C266" s="4" t="s">
        <v>52</v>
      </c>
      <c r="D266" s="5">
        <v>1000</v>
      </c>
      <c r="E266" s="4">
        <v>435</v>
      </c>
      <c r="F266" s="7">
        <f>YEAR(Table1[[#This Row],[Date]])</f>
        <v>2023</v>
      </c>
    </row>
    <row r="267" spans="1:6" ht="15.75" customHeight="1">
      <c r="A267" s="9">
        <v>265</v>
      </c>
      <c r="B267" s="3">
        <v>45195</v>
      </c>
      <c r="C267" s="4" t="s">
        <v>41</v>
      </c>
      <c r="D267" s="5">
        <v>3000</v>
      </c>
      <c r="E267" s="4">
        <v>504</v>
      </c>
      <c r="F267" s="7">
        <f>YEAR(Table1[[#This Row],[Date]])</f>
        <v>2023</v>
      </c>
    </row>
    <row r="268" spans="1:6" ht="15.75" customHeight="1">
      <c r="A268" s="9">
        <v>266</v>
      </c>
      <c r="B268" s="3">
        <v>45196</v>
      </c>
      <c r="C268" s="4" t="s">
        <v>50</v>
      </c>
      <c r="D268" s="4">
        <v>500</v>
      </c>
      <c r="E268" s="4">
        <v>472</v>
      </c>
      <c r="F268" s="7">
        <f>YEAR(Table1[[#This Row],[Date]])</f>
        <v>2023</v>
      </c>
    </row>
    <row r="269" spans="1:6" ht="15.75" customHeight="1">
      <c r="A269" s="9">
        <v>267</v>
      </c>
      <c r="B269" s="3">
        <v>45197</v>
      </c>
      <c r="C269" s="4" t="s">
        <v>53</v>
      </c>
      <c r="D269" s="4">
        <v>600</v>
      </c>
      <c r="E269" s="4">
        <v>354</v>
      </c>
      <c r="F269" s="7">
        <f>YEAR(Table1[[#This Row],[Date]])</f>
        <v>2023</v>
      </c>
    </row>
    <row r="270" spans="1:6" ht="15.75" customHeight="1">
      <c r="A270" s="9">
        <v>268</v>
      </c>
      <c r="B270" s="3">
        <v>45209</v>
      </c>
      <c r="C270" s="4" t="s">
        <v>41</v>
      </c>
      <c r="D270" s="5">
        <v>3725</v>
      </c>
      <c r="E270" s="4">
        <v>500</v>
      </c>
      <c r="F270" s="7">
        <f>YEAR(Table1[[#This Row],[Date]])</f>
        <v>2023</v>
      </c>
    </row>
    <row r="271" spans="1:6" ht="15.75" customHeight="1">
      <c r="A271" s="9">
        <v>269</v>
      </c>
      <c r="B271" s="3">
        <v>45223</v>
      </c>
      <c r="C271" s="4" t="s">
        <v>43</v>
      </c>
      <c r="D271" s="5">
        <v>1548</v>
      </c>
      <c r="E271" s="4">
        <v>776</v>
      </c>
      <c r="F271" s="7">
        <f>YEAR(Table1[[#This Row],[Date]])</f>
        <v>2023</v>
      </c>
    </row>
    <row r="272" spans="1:6" ht="15.75" customHeight="1">
      <c r="A272" s="9">
        <v>270</v>
      </c>
      <c r="B272" s="3">
        <v>45224</v>
      </c>
      <c r="C272" s="4" t="s">
        <v>50</v>
      </c>
      <c r="D272" s="4">
        <v>300</v>
      </c>
      <c r="E272" s="4">
        <v>486</v>
      </c>
      <c r="F272" s="7">
        <f>YEAR(Table1[[#This Row],[Date]])</f>
        <v>2023</v>
      </c>
    </row>
    <row r="273" spans="1:6" ht="15.75" customHeight="1">
      <c r="A273" s="9">
        <v>271</v>
      </c>
      <c r="B273" s="3">
        <v>45225</v>
      </c>
      <c r="C273" s="4" t="s">
        <v>48</v>
      </c>
      <c r="D273" s="5">
        <v>3600</v>
      </c>
      <c r="E273" s="4">
        <v>431</v>
      </c>
      <c r="F273" s="7">
        <f>YEAR(Table1[[#This Row],[Date]])</f>
        <v>2023</v>
      </c>
    </row>
    <row r="274" spans="1:6" ht="15.75" customHeight="1">
      <c r="A274" s="9">
        <v>272</v>
      </c>
      <c r="B274" s="3">
        <v>45266</v>
      </c>
      <c r="C274" s="4" t="s">
        <v>54</v>
      </c>
      <c r="D274" s="5">
        <v>4750</v>
      </c>
      <c r="E274" s="4">
        <v>561</v>
      </c>
      <c r="F274" s="7">
        <f>YEAR(Table1[[#This Row],[Date]])</f>
        <v>2023</v>
      </c>
    </row>
    <row r="275" spans="1:6" ht="15.75" customHeight="1">
      <c r="A275" s="9">
        <v>273</v>
      </c>
      <c r="B275" s="3">
        <v>45267</v>
      </c>
      <c r="C275" s="4" t="s">
        <v>50</v>
      </c>
      <c r="D275" s="5">
        <v>1000</v>
      </c>
      <c r="E275" s="4">
        <v>470</v>
      </c>
      <c r="F275" s="7">
        <f>YEAR(Table1[[#This Row],[Date]])</f>
        <v>2023</v>
      </c>
    </row>
    <row r="276" spans="1:6" ht="15.75" customHeight="1">
      <c r="A276" s="9">
        <v>274</v>
      </c>
      <c r="B276" s="3">
        <v>45268</v>
      </c>
      <c r="C276" s="4" t="s">
        <v>49</v>
      </c>
      <c r="D276" s="5">
        <v>5900</v>
      </c>
      <c r="E276" s="4">
        <v>481</v>
      </c>
      <c r="F276" s="7">
        <f>YEAR(Table1[[#This Row],[Date]])</f>
        <v>2023</v>
      </c>
    </row>
    <row r="277" spans="1:6" ht="15.75" customHeight="1">
      <c r="A277" s="9">
        <v>275</v>
      </c>
      <c r="B277" s="3">
        <v>45278</v>
      </c>
      <c r="C277" s="4" t="s">
        <v>54</v>
      </c>
      <c r="D277" s="5">
        <v>1325</v>
      </c>
      <c r="E277" s="4">
        <v>542</v>
      </c>
      <c r="F277" s="7">
        <f>YEAR(Table1[[#This Row],[Date]])</f>
        <v>2023</v>
      </c>
    </row>
    <row r="278" spans="1:6" ht="15.75" customHeight="1">
      <c r="A278" s="9">
        <v>276</v>
      </c>
      <c r="B278" s="3">
        <v>45279</v>
      </c>
      <c r="C278" s="4" t="s">
        <v>51</v>
      </c>
      <c r="D278" s="5">
        <v>1000</v>
      </c>
      <c r="E278" s="4">
        <v>425</v>
      </c>
      <c r="F278" s="7">
        <f>YEAR(Table1[[#This Row],[Date]])</f>
        <v>2023</v>
      </c>
    </row>
    <row r="279" spans="1:6" ht="15.75" customHeight="1">
      <c r="A279" s="9">
        <v>277</v>
      </c>
      <c r="B279" s="3">
        <v>45280</v>
      </c>
      <c r="C279" s="4" t="s">
        <v>52</v>
      </c>
      <c r="D279" s="4">
        <v>670</v>
      </c>
      <c r="E279" s="4">
        <v>435</v>
      </c>
      <c r="F279" s="7">
        <f>YEAR(Table1[[#This Row],[Date]])</f>
        <v>2023</v>
      </c>
    </row>
    <row r="280" spans="1:6" ht="15.75" customHeight="1">
      <c r="A280" s="9">
        <v>278</v>
      </c>
      <c r="B280" s="3">
        <v>45281</v>
      </c>
      <c r="C280" s="4" t="s">
        <v>53</v>
      </c>
      <c r="D280" s="4">
        <v>400</v>
      </c>
      <c r="E280" s="4">
        <v>386</v>
      </c>
      <c r="F280" s="7">
        <f>YEAR(Table1[[#This Row],[Date]])</f>
        <v>2023</v>
      </c>
    </row>
    <row r="281" spans="1:6" ht="15.75" customHeight="1">
      <c r="A281" s="9">
        <v>279</v>
      </c>
      <c r="B281" s="3">
        <v>45301</v>
      </c>
      <c r="C281" s="4" t="s">
        <v>54</v>
      </c>
      <c r="D281" s="5">
        <v>1510</v>
      </c>
      <c r="E281" s="4">
        <v>546</v>
      </c>
      <c r="F281" s="7">
        <f>YEAR(Table1[[#This Row],[Date]])</f>
        <v>2024</v>
      </c>
    </row>
    <row r="282" spans="1:6" ht="15.75" customHeight="1">
      <c r="A282" s="9">
        <v>280</v>
      </c>
      <c r="B282" s="3">
        <v>45314</v>
      </c>
      <c r="C282" s="4" t="s">
        <v>54</v>
      </c>
      <c r="D282" s="5">
        <v>1040</v>
      </c>
      <c r="E282" s="4">
        <v>543</v>
      </c>
      <c r="F282" s="7">
        <f>YEAR(Table1[[#This Row],[Date]])</f>
        <v>2024</v>
      </c>
    </row>
    <row r="283" spans="1:6" ht="15.75" customHeight="1">
      <c r="A283" s="9">
        <v>281</v>
      </c>
      <c r="B283" s="3">
        <v>45322</v>
      </c>
      <c r="C283" s="4" t="s">
        <v>54</v>
      </c>
      <c r="D283" s="4">
        <v>730</v>
      </c>
      <c r="E283" s="4">
        <v>541</v>
      </c>
      <c r="F283" s="7">
        <f>YEAR(Table1[[#This Row],[Date]])</f>
        <v>2024</v>
      </c>
    </row>
    <row r="284" spans="1:6" ht="15.75" customHeight="1">
      <c r="A284" s="9">
        <v>282</v>
      </c>
      <c r="B284" s="3">
        <v>45323</v>
      </c>
      <c r="C284" s="4" t="s">
        <v>50</v>
      </c>
      <c r="D284" s="5">
        <v>7000</v>
      </c>
      <c r="E284" s="4">
        <v>365</v>
      </c>
      <c r="F284" s="7">
        <f>YEAR(Table1[[#This Row],[Date]])</f>
        <v>2024</v>
      </c>
    </row>
    <row r="285" spans="1:6" ht="15.75" customHeight="1">
      <c r="A285" s="9">
        <v>283</v>
      </c>
      <c r="B285" s="3">
        <v>45335</v>
      </c>
      <c r="C285" s="4" t="s">
        <v>54</v>
      </c>
      <c r="D285" s="5">
        <v>1490</v>
      </c>
      <c r="E285" s="4">
        <v>535</v>
      </c>
      <c r="F285" s="7">
        <f>YEAR(Table1[[#This Row],[Date]])</f>
        <v>2024</v>
      </c>
    </row>
    <row r="286" spans="1:6" ht="15.75" customHeight="1">
      <c r="A286" s="9">
        <v>284</v>
      </c>
      <c r="B286" s="3">
        <v>45336</v>
      </c>
      <c r="C286" s="4" t="s">
        <v>48</v>
      </c>
      <c r="D286" s="5">
        <v>3500</v>
      </c>
      <c r="E286" s="4">
        <v>422</v>
      </c>
      <c r="F286" s="7">
        <f>YEAR(Table1[[#This Row],[Date]])</f>
        <v>2024</v>
      </c>
    </row>
    <row r="287" spans="1:6" ht="15.75" customHeight="1">
      <c r="A287" s="9">
        <v>285</v>
      </c>
      <c r="B287" s="3">
        <v>45338</v>
      </c>
      <c r="C287" s="4" t="s">
        <v>53</v>
      </c>
      <c r="D287" s="4">
        <v>150</v>
      </c>
      <c r="E287" s="4">
        <v>437</v>
      </c>
      <c r="F287" s="7">
        <f>YEAR(Table1[[#This Row],[Date]])</f>
        <v>2024</v>
      </c>
    </row>
    <row r="288" spans="1:6" ht="15.75" customHeight="1">
      <c r="A288" s="9">
        <v>286</v>
      </c>
      <c r="B288" s="3">
        <v>45350</v>
      </c>
      <c r="C288" s="4" t="s">
        <v>54</v>
      </c>
      <c r="D288" s="5">
        <v>1470</v>
      </c>
      <c r="E288" s="4">
        <v>534</v>
      </c>
      <c r="F288" s="7">
        <f>YEAR(Table1[[#This Row],[Date]])</f>
        <v>2024</v>
      </c>
    </row>
    <row r="289" spans="1:6" ht="15.75" customHeight="1">
      <c r="A289" s="9">
        <v>287</v>
      </c>
      <c r="B289" s="3">
        <v>45351</v>
      </c>
      <c r="C289" s="4" t="s">
        <v>50</v>
      </c>
      <c r="D289" s="5">
        <v>2500</v>
      </c>
      <c r="E289" s="4">
        <v>336</v>
      </c>
      <c r="F289" s="7">
        <f>YEAR(Table1[[#This Row],[Date]])</f>
        <v>2024</v>
      </c>
    </row>
    <row r="290" spans="1:6" ht="15.75" customHeight="1">
      <c r="A290" s="9">
        <v>288</v>
      </c>
      <c r="B290" s="3">
        <v>45363</v>
      </c>
      <c r="C290" s="4" t="s">
        <v>54</v>
      </c>
      <c r="D290" s="5">
        <v>2850</v>
      </c>
      <c r="E290" s="4">
        <v>525</v>
      </c>
      <c r="F290" s="7">
        <f>YEAR(Table1[[#This Row],[Date]])</f>
        <v>2024</v>
      </c>
    </row>
    <row r="291" spans="1:6" ht="15.75" customHeight="1">
      <c r="A291" s="9">
        <v>289</v>
      </c>
      <c r="B291" s="3">
        <v>45364</v>
      </c>
      <c r="C291" s="4" t="s">
        <v>52</v>
      </c>
      <c r="D291" s="4">
        <v>975</v>
      </c>
      <c r="E291" s="4">
        <v>430</v>
      </c>
      <c r="F291" s="7">
        <f>YEAR(Table1[[#This Row],[Date]])</f>
        <v>2024</v>
      </c>
    </row>
    <row r="292" spans="1:6" ht="15.75" customHeight="1">
      <c r="A292" s="9">
        <v>290</v>
      </c>
      <c r="B292" s="3">
        <v>45376</v>
      </c>
      <c r="C292" s="4" t="s">
        <v>54</v>
      </c>
      <c r="D292" s="5">
        <v>1980</v>
      </c>
      <c r="E292" s="4">
        <v>524</v>
      </c>
      <c r="F292" s="7">
        <f>YEAR(Table1[[#This Row],[Date]])</f>
        <v>2024</v>
      </c>
    </row>
    <row r="293" spans="1:6" ht="15.75" customHeight="1">
      <c r="A293" s="9">
        <v>291</v>
      </c>
      <c r="B293" s="3">
        <v>45377</v>
      </c>
      <c r="C293" s="4" t="s">
        <v>50</v>
      </c>
      <c r="D293" s="5">
        <v>1500</v>
      </c>
      <c r="E293" s="4">
        <v>388</v>
      </c>
      <c r="F293" s="7">
        <f>YEAR(Table1[[#This Row],[Date]])</f>
        <v>2024</v>
      </c>
    </row>
    <row r="294" spans="1:6" ht="15.75" customHeight="1">
      <c r="A294" s="9">
        <v>292</v>
      </c>
      <c r="B294" s="3">
        <v>45392</v>
      </c>
      <c r="C294" s="4" t="s">
        <v>54</v>
      </c>
      <c r="D294" s="5">
        <v>1280</v>
      </c>
      <c r="E294" s="4">
        <v>549</v>
      </c>
      <c r="F294" s="7">
        <f>YEAR(Table1[[#This Row],[Date]])</f>
        <v>2024</v>
      </c>
    </row>
    <row r="295" spans="1:6" ht="15.75" customHeight="1">
      <c r="A295" s="9">
        <v>293</v>
      </c>
      <c r="B295" s="3">
        <v>45393</v>
      </c>
      <c r="C295" s="4" t="s">
        <v>49</v>
      </c>
      <c r="D295" s="5">
        <v>4500</v>
      </c>
      <c r="E295" s="4">
        <v>491</v>
      </c>
      <c r="F295" s="7">
        <f>YEAR(Table1[[#This Row],[Date]])</f>
        <v>2024</v>
      </c>
    </row>
    <row r="296" spans="1:6" ht="15.75" customHeight="1">
      <c r="A296" s="9">
        <v>294</v>
      </c>
      <c r="B296" s="3">
        <v>45405</v>
      </c>
      <c r="C296" s="4" t="s">
        <v>54</v>
      </c>
      <c r="D296" s="5">
        <v>2095</v>
      </c>
      <c r="E296" s="4">
        <v>529</v>
      </c>
      <c r="F296" s="7">
        <f>YEAR(Table1[[#This Row],[Date]])</f>
        <v>2024</v>
      </c>
    </row>
    <row r="297" spans="1:6" ht="15.75" customHeight="1">
      <c r="A297" s="9">
        <v>295</v>
      </c>
      <c r="B297" s="3">
        <v>45406</v>
      </c>
      <c r="C297" s="4" t="s">
        <v>50</v>
      </c>
      <c r="D297" s="5">
        <v>1400</v>
      </c>
      <c r="E297" s="4">
        <v>410</v>
      </c>
      <c r="F297" s="7">
        <f>YEAR(Table1[[#This Row],[Date]])</f>
        <v>2024</v>
      </c>
    </row>
    <row r="298" spans="1:6" ht="15.75" customHeight="1">
      <c r="A298" s="9">
        <v>296</v>
      </c>
      <c r="B298" s="3">
        <v>45442</v>
      </c>
      <c r="C298" s="4" t="s">
        <v>43</v>
      </c>
      <c r="D298" s="5">
        <v>2985</v>
      </c>
      <c r="E298" s="4">
        <v>676</v>
      </c>
      <c r="F298" s="7">
        <f>YEAR(Table1[[#This Row],[Date]])</f>
        <v>2024</v>
      </c>
    </row>
    <row r="299" spans="1:6" ht="15.75" customHeight="1">
      <c r="A299" s="9">
        <v>297</v>
      </c>
      <c r="B299" s="3">
        <v>45443</v>
      </c>
      <c r="C299" s="4" t="s">
        <v>42</v>
      </c>
      <c r="D299" s="5">
        <v>3000</v>
      </c>
      <c r="E299" s="4">
        <v>522</v>
      </c>
      <c r="F299" s="7">
        <f>YEAR(Table1[[#This Row],[Date]])</f>
        <v>2024</v>
      </c>
    </row>
    <row r="300" spans="1:6" ht="15.75" customHeight="1">
      <c r="A300" s="9">
        <v>298</v>
      </c>
      <c r="B300" s="3">
        <v>45462</v>
      </c>
      <c r="C300" s="4" t="s">
        <v>43</v>
      </c>
      <c r="D300" s="5">
        <v>1499</v>
      </c>
      <c r="E300" s="4">
        <v>663</v>
      </c>
      <c r="F300" s="7">
        <f>YEAR(Table1[[#This Row],[Date]])</f>
        <v>2024</v>
      </c>
    </row>
    <row r="301" spans="1:6" ht="15.75" customHeight="1">
      <c r="A301" s="9">
        <v>299</v>
      </c>
      <c r="B301" s="3">
        <v>45475</v>
      </c>
      <c r="C301" s="4" t="s">
        <v>43</v>
      </c>
      <c r="D301" s="4">
        <v>920</v>
      </c>
      <c r="E301" s="4">
        <v>739</v>
      </c>
      <c r="F301" s="7">
        <f>YEAR(Table1[[#This Row],[Date]])</f>
        <v>2024</v>
      </c>
    </row>
    <row r="302" spans="1:6" ht="15.75" customHeight="1">
      <c r="A302" s="9">
        <v>300</v>
      </c>
      <c r="B302" s="3">
        <v>45477</v>
      </c>
      <c r="C302" s="4" t="s">
        <v>51</v>
      </c>
      <c r="D302" s="5">
        <v>1800</v>
      </c>
      <c r="E302" s="4">
        <v>436</v>
      </c>
      <c r="F302" s="7">
        <f>YEAR(Table1[[#This Row],[Date]])</f>
        <v>2024</v>
      </c>
    </row>
    <row r="303" spans="1:6" ht="15.75" customHeight="1">
      <c r="A303" s="9">
        <v>301</v>
      </c>
      <c r="B303" s="3">
        <v>45478</v>
      </c>
      <c r="C303" s="4" t="s">
        <v>48</v>
      </c>
      <c r="D303" s="5">
        <v>3750</v>
      </c>
      <c r="E303" s="4">
        <v>445</v>
      </c>
      <c r="F303" s="7">
        <f>YEAR(Table1[[#This Row],[Date]])</f>
        <v>2024</v>
      </c>
    </row>
    <row r="304" spans="1:6" ht="15.75" customHeight="1">
      <c r="A304" s="9">
        <v>302</v>
      </c>
      <c r="B304" s="3">
        <v>45481</v>
      </c>
      <c r="C304" s="4" t="s">
        <v>50</v>
      </c>
      <c r="D304" s="5">
        <v>3200</v>
      </c>
      <c r="E304" s="4">
        <v>420</v>
      </c>
      <c r="F304" s="7">
        <f>YEAR(Table1[[#This Row],[Date]])</f>
        <v>2024</v>
      </c>
    </row>
    <row r="305" spans="1:6" ht="15.75" customHeight="1">
      <c r="A305" s="9">
        <v>303</v>
      </c>
      <c r="B305" s="3">
        <v>45489</v>
      </c>
      <c r="C305" s="4" t="s">
        <v>43</v>
      </c>
      <c r="D305" s="5">
        <v>1391</v>
      </c>
      <c r="E305" s="4">
        <v>670</v>
      </c>
      <c r="F305" s="7">
        <f>YEAR(Table1[[#This Row],[Date]])</f>
        <v>2024</v>
      </c>
    </row>
    <row r="306" spans="1:6" ht="15.75" customHeight="1">
      <c r="A306" s="9">
        <v>304</v>
      </c>
      <c r="B306" s="3">
        <v>45490</v>
      </c>
      <c r="C306" s="4" t="s">
        <v>42</v>
      </c>
      <c r="D306" s="5">
        <v>6300</v>
      </c>
      <c r="E306" s="4">
        <v>515</v>
      </c>
      <c r="F306" s="7">
        <f>YEAR(Table1[[#This Row],[Date]])</f>
        <v>2024</v>
      </c>
    </row>
    <row r="307" spans="1:6" ht="15.75" customHeight="1">
      <c r="A307" s="9">
        <v>305</v>
      </c>
      <c r="B307" s="3">
        <v>45491</v>
      </c>
      <c r="C307" s="4" t="s">
        <v>50</v>
      </c>
      <c r="D307" s="5">
        <v>1800</v>
      </c>
      <c r="E307" s="4">
        <v>400</v>
      </c>
      <c r="F307" s="7">
        <f>YEAR(Table1[[#This Row],[Date]])</f>
        <v>2024</v>
      </c>
    </row>
    <row r="308" spans="1:6" ht="15.75" customHeight="1">
      <c r="A308" s="9">
        <v>306</v>
      </c>
      <c r="B308" s="3">
        <v>45503</v>
      </c>
      <c r="C308" s="4" t="s">
        <v>43</v>
      </c>
      <c r="D308" s="4">
        <v>964</v>
      </c>
      <c r="E308" s="4">
        <v>686</v>
      </c>
      <c r="F308" s="7">
        <f>YEAR(Table1[[#This Row],[Date]])</f>
        <v>2024</v>
      </c>
    </row>
    <row r="309" spans="1:6" ht="15.75" customHeight="1">
      <c r="A309" s="9">
        <v>307</v>
      </c>
      <c r="B309" s="3">
        <v>45504</v>
      </c>
      <c r="C309" s="4" t="s">
        <v>42</v>
      </c>
      <c r="D309" s="5">
        <v>5000</v>
      </c>
      <c r="E309" s="4">
        <v>510</v>
      </c>
      <c r="F309" s="7">
        <f>YEAR(Table1[[#This Row],[Date]])</f>
        <v>2024</v>
      </c>
    </row>
    <row r="310" spans="1:6" ht="15.75" customHeight="1">
      <c r="A310" s="9">
        <v>308</v>
      </c>
      <c r="B310" s="3">
        <v>45517</v>
      </c>
      <c r="C310" s="4" t="s">
        <v>43</v>
      </c>
      <c r="D310" s="4">
        <v>763</v>
      </c>
      <c r="E310" s="4">
        <v>690</v>
      </c>
      <c r="F310" s="7">
        <f>YEAR(Table1[[#This Row],[Date]])</f>
        <v>2024</v>
      </c>
    </row>
    <row r="311" spans="1:6" ht="15.75" customHeight="1">
      <c r="A311" s="9">
        <v>309</v>
      </c>
      <c r="B311" s="3">
        <v>45518</v>
      </c>
      <c r="C311" s="4" t="s">
        <v>42</v>
      </c>
      <c r="D311" s="5">
        <v>3200</v>
      </c>
      <c r="E311" s="4">
        <v>509</v>
      </c>
      <c r="F311" s="7">
        <f>YEAR(Table1[[#This Row],[Date]])</f>
        <v>2024</v>
      </c>
    </row>
    <row r="312" spans="1:6" ht="15.75" customHeight="1">
      <c r="A312" s="9">
        <v>310</v>
      </c>
      <c r="B312" s="3">
        <v>45519</v>
      </c>
      <c r="C312" s="4" t="s">
        <v>50</v>
      </c>
      <c r="D312" s="5">
        <v>2000</v>
      </c>
      <c r="E312" s="4">
        <v>394</v>
      </c>
      <c r="F312" s="7">
        <f>YEAR(Table1[[#This Row],[Date]])</f>
        <v>2024</v>
      </c>
    </row>
    <row r="313" spans="1:6" ht="15.75" customHeight="1">
      <c r="A313" s="9">
        <v>311</v>
      </c>
      <c r="B313" s="3">
        <v>45530</v>
      </c>
      <c r="C313" s="4" t="s">
        <v>43</v>
      </c>
      <c r="D313" s="5">
        <v>1121</v>
      </c>
      <c r="E313" s="4">
        <v>694</v>
      </c>
      <c r="F313" s="7">
        <f>YEAR(Table1[[#This Row],[Date]])</f>
        <v>2024</v>
      </c>
    </row>
    <row r="314" spans="1:6" ht="15.75" customHeight="1">
      <c r="A314" s="9">
        <v>312</v>
      </c>
      <c r="B314" s="3">
        <v>45531</v>
      </c>
      <c r="C314" s="4" t="s">
        <v>42</v>
      </c>
      <c r="D314" s="5">
        <v>3300</v>
      </c>
      <c r="E314" s="4">
        <v>507</v>
      </c>
      <c r="F314" s="7">
        <f>YEAR(Table1[[#This Row],[Date]])</f>
        <v>2024</v>
      </c>
    </row>
    <row r="315" spans="1:6" ht="15.75" customHeight="1">
      <c r="A315" s="9">
        <v>313</v>
      </c>
      <c r="B315" s="3">
        <v>45544</v>
      </c>
      <c r="C315" s="4" t="s">
        <v>43</v>
      </c>
      <c r="D315" s="4">
        <v>911</v>
      </c>
      <c r="E315" s="4">
        <v>732</v>
      </c>
      <c r="F315" s="7">
        <f>YEAR(Table1[[#This Row],[Date]])</f>
        <v>2024</v>
      </c>
    </row>
    <row r="316" spans="1:6" ht="15.75" customHeight="1">
      <c r="A316" s="9">
        <v>314</v>
      </c>
      <c r="B316" s="3">
        <v>45548</v>
      </c>
      <c r="C316" s="4" t="s">
        <v>50</v>
      </c>
      <c r="D316" s="5">
        <v>1000</v>
      </c>
      <c r="E316" s="4">
        <v>446</v>
      </c>
      <c r="F316" s="7">
        <f>YEAR(Table1[[#This Row],[Date]])</f>
        <v>2024</v>
      </c>
    </row>
    <row r="317" spans="1:6" ht="15.75" customHeight="1">
      <c r="A317" s="9">
        <v>315</v>
      </c>
      <c r="B317" s="3">
        <v>45554</v>
      </c>
      <c r="C317" s="4" t="s">
        <v>42</v>
      </c>
      <c r="D317" s="5">
        <v>4000</v>
      </c>
      <c r="E317" s="4">
        <v>509</v>
      </c>
      <c r="F317" s="7">
        <f>YEAR(Table1[[#This Row],[Date]])</f>
        <v>2024</v>
      </c>
    </row>
    <row r="318" spans="1:6" ht="15.75" customHeight="1">
      <c r="A318" s="9">
        <v>316</v>
      </c>
      <c r="B318" s="3">
        <v>45572</v>
      </c>
      <c r="C318" s="4" t="s">
        <v>43</v>
      </c>
      <c r="D318" s="5">
        <v>1613</v>
      </c>
      <c r="E318" s="4">
        <v>743</v>
      </c>
      <c r="F318" s="7">
        <f>YEAR(Table1[[#This Row],[Date]])</f>
        <v>2024</v>
      </c>
    </row>
    <row r="319" spans="1:6" ht="15.75" customHeight="1">
      <c r="A319" s="9">
        <v>317</v>
      </c>
      <c r="B319" s="3">
        <v>45574</v>
      </c>
      <c r="C319" s="4" t="s">
        <v>42</v>
      </c>
      <c r="D319" s="4">
        <v>500</v>
      </c>
      <c r="E319" s="4">
        <v>539</v>
      </c>
      <c r="F319" s="7">
        <f>YEAR(Table1[[#This Row],[Date]])</f>
        <v>2024</v>
      </c>
    </row>
    <row r="320" spans="1:6" ht="15.75" customHeight="1">
      <c r="A320" s="9">
        <v>318</v>
      </c>
      <c r="B320" s="3">
        <v>45575</v>
      </c>
      <c r="C320" s="4" t="s">
        <v>50</v>
      </c>
      <c r="D320" s="5">
        <v>1000</v>
      </c>
      <c r="E320" s="4">
        <v>444</v>
      </c>
      <c r="F320" s="7">
        <f>YEAR(Table1[[#This Row],[Date]])</f>
        <v>2024</v>
      </c>
    </row>
    <row r="321" spans="1:6" ht="15.75" customHeight="1">
      <c r="A321" s="9">
        <v>319</v>
      </c>
      <c r="B321" s="3">
        <v>45586</v>
      </c>
      <c r="C321" s="4" t="s">
        <v>43</v>
      </c>
      <c r="D321" s="4">
        <v>648</v>
      </c>
      <c r="E321" s="4">
        <v>791</v>
      </c>
      <c r="F321" s="7">
        <f>YEAR(Table1[[#This Row],[Date]])</f>
        <v>2024</v>
      </c>
    </row>
    <row r="322" spans="1:6" ht="15.75" customHeight="1">
      <c r="A322" s="9">
        <v>320</v>
      </c>
      <c r="B322" s="3">
        <v>45587</v>
      </c>
      <c r="C322" s="4" t="s">
        <v>42</v>
      </c>
      <c r="D322" s="4">
        <v>400</v>
      </c>
      <c r="E322" s="4">
        <v>539</v>
      </c>
      <c r="F322" s="7">
        <f>YEAR(Table1[[#This Row],[Date]])</f>
        <v>2024</v>
      </c>
    </row>
    <row r="323" spans="1:6" ht="15.75" customHeight="1">
      <c r="A323" s="9">
        <v>321</v>
      </c>
      <c r="B323" s="3">
        <v>45588</v>
      </c>
      <c r="C323" s="4" t="s">
        <v>51</v>
      </c>
      <c r="D323" s="5">
        <v>1800</v>
      </c>
      <c r="E323" s="4">
        <v>433</v>
      </c>
      <c r="F323" s="7">
        <f>YEAR(Table1[[#This Row],[Date]])</f>
        <v>2024</v>
      </c>
    </row>
    <row r="324" spans="1:6" ht="15.75" customHeight="1">
      <c r="A324" s="9">
        <v>322</v>
      </c>
      <c r="B324" s="3">
        <v>45608</v>
      </c>
      <c r="C324" s="4" t="s">
        <v>43</v>
      </c>
      <c r="D324" s="4">
        <v>733</v>
      </c>
      <c r="E324" s="4">
        <v>812</v>
      </c>
      <c r="F324" s="7">
        <f>YEAR(Table1[[#This Row],[Date]])</f>
        <v>2024</v>
      </c>
    </row>
    <row r="325" spans="1:6" ht="15.75" customHeight="1">
      <c r="A325" s="9">
        <v>323</v>
      </c>
      <c r="B325" s="3">
        <v>45609</v>
      </c>
      <c r="C325" s="4" t="s">
        <v>42</v>
      </c>
      <c r="D325" s="4">
        <v>400</v>
      </c>
      <c r="E325" s="4">
        <v>547</v>
      </c>
      <c r="F325" s="7">
        <f>YEAR(Table1[[#This Row],[Date]])</f>
        <v>2024</v>
      </c>
    </row>
    <row r="326" spans="1:6" ht="15.75" customHeight="1">
      <c r="A326" s="9">
        <v>324</v>
      </c>
      <c r="B326" s="3">
        <v>45611</v>
      </c>
      <c r="C326" s="4" t="s">
        <v>50</v>
      </c>
      <c r="D326" s="4">
        <v>800</v>
      </c>
      <c r="E326" s="4">
        <v>478</v>
      </c>
      <c r="F326" s="7">
        <f>YEAR(Table1[[#This Row],[Date]])</f>
        <v>2024</v>
      </c>
    </row>
    <row r="327" spans="1:6" ht="15.75" customHeight="1">
      <c r="A327" s="9">
        <v>325</v>
      </c>
      <c r="B327" s="3">
        <v>45614</v>
      </c>
      <c r="C327" s="4" t="s">
        <v>43</v>
      </c>
      <c r="D327" s="4">
        <v>174</v>
      </c>
      <c r="E327" s="4">
        <v>816</v>
      </c>
      <c r="F327" s="7">
        <f>YEAR(Table1[[#This Row],[Date]])</f>
        <v>2024</v>
      </c>
    </row>
    <row r="328" spans="1:6" ht="15.75" customHeight="1">
      <c r="A328" s="9">
        <v>326</v>
      </c>
      <c r="B328" s="3">
        <v>45615</v>
      </c>
      <c r="C328" s="4" t="s">
        <v>42</v>
      </c>
      <c r="D328" s="4">
        <v>400</v>
      </c>
      <c r="E328" s="4">
        <v>539</v>
      </c>
      <c r="F328" s="7">
        <f>YEAR(Table1[[#This Row],[Date]])</f>
        <v>2024</v>
      </c>
    </row>
    <row r="329" spans="1:6" ht="15.75" customHeight="1">
      <c r="A329" s="9">
        <v>327</v>
      </c>
      <c r="B329" s="3">
        <v>45616</v>
      </c>
      <c r="C329" s="4" t="s">
        <v>48</v>
      </c>
      <c r="D329" s="5">
        <v>3000</v>
      </c>
      <c r="E329" s="4">
        <v>463</v>
      </c>
      <c r="F329" s="7">
        <f>YEAR(Table1[[#This Row],[Date]])</f>
        <v>2024</v>
      </c>
    </row>
    <row r="330" spans="1:6" ht="15.75" customHeight="1">
      <c r="A330" s="9">
        <v>328</v>
      </c>
      <c r="B330" s="3">
        <v>45628</v>
      </c>
      <c r="C330" s="4" t="s">
        <v>43</v>
      </c>
      <c r="D330" s="4">
        <v>676</v>
      </c>
      <c r="E330" s="4">
        <v>705</v>
      </c>
      <c r="F330" s="7">
        <f>YEAR(Table1[[#This Row],[Date]])</f>
        <v>2024</v>
      </c>
    </row>
    <row r="331" spans="1:6" ht="15.75" customHeight="1">
      <c r="A331" s="9">
        <v>329</v>
      </c>
      <c r="B331" s="3">
        <v>45629</v>
      </c>
      <c r="C331" s="4" t="s">
        <v>50</v>
      </c>
      <c r="D331" s="4">
        <v>800</v>
      </c>
      <c r="E331" s="4">
        <v>466</v>
      </c>
      <c r="F331" s="7">
        <f>YEAR(Table1[[#This Row],[Date]])</f>
        <v>2024</v>
      </c>
    </row>
    <row r="332" spans="1:6" ht="15.75" customHeight="1">
      <c r="A332" s="9">
        <v>330</v>
      </c>
      <c r="B332" s="3">
        <v>45642</v>
      </c>
      <c r="C332" s="4" t="s">
        <v>43</v>
      </c>
      <c r="D332" s="5">
        <v>1085</v>
      </c>
      <c r="E332" s="4">
        <v>727</v>
      </c>
      <c r="F332" s="7">
        <f>YEAR(Table1[[#This Row],[Date]])</f>
        <v>2024</v>
      </c>
    </row>
    <row r="333" spans="1:6" ht="15.75" customHeight="1">
      <c r="A333" s="9">
        <v>331</v>
      </c>
      <c r="B333" s="3">
        <v>45664</v>
      </c>
      <c r="C333" s="4" t="s">
        <v>43</v>
      </c>
      <c r="D333" s="4">
        <v>471</v>
      </c>
      <c r="E333" s="4">
        <v>793</v>
      </c>
      <c r="F333" s="7">
        <f>YEAR(Table1[[#This Row],[Date]])</f>
        <v>2025</v>
      </c>
    </row>
    <row r="334" spans="1:6" ht="15.75" customHeight="1">
      <c r="A334" s="9">
        <v>332</v>
      </c>
      <c r="B334" s="3">
        <v>45665</v>
      </c>
      <c r="C334" s="4" t="s">
        <v>42</v>
      </c>
      <c r="D334" s="5">
        <v>1350</v>
      </c>
      <c r="E334" s="4">
        <v>542</v>
      </c>
      <c r="F334" s="7">
        <f>YEAR(Table1[[#This Row],[Date]])</f>
        <v>2025</v>
      </c>
    </row>
    <row r="335" spans="1:6" ht="15.75" customHeight="1">
      <c r="A335" s="9">
        <v>333</v>
      </c>
      <c r="B335" s="3">
        <v>45680</v>
      </c>
      <c r="C335" s="4" t="s">
        <v>42</v>
      </c>
      <c r="D335" s="5">
        <v>4000</v>
      </c>
      <c r="E335" s="4">
        <v>527</v>
      </c>
      <c r="F335" s="7">
        <f>YEAR(Table1[[#This Row],[Date]])</f>
        <v>2025</v>
      </c>
    </row>
    <row r="336" spans="1:6" ht="15.75" customHeight="1">
      <c r="A336" s="9">
        <v>334</v>
      </c>
      <c r="B336" s="3">
        <v>45692</v>
      </c>
      <c r="C336" s="4" t="s">
        <v>43</v>
      </c>
      <c r="D336" s="4">
        <v>455</v>
      </c>
      <c r="E336" s="4">
        <v>802</v>
      </c>
      <c r="F336" s="7">
        <f>YEAR(Table1[[#This Row],[Date]])</f>
        <v>2025</v>
      </c>
    </row>
    <row r="337" spans="1:6" ht="15.75" customHeight="1">
      <c r="A337" s="9">
        <v>335</v>
      </c>
      <c r="B337" s="3">
        <v>45693</v>
      </c>
      <c r="C337" s="4" t="s">
        <v>42</v>
      </c>
      <c r="D337" s="5">
        <v>4000</v>
      </c>
      <c r="E337" s="4">
        <v>521</v>
      </c>
      <c r="F337" s="7">
        <f>YEAR(Table1[[#This Row],[Date]])</f>
        <v>2025</v>
      </c>
    </row>
    <row r="338" spans="1:6" ht="15.75" customHeight="1">
      <c r="A338" s="9">
        <v>336</v>
      </c>
      <c r="B338" s="3">
        <v>45705</v>
      </c>
      <c r="C338" s="4" t="s">
        <v>43</v>
      </c>
      <c r="D338" s="4">
        <v>646</v>
      </c>
      <c r="E338" s="4">
        <v>750</v>
      </c>
      <c r="F338" s="7">
        <f>YEAR(Table1[[#This Row],[Date]])</f>
        <v>2025</v>
      </c>
    </row>
    <row r="339" spans="1:6" ht="15.75" customHeight="1">
      <c r="A339" s="9">
        <v>337</v>
      </c>
      <c r="B339" s="3">
        <v>45707</v>
      </c>
      <c r="C339" s="4" t="s">
        <v>50</v>
      </c>
      <c r="D339" s="5">
        <v>6500</v>
      </c>
      <c r="E339" s="4">
        <v>428</v>
      </c>
      <c r="F339" s="7">
        <f>YEAR(Table1[[#This Row],[Date]])</f>
        <v>2025</v>
      </c>
    </row>
    <row r="340" spans="1:6" ht="15.75" customHeight="1">
      <c r="A340" s="9">
        <v>338</v>
      </c>
      <c r="B340" s="3">
        <v>45719</v>
      </c>
      <c r="C340" s="4" t="s">
        <v>43</v>
      </c>
      <c r="D340" s="4">
        <v>725</v>
      </c>
      <c r="E340" s="4">
        <v>667</v>
      </c>
      <c r="F340" s="7">
        <f>YEAR(Table1[[#This Row],[Date]])</f>
        <v>2025</v>
      </c>
    </row>
    <row r="341" spans="1:6" ht="15.75" customHeight="1">
      <c r="A341" s="9">
        <v>339</v>
      </c>
      <c r="B341" s="3">
        <v>45722</v>
      </c>
      <c r="C341" s="4" t="s">
        <v>50</v>
      </c>
      <c r="D341" s="5">
        <v>4500</v>
      </c>
      <c r="E341" s="4">
        <v>410</v>
      </c>
      <c r="F341" s="7">
        <f>YEAR(Table1[[#This Row],[Date]])</f>
        <v>2025</v>
      </c>
    </row>
    <row r="342" spans="1:6" ht="15.75" customHeight="1">
      <c r="A342" s="9">
        <v>340</v>
      </c>
      <c r="B342" s="3">
        <v>45733</v>
      </c>
      <c r="C342" s="4" t="s">
        <v>43</v>
      </c>
      <c r="D342" s="4">
        <v>536</v>
      </c>
      <c r="E342" s="4">
        <v>736</v>
      </c>
      <c r="F342" s="7">
        <f>YEAR(Table1[[#This Row],[Date]])</f>
        <v>2025</v>
      </c>
    </row>
    <row r="343" spans="1:6" ht="15.75" customHeight="1">
      <c r="A343" s="9">
        <v>341</v>
      </c>
      <c r="B343" s="3">
        <v>45737</v>
      </c>
      <c r="C343" s="4" t="s">
        <v>50</v>
      </c>
      <c r="D343" s="5">
        <v>7500</v>
      </c>
      <c r="E343" s="4">
        <v>379</v>
      </c>
      <c r="F343" s="7">
        <f>YEAR(Table1[[#This Row],[Date]])</f>
        <v>2025</v>
      </c>
    </row>
    <row r="344" spans="1:6" ht="15.75" customHeight="1">
      <c r="A344" s="9">
        <v>342</v>
      </c>
      <c r="B344" s="3">
        <v>45761</v>
      </c>
      <c r="C344" s="4" t="s">
        <v>43</v>
      </c>
      <c r="D344" s="4">
        <v>825</v>
      </c>
      <c r="E344" s="4">
        <v>764</v>
      </c>
      <c r="F344" s="7">
        <f>YEAR(Table1[[#This Row],[Date]])</f>
        <v>2025</v>
      </c>
    </row>
    <row r="345" spans="1:6" ht="15.75" customHeight="1">
      <c r="A345" s="9">
        <v>343</v>
      </c>
      <c r="B345" s="3">
        <v>45775</v>
      </c>
      <c r="C345" s="4" t="s">
        <v>43</v>
      </c>
      <c r="D345" s="4">
        <v>421</v>
      </c>
      <c r="E345" s="4">
        <v>727</v>
      </c>
      <c r="F345" s="7">
        <f>YEAR(Table1[[#This Row],[Date]])</f>
        <v>2025</v>
      </c>
    </row>
    <row r="346" spans="1:6" ht="15.75" customHeight="1">
      <c r="A346" s="9">
        <v>344</v>
      </c>
      <c r="B346" s="3">
        <v>45778</v>
      </c>
      <c r="C346" s="4" t="s">
        <v>55</v>
      </c>
      <c r="D346" s="5">
        <v>1000</v>
      </c>
      <c r="E346" s="4">
        <v>479</v>
      </c>
      <c r="F346" s="7">
        <f>YEAR(Table1[[#This Row],[Date]])</f>
        <v>2025</v>
      </c>
    </row>
    <row r="347" spans="1:6" ht="15.75" customHeight="1">
      <c r="A347" s="9">
        <v>345</v>
      </c>
      <c r="B347" s="3">
        <v>45779</v>
      </c>
      <c r="C347" s="4" t="s">
        <v>56</v>
      </c>
      <c r="D347" s="4">
        <v>500</v>
      </c>
      <c r="E347" s="4">
        <v>510</v>
      </c>
      <c r="F347" s="7">
        <f>YEAR(Table1[[#This Row],[Date]])</f>
        <v>2025</v>
      </c>
    </row>
    <row r="348" spans="1:6" ht="15.75" customHeight="1">
      <c r="A348" s="9">
        <v>346</v>
      </c>
      <c r="B348" s="3">
        <v>45789</v>
      </c>
      <c r="C348" s="4" t="s">
        <v>43</v>
      </c>
      <c r="D348" s="4">
        <v>511</v>
      </c>
      <c r="E348" s="4">
        <v>706</v>
      </c>
      <c r="F348" s="7">
        <f>YEAR(Table1[[#This Row],[Date]])</f>
        <v>2025</v>
      </c>
    </row>
    <row r="349" spans="1:6" ht="15.75" customHeight="1">
      <c r="A349" s="9">
        <v>347</v>
      </c>
      <c r="B349" s="3">
        <v>45790</v>
      </c>
      <c r="C349" s="4" t="s">
        <v>42</v>
      </c>
      <c r="D349" s="4">
        <v>500</v>
      </c>
      <c r="E349" s="4">
        <v>547</v>
      </c>
      <c r="F349" s="7">
        <f>YEAR(Table1[[#This Row],[Date]])</f>
        <v>2025</v>
      </c>
    </row>
    <row r="350" spans="1:6" ht="15.75" customHeight="1">
      <c r="A350" s="9">
        <v>348</v>
      </c>
      <c r="B350" s="3">
        <v>45810</v>
      </c>
      <c r="C350" s="4" t="s">
        <v>43</v>
      </c>
      <c r="D350" s="4">
        <v>277</v>
      </c>
      <c r="E350" s="4">
        <v>726</v>
      </c>
      <c r="F350" s="7">
        <f>YEAR(Table1[[#This Row],[Date]])</f>
        <v>2025</v>
      </c>
    </row>
    <row r="351" spans="1:6" ht="15.75" customHeight="1">
      <c r="A351" s="9">
        <v>349</v>
      </c>
      <c r="B351" s="3">
        <v>45812</v>
      </c>
      <c r="C351" s="4" t="s">
        <v>56</v>
      </c>
      <c r="D351" s="4">
        <v>500</v>
      </c>
      <c r="E351" s="4">
        <v>504</v>
      </c>
      <c r="F351" s="7">
        <f>YEAR(Table1[[#This Row],[Date]])</f>
        <v>2025</v>
      </c>
    </row>
    <row r="352" spans="1:6" ht="15.75" customHeight="1">
      <c r="A352" s="9">
        <v>350</v>
      </c>
      <c r="B352" s="3">
        <v>45818</v>
      </c>
      <c r="C352" s="4" t="s">
        <v>43</v>
      </c>
      <c r="D352" s="4">
        <v>125</v>
      </c>
      <c r="E352" s="4">
        <v>784</v>
      </c>
      <c r="F352" s="7">
        <f>YEAR(Table1[[#This Row],[Date]])</f>
        <v>2025</v>
      </c>
    </row>
    <row r="353" spans="1:6" ht="15.75" customHeight="1">
      <c r="A353" s="9">
        <v>351</v>
      </c>
      <c r="B353" s="3">
        <v>45820</v>
      </c>
      <c r="C353" s="4" t="s">
        <v>42</v>
      </c>
      <c r="D353" s="5">
        <v>3000</v>
      </c>
      <c r="E353" s="4">
        <v>529</v>
      </c>
      <c r="F353" s="7">
        <f>YEAR(Table1[[#This Row],[Date]])</f>
        <v>2025</v>
      </c>
    </row>
    <row r="354" spans="1:6" ht="15.75" customHeight="1">
      <c r="A354" s="9">
        <v>352</v>
      </c>
      <c r="B354" s="3">
        <v>45831</v>
      </c>
      <c r="C354" s="4" t="s">
        <v>43</v>
      </c>
      <c r="D354" s="4">
        <v>503</v>
      </c>
      <c r="E354" s="4">
        <v>742</v>
      </c>
      <c r="F354" s="7">
        <f>YEAR(Table1[[#This Row],[Date]])</f>
        <v>2025</v>
      </c>
    </row>
    <row r="355" spans="1:6" ht="15.75" customHeight="1">
      <c r="A355" s="9">
        <v>353</v>
      </c>
      <c r="B355" s="3">
        <v>45834</v>
      </c>
      <c r="C355" s="4" t="s">
        <v>42</v>
      </c>
      <c r="D355" s="5">
        <v>3000</v>
      </c>
      <c r="E355" s="4">
        <v>521</v>
      </c>
      <c r="F355" s="7">
        <f>YEAR(Table1[[#This Row],[Date]])</f>
        <v>2025</v>
      </c>
    </row>
    <row r="356" spans="1:6" ht="15.75" customHeight="1">
      <c r="A356" s="9">
        <v>354</v>
      </c>
      <c r="B356" s="3">
        <v>45845</v>
      </c>
      <c r="C356" s="4" t="s">
        <v>43</v>
      </c>
      <c r="D356" s="4">
        <v>356</v>
      </c>
      <c r="E356" s="4">
        <v>750</v>
      </c>
      <c r="F356" s="7">
        <f>YEAR(Table1[[#This Row],[Date]])</f>
        <v>2025</v>
      </c>
    </row>
    <row r="357" spans="1:6" ht="15.75" customHeight="1">
      <c r="A357" s="9">
        <v>355</v>
      </c>
      <c r="B357" s="3">
        <v>45846</v>
      </c>
      <c r="C357" s="4" t="s">
        <v>42</v>
      </c>
      <c r="D357" s="5">
        <v>3000</v>
      </c>
      <c r="E357" s="4">
        <v>518</v>
      </c>
      <c r="F357" s="7">
        <f>YEAR(Table1[[#This Row],[Date]])</f>
        <v>2025</v>
      </c>
    </row>
    <row r="358" spans="1:6" ht="15.75" customHeight="1">
      <c r="A358" s="9">
        <v>356</v>
      </c>
      <c r="B358" s="3">
        <v>45859</v>
      </c>
      <c r="C358" s="4" t="s">
        <v>43</v>
      </c>
      <c r="D358" s="4">
        <v>202</v>
      </c>
      <c r="E358" s="4">
        <v>788</v>
      </c>
      <c r="F358" s="7">
        <f>YEAR(Table1[[#This Row],[Date]])</f>
        <v>2025</v>
      </c>
    </row>
    <row r="359" spans="1:6" ht="15.75" customHeight="1">
      <c r="A359" s="9">
        <v>357</v>
      </c>
      <c r="B359" s="3">
        <v>45860</v>
      </c>
      <c r="C359" s="4" t="s">
        <v>56</v>
      </c>
      <c r="D359" s="5">
        <v>4000</v>
      </c>
      <c r="E359" s="4">
        <v>475</v>
      </c>
      <c r="F359" s="7">
        <f>YEAR(Table1[[#This Row],[Date]])</f>
        <v>2025</v>
      </c>
    </row>
    <row r="360" spans="1:6" ht="15.75" customHeight="1">
      <c r="A360" s="9">
        <v>358</v>
      </c>
      <c r="B360" s="3">
        <v>45875</v>
      </c>
      <c r="C360" s="4" t="s">
        <v>43</v>
      </c>
      <c r="D360" s="4">
        <v>225</v>
      </c>
      <c r="E360" s="4">
        <v>739</v>
      </c>
      <c r="F360" s="7">
        <f>YEAR(Table1[[#This Row],[Date]])</f>
        <v>2025</v>
      </c>
    </row>
    <row r="361" spans="1:6" ht="15.75" customHeight="1">
      <c r="A361" s="9">
        <v>359</v>
      </c>
      <c r="B361" s="3">
        <v>45876</v>
      </c>
      <c r="C361" s="4" t="s">
        <v>42</v>
      </c>
      <c r="D361" s="5">
        <v>1000</v>
      </c>
      <c r="E361" s="4">
        <v>534</v>
      </c>
      <c r="F361" s="7">
        <f>YEAR(Table1[[#This Row],[Date]])</f>
        <v>2025</v>
      </c>
    </row>
    <row r="362" spans="1:6" ht="15.75" customHeight="1">
      <c r="A362" s="9">
        <v>360</v>
      </c>
      <c r="B362" s="3">
        <v>45877</v>
      </c>
      <c r="C362" s="4" t="s">
        <v>50</v>
      </c>
      <c r="D362" s="5">
        <v>2500</v>
      </c>
      <c r="E362" s="4">
        <v>481</v>
      </c>
      <c r="F362" s="7">
        <f>YEAR(Table1[[#This Row],[Date]])</f>
        <v>2025</v>
      </c>
    </row>
    <row r="363" spans="1:6" ht="15.75" customHeight="1">
      <c r="A363" s="9">
        <v>361</v>
      </c>
      <c r="B363" s="3">
        <v>45887</v>
      </c>
      <c r="C363" s="4" t="s">
        <v>43</v>
      </c>
      <c r="D363" s="4">
        <v>192</v>
      </c>
      <c r="E363" s="4">
        <v>800</v>
      </c>
      <c r="F363" s="7">
        <f>YEAR(Table1[[#This Row],[Date]])</f>
        <v>2025</v>
      </c>
    </row>
    <row r="364" spans="1:6" ht="15.75" customHeight="1">
      <c r="A364" s="9">
        <v>362</v>
      </c>
      <c r="B364" s="3">
        <v>45888</v>
      </c>
      <c r="C364" s="4" t="s">
        <v>56</v>
      </c>
      <c r="D364" s="5">
        <v>2500</v>
      </c>
      <c r="E364" s="4">
        <v>470</v>
      </c>
      <c r="F364" s="7">
        <f>YEAR(Table1[[#This Row],[Date]])</f>
        <v>2025</v>
      </c>
    </row>
    <row r="365" spans="1:6" ht="15.75" customHeight="1">
      <c r="A365" s="9">
        <v>363</v>
      </c>
      <c r="B365" s="3">
        <v>45902</v>
      </c>
      <c r="C365" s="4" t="s">
        <v>43</v>
      </c>
      <c r="D365" s="4">
        <v>249</v>
      </c>
      <c r="E365" s="4">
        <v>772</v>
      </c>
      <c r="F365" s="7">
        <f>YEAR(Table1[[#This Row],[Date]])</f>
        <v>2025</v>
      </c>
    </row>
    <row r="366" spans="1:6" ht="15.75" customHeight="1">
      <c r="A366" s="9">
        <v>364</v>
      </c>
      <c r="B366" s="3">
        <v>45903</v>
      </c>
      <c r="C366" s="4" t="s">
        <v>42</v>
      </c>
      <c r="D366" s="5">
        <v>1000</v>
      </c>
      <c r="E366" s="4">
        <v>534</v>
      </c>
      <c r="F366" s="7">
        <f>YEAR(Table1[[#This Row],[Date]])</f>
        <v>2025</v>
      </c>
    </row>
    <row r="367" spans="1:6" ht="15.75" customHeight="1">
      <c r="A367" s="9">
        <v>365</v>
      </c>
      <c r="B367" s="3">
        <v>45904</v>
      </c>
      <c r="C367" s="4" t="s">
        <v>50</v>
      </c>
      <c r="D367" s="5">
        <v>4500</v>
      </c>
      <c r="E367" s="4">
        <v>446</v>
      </c>
      <c r="F367" s="7">
        <f>YEAR(Table1[[#This Row],[Date]])</f>
        <v>2025</v>
      </c>
    </row>
    <row r="368" spans="1:6" ht="15.75" customHeight="1">
      <c r="A368" s="9">
        <v>366</v>
      </c>
      <c r="B368" s="3">
        <v>45915</v>
      </c>
      <c r="C368" s="4" t="s">
        <v>43</v>
      </c>
      <c r="D368" s="4">
        <v>228</v>
      </c>
      <c r="E368" s="4">
        <v>746</v>
      </c>
      <c r="F368" s="7">
        <f>YEAR(Table1[[#This Row],[Date]])</f>
        <v>2025</v>
      </c>
    </row>
    <row r="369" spans="1:6" ht="15.75" customHeight="1">
      <c r="A369" s="9">
        <v>367</v>
      </c>
      <c r="B369" s="3">
        <v>45917</v>
      </c>
      <c r="C369" s="4" t="s">
        <v>55</v>
      </c>
      <c r="D369" s="5">
        <v>2500</v>
      </c>
      <c r="E369" s="4">
        <v>462</v>
      </c>
      <c r="F369" s="7">
        <f>YEAR(Table1[[#This Row],[Date]])</f>
        <v>2025</v>
      </c>
    </row>
    <row r="370" spans="1:6" ht="15.75" customHeight="1">
      <c r="A370" s="9">
        <v>368</v>
      </c>
      <c r="B370" s="3">
        <v>45918</v>
      </c>
      <c r="C370" s="4" t="s">
        <v>57</v>
      </c>
      <c r="D370" s="5">
        <v>1250</v>
      </c>
      <c r="E370" s="4">
        <v>505</v>
      </c>
      <c r="F370" s="7">
        <f>YEAR(Table1[[#This Row],[Date]])</f>
        <v>2025</v>
      </c>
    </row>
    <row r="371" spans="1:6" ht="15.75" customHeight="1">
      <c r="A371" s="9">
        <v>369</v>
      </c>
      <c r="B371" s="3">
        <v>45929</v>
      </c>
      <c r="C371" s="4" t="s">
        <v>43</v>
      </c>
      <c r="D371" s="4">
        <v>291</v>
      </c>
      <c r="E371" s="4">
        <v>855</v>
      </c>
      <c r="F371" s="7">
        <f>YEAR(Table1[[#This Row],[Date]])</f>
        <v>2025</v>
      </c>
    </row>
    <row r="372" spans="1:6" ht="15.75" customHeight="1">
      <c r="A372" s="9">
        <v>370</v>
      </c>
      <c r="B372" s="3">
        <v>45931</v>
      </c>
      <c r="C372" s="4" t="s">
        <v>42</v>
      </c>
      <c r="D372" s="5">
        <v>1000</v>
      </c>
      <c r="E372" s="4">
        <v>534</v>
      </c>
      <c r="F372" s="7">
        <f>YEAR(Table1[[#This Row],[Date]])</f>
        <v>2025</v>
      </c>
    </row>
    <row r="373" spans="1:6" ht="15.75" customHeight="1">
      <c r="A373" s="9">
        <v>371</v>
      </c>
      <c r="B373" s="3">
        <v>45936</v>
      </c>
      <c r="C373" s="4" t="s">
        <v>50</v>
      </c>
      <c r="D373" s="5">
        <v>4500</v>
      </c>
      <c r="E373" s="4">
        <v>432</v>
      </c>
      <c r="F373" s="7">
        <f>YEAR(Table1[[#This Row],[Date]])</f>
        <v>2025</v>
      </c>
    </row>
    <row r="374" spans="1:6" ht="15.75" customHeight="1">
      <c r="A374" s="9">
        <v>372</v>
      </c>
      <c r="B374" s="3">
        <v>45944</v>
      </c>
      <c r="C374" s="4" t="s">
        <v>43</v>
      </c>
      <c r="D374" s="4">
        <v>345</v>
      </c>
      <c r="E374" s="4">
        <v>778</v>
      </c>
      <c r="F374" s="7">
        <f>YEAR(Table1[[#This Row],[Date]])</f>
        <v>2025</v>
      </c>
    </row>
    <row r="375" spans="1:6" ht="15.75" customHeight="1">
      <c r="A375" s="9">
        <v>373</v>
      </c>
      <c r="B375" s="3">
        <v>45945</v>
      </c>
      <c r="C375" s="4" t="s">
        <v>56</v>
      </c>
      <c r="D375" s="5">
        <v>2500</v>
      </c>
      <c r="E375" s="4">
        <v>472</v>
      </c>
      <c r="F375" s="7">
        <f>YEAR(Table1[[#This Row],[Date]])</f>
        <v>2025</v>
      </c>
    </row>
    <row r="376" spans="1:6" ht="15.75" customHeight="1">
      <c r="A376" s="9">
        <v>374</v>
      </c>
      <c r="B376" s="3">
        <v>45957</v>
      </c>
      <c r="C376" s="4" t="s">
        <v>43</v>
      </c>
      <c r="D376" s="4">
        <v>302</v>
      </c>
      <c r="E376" s="4">
        <v>761</v>
      </c>
      <c r="F376" s="7">
        <f>YEAR(Table1[[#This Row],[Date]])</f>
        <v>2025</v>
      </c>
    </row>
    <row r="377" spans="1:6" ht="15.75" customHeight="1">
      <c r="A377" s="9">
        <v>375</v>
      </c>
      <c r="B377" s="3">
        <v>45958</v>
      </c>
      <c r="C377" s="4" t="s">
        <v>42</v>
      </c>
      <c r="D377" s="5">
        <v>1000</v>
      </c>
      <c r="E377" s="4">
        <v>533</v>
      </c>
      <c r="F377" s="7">
        <f>YEAR(Table1[[#This Row],[Date]])</f>
        <v>2025</v>
      </c>
    </row>
    <row r="378" spans="1:6" ht="15.75" customHeight="1">
      <c r="A378" s="9">
        <v>376</v>
      </c>
      <c r="B378" s="3">
        <v>45959</v>
      </c>
      <c r="C378" s="4" t="s">
        <v>50</v>
      </c>
      <c r="D378" s="5">
        <v>6000</v>
      </c>
      <c r="E378" s="4">
        <v>416</v>
      </c>
      <c r="F378" s="7">
        <f>YEAR(Table1[[#This Row],[Date]])</f>
        <v>2025</v>
      </c>
    </row>
    <row r="379" spans="1:6" ht="15.75" customHeight="1">
      <c r="A379" s="9">
        <v>377</v>
      </c>
      <c r="B379" s="3">
        <v>45971</v>
      </c>
      <c r="C379" s="4" t="s">
        <v>43</v>
      </c>
      <c r="D379" s="4">
        <v>714</v>
      </c>
      <c r="E379" s="4">
        <v>738</v>
      </c>
      <c r="F379" s="7">
        <f>YEAR(Table1[[#This Row],[Date]])</f>
        <v>2025</v>
      </c>
    </row>
    <row r="380" spans="1:6" ht="15.75" customHeight="1">
      <c r="A380" s="9">
        <v>378</v>
      </c>
      <c r="B380" s="3">
        <v>45973</v>
      </c>
      <c r="C380" s="4" t="s">
        <v>42</v>
      </c>
      <c r="D380" s="5">
        <v>1000</v>
      </c>
      <c r="E380" s="4">
        <v>533</v>
      </c>
      <c r="F380" s="7">
        <f>YEAR(Table1[[#This Row],[Date]])</f>
        <v>2025</v>
      </c>
    </row>
    <row r="381" spans="1:6" ht="15.75" customHeight="1">
      <c r="A381" s="9">
        <v>379</v>
      </c>
      <c r="B381" s="3">
        <v>45975</v>
      </c>
      <c r="C381" s="4" t="s">
        <v>56</v>
      </c>
      <c r="D381" s="5">
        <v>3500</v>
      </c>
      <c r="E381" s="4">
        <v>462</v>
      </c>
      <c r="F381" s="7">
        <f>YEAR(Table1[[#This Row],[Date]])</f>
        <v>2025</v>
      </c>
    </row>
    <row r="382" spans="1:6" ht="15.75" customHeight="1">
      <c r="A382" s="9">
        <v>380</v>
      </c>
      <c r="B382" s="3">
        <v>45986</v>
      </c>
      <c r="C382" s="4" t="s">
        <v>43</v>
      </c>
      <c r="D382" s="4">
        <v>777</v>
      </c>
      <c r="E382" s="4">
        <v>699</v>
      </c>
      <c r="F382" s="7">
        <f>YEAR(Table1[[#This Row],[Date]])</f>
        <v>2025</v>
      </c>
    </row>
    <row r="383" spans="1:6" ht="15.75" customHeight="1">
      <c r="A383" s="9">
        <v>381</v>
      </c>
      <c r="B383" s="3">
        <v>45987</v>
      </c>
      <c r="C383" s="4" t="s">
        <v>42</v>
      </c>
      <c r="D383" s="5">
        <v>1000</v>
      </c>
      <c r="E383" s="4">
        <v>531</v>
      </c>
      <c r="F383" s="7">
        <f>YEAR(Table1[[#This Row],[Date]])</f>
        <v>2025</v>
      </c>
    </row>
    <row r="384" spans="1:6" ht="15.75" customHeight="1">
      <c r="A384" s="9">
        <v>382</v>
      </c>
      <c r="B384" s="3">
        <v>45989</v>
      </c>
      <c r="C384" s="4" t="s">
        <v>50</v>
      </c>
      <c r="D384" s="5">
        <v>6000</v>
      </c>
      <c r="E384" s="4">
        <v>408</v>
      </c>
      <c r="F384" s="7">
        <f>YEAR(Table1[[#This Row],[Date]])</f>
        <v>2025</v>
      </c>
    </row>
    <row r="385" spans="1:6" ht="15.75" customHeight="1">
      <c r="A385" s="9">
        <v>383</v>
      </c>
      <c r="B385" s="3">
        <v>45999</v>
      </c>
      <c r="C385" s="4" t="s">
        <v>43</v>
      </c>
      <c r="D385" s="5">
        <v>1123</v>
      </c>
      <c r="E385" s="4">
        <v>729</v>
      </c>
      <c r="F385" s="7">
        <f>YEAR(Table1[[#This Row],[Date]])</f>
        <v>2025</v>
      </c>
    </row>
    <row r="386" spans="1:6" ht="15.75" customHeight="1">
      <c r="A386" s="9">
        <v>384</v>
      </c>
      <c r="B386" s="3">
        <v>46001</v>
      </c>
      <c r="C386" s="4" t="s">
        <v>42</v>
      </c>
      <c r="D386" s="5">
        <v>6000</v>
      </c>
      <c r="E386" s="4">
        <v>520</v>
      </c>
      <c r="F386" s="7">
        <f>YEAR(Table1[[#This Row],[Date]])</f>
        <v>2025</v>
      </c>
    </row>
    <row r="387" spans="1:6" ht="15.75" customHeight="1">
      <c r="A387" s="9">
        <v>385</v>
      </c>
      <c r="B387" s="3">
        <v>46002</v>
      </c>
      <c r="C387" s="4" t="s">
        <v>56</v>
      </c>
      <c r="D387" s="5">
        <v>1000</v>
      </c>
      <c r="E387" s="4">
        <v>476</v>
      </c>
      <c r="F387" s="7">
        <f>YEAR(Table1[[#This Row],[Date]])</f>
        <v>2025</v>
      </c>
    </row>
    <row r="388" spans="1:6" ht="15.75" customHeight="1">
      <c r="A388" s="9">
        <v>386</v>
      </c>
      <c r="B388" s="3">
        <v>46006</v>
      </c>
      <c r="C388" s="4" t="s">
        <v>43</v>
      </c>
      <c r="D388" s="4">
        <v>399</v>
      </c>
      <c r="E388" s="4">
        <v>731</v>
      </c>
      <c r="F388" s="7">
        <f>YEAR(Table1[[#This Row],[Date]])</f>
        <v>2025</v>
      </c>
    </row>
    <row r="389" spans="1:6" ht="15.75" customHeight="1">
      <c r="A389" s="9">
        <v>387</v>
      </c>
      <c r="B389" s="3">
        <v>46007</v>
      </c>
      <c r="C389" s="4" t="s">
        <v>42</v>
      </c>
      <c r="D389" s="5">
        <v>5000</v>
      </c>
      <c r="E389" s="4">
        <v>515</v>
      </c>
      <c r="F389" s="7">
        <f>YEAR(Table1[[#This Row],[Date]])</f>
        <v>2025</v>
      </c>
    </row>
    <row r="390" spans="1:6" ht="15.75" customHeight="1">
      <c r="A390" s="9">
        <v>388</v>
      </c>
      <c r="B390" s="3">
        <v>46008</v>
      </c>
      <c r="C390" s="4" t="s">
        <v>50</v>
      </c>
      <c r="D390" s="5">
        <v>6000</v>
      </c>
      <c r="E390" s="4">
        <v>399</v>
      </c>
      <c r="F390" s="7">
        <f>YEAR(Table1[[#This Row],[Date]])</f>
        <v>2025</v>
      </c>
    </row>
    <row r="391" spans="1:6" ht="15.75" customHeight="1">
      <c r="A391" s="9">
        <v>389</v>
      </c>
      <c r="B391" s="3">
        <v>46027</v>
      </c>
      <c r="C391" s="4" t="s">
        <v>43</v>
      </c>
      <c r="D391" s="4">
        <v>574</v>
      </c>
      <c r="E391" s="4">
        <v>711</v>
      </c>
      <c r="F391" s="7">
        <f>YEAR(Table1[[#This Row],[Date]])</f>
        <v>2026</v>
      </c>
    </row>
    <row r="392" spans="1:6" ht="15.75" customHeight="1">
      <c r="A392" s="10">
        <v>390</v>
      </c>
      <c r="B392" s="11">
        <v>46029</v>
      </c>
      <c r="C392" s="12" t="s">
        <v>42</v>
      </c>
      <c r="D392" s="13">
        <v>8000</v>
      </c>
      <c r="E392" s="12">
        <v>511</v>
      </c>
      <c r="F392" s="7">
        <f>YEAR(Table1[[#This Row],[Date]])</f>
        <v>2026</v>
      </c>
    </row>
    <row r="393" spans="1:6" ht="15.75" customHeight="1">
      <c r="A393" s="55">
        <v>391</v>
      </c>
      <c r="B393" s="3">
        <v>46042</v>
      </c>
      <c r="C393" s="4" t="s">
        <v>43</v>
      </c>
      <c r="D393" s="4">
        <v>681</v>
      </c>
      <c r="E393" s="4">
        <v>746</v>
      </c>
      <c r="F393" s="7">
        <f>YEAR(Table1[[#This Row],[Date]])</f>
        <v>2026</v>
      </c>
    </row>
    <row r="394" spans="1:6" ht="15.75" customHeight="1">
      <c r="A394" s="78">
        <v>392</v>
      </c>
      <c r="B394" s="3">
        <v>46043</v>
      </c>
      <c r="C394" s="4" t="s">
        <v>42</v>
      </c>
      <c r="D394" s="5">
        <v>6000</v>
      </c>
      <c r="E394" s="4">
        <v>509</v>
      </c>
      <c r="F394" s="7">
        <f>YEAR(Table1[[#This Row],[Date]])</f>
        <v>2026</v>
      </c>
    </row>
    <row r="395" spans="1:6" ht="15.75" customHeight="1">
      <c r="A395" s="9">
        <v>393</v>
      </c>
      <c r="B395" s="3">
        <v>46056</v>
      </c>
      <c r="C395" s="4" t="s">
        <v>43</v>
      </c>
      <c r="D395" s="4">
        <v>423</v>
      </c>
      <c r="E395" s="4">
        <v>749</v>
      </c>
      <c r="F395" s="64">
        <f>YEAR(Table1[[#This Row],[Date]])</f>
        <v>2026</v>
      </c>
    </row>
    <row r="396" spans="1:6" ht="15.75" customHeight="1">
      <c r="A396" s="74">
        <v>394</v>
      </c>
      <c r="B396" s="70">
        <v>46059</v>
      </c>
      <c r="C396" s="71" t="s">
        <v>58</v>
      </c>
      <c r="D396" s="72">
        <v>8500</v>
      </c>
      <c r="E396" s="71">
        <v>400</v>
      </c>
      <c r="F396" s="6">
        <f>YEAR(Table1[[#This Row],[Date]])</f>
        <v>2026</v>
      </c>
    </row>
    <row r="397" spans="1:6" ht="15.75" customHeight="1">
      <c r="A397" s="69">
        <v>395</v>
      </c>
      <c r="B397" s="70">
        <v>46069</v>
      </c>
      <c r="C397" s="71" t="s">
        <v>43</v>
      </c>
      <c r="D397" s="71">
        <v>279</v>
      </c>
      <c r="E397" s="71">
        <v>789</v>
      </c>
      <c r="F397" s="73">
        <f>YEAR(Table1[[#This Row],[Date]])</f>
        <v>2026</v>
      </c>
    </row>
    <row r="398" spans="1:6" ht="15.75" customHeight="1">
      <c r="A398" s="69">
        <v>396</v>
      </c>
      <c r="B398" s="70">
        <v>46070</v>
      </c>
      <c r="C398" s="71" t="s">
        <v>42</v>
      </c>
      <c r="D398" s="72">
        <v>6000</v>
      </c>
      <c r="E398" s="71">
        <v>508</v>
      </c>
      <c r="F398" s="73">
        <f>YEAR(Table1[[#This Row],[Date]])</f>
        <v>2026</v>
      </c>
    </row>
    <row r="399" spans="1:6" ht="15.75" customHeight="1">
      <c r="A399" s="69">
        <v>397</v>
      </c>
      <c r="B399" s="70">
        <v>46072</v>
      </c>
      <c r="C399" s="71" t="s">
        <v>59</v>
      </c>
      <c r="D399" s="71">
        <v>391</v>
      </c>
      <c r="E399" s="71">
        <v>169</v>
      </c>
      <c r="F399" s="73">
        <f>YEAR(Table1[[#This Row],[Date]])</f>
        <v>2026</v>
      </c>
    </row>
    <row r="400" spans="1:6" ht="15.75" customHeight="1">
      <c r="A400" s="55">
        <v>398</v>
      </c>
      <c r="B400" s="3">
        <v>46073</v>
      </c>
      <c r="C400" s="4" t="s">
        <v>60</v>
      </c>
      <c r="D400" s="4">
        <v>4000</v>
      </c>
      <c r="E400" s="4">
        <v>467</v>
      </c>
      <c r="F400" s="7">
        <f>YEAR(Table1[[#This Row],[Date]])</f>
        <v>2026</v>
      </c>
    </row>
    <row r="401" spans="1:6" ht="15.75" customHeight="1">
      <c r="A401" s="55">
        <v>399</v>
      </c>
      <c r="B401" s="3">
        <v>46083</v>
      </c>
      <c r="C401" s="4" t="s">
        <v>43</v>
      </c>
      <c r="D401" s="5">
        <v>264</v>
      </c>
      <c r="E401" s="4">
        <v>710</v>
      </c>
      <c r="F401" s="7">
        <f>YEAR(Table1[[#This Row],[Date]])</f>
        <v>2026</v>
      </c>
    </row>
    <row r="402" spans="1:6" ht="15.75" customHeight="1">
      <c r="A402" s="55">
        <v>400</v>
      </c>
      <c r="B402" s="3">
        <v>46084</v>
      </c>
      <c r="C402" s="4" t="s">
        <v>42</v>
      </c>
      <c r="D402" s="4">
        <v>4000</v>
      </c>
      <c r="E402" s="4">
        <v>508</v>
      </c>
      <c r="F402" s="64">
        <f>YEAR(Table1[[#This Row],[Date]])</f>
        <v>2026</v>
      </c>
    </row>
    <row r="403" spans="1:6" ht="15.75" customHeight="1">
      <c r="A403" s="55">
        <v>401</v>
      </c>
      <c r="B403" s="3">
        <v>46085</v>
      </c>
      <c r="C403" s="4" t="s">
        <v>58</v>
      </c>
      <c r="D403" s="5">
        <v>5500</v>
      </c>
      <c r="E403" s="4">
        <v>397</v>
      </c>
      <c r="F403" s="7">
        <f>YEAR(Table1[[#This Row],[Date]])</f>
        <v>2026</v>
      </c>
    </row>
    <row r="404" spans="1:6" ht="15.75" customHeight="1">
      <c r="A404" s="55">
        <v>402</v>
      </c>
      <c r="B404" s="3">
        <v>46086</v>
      </c>
      <c r="C404" s="71" t="s">
        <v>61</v>
      </c>
      <c r="D404" s="4">
        <v>250</v>
      </c>
      <c r="E404" s="4">
        <v>429</v>
      </c>
      <c r="F404" s="64">
        <f>YEAR(Table1[[#This Row],[Date]])</f>
        <v>2026</v>
      </c>
    </row>
    <row r="405" spans="1:6" ht="15.75" customHeight="1">
      <c r="A405" s="78">
        <v>403</v>
      </c>
      <c r="B405" s="3">
        <v>46097</v>
      </c>
      <c r="C405" s="4" t="s">
        <v>43</v>
      </c>
      <c r="D405" s="4">
        <v>362</v>
      </c>
      <c r="E405" s="4">
        <v>742</v>
      </c>
      <c r="F405" s="64">
        <f>YEAR(Table1[[#This Row],[Date]])</f>
        <v>2026</v>
      </c>
    </row>
    <row r="406" spans="1:6" ht="15.75" customHeight="1">
      <c r="A406" s="78">
        <v>404</v>
      </c>
      <c r="B406" s="3">
        <v>46098</v>
      </c>
      <c r="C406" s="4" t="s">
        <v>42</v>
      </c>
      <c r="D406" s="5">
        <v>4000</v>
      </c>
      <c r="E406" s="4">
        <v>507</v>
      </c>
      <c r="F406" s="64">
        <f>YEAR(Table1[[#This Row],[Date]])</f>
        <v>2026</v>
      </c>
    </row>
    <row r="407" spans="1:6" ht="15.75" customHeight="1">
      <c r="A407" s="19">
        <v>405</v>
      </c>
      <c r="B407" s="3">
        <v>46099</v>
      </c>
      <c r="C407" s="4" t="s">
        <v>58</v>
      </c>
      <c r="D407" s="5">
        <v>4000</v>
      </c>
      <c r="E407" s="4">
        <v>393</v>
      </c>
      <c r="F407" s="64">
        <f>YEAR(Table1[[#This Row],[Date]])</f>
        <v>2026</v>
      </c>
    </row>
    <row r="408" spans="1:6" ht="15.75" customHeight="1">
      <c r="A408" s="55">
        <v>406</v>
      </c>
      <c r="B408" s="3">
        <v>46111</v>
      </c>
      <c r="C408" s="71" t="s">
        <v>43</v>
      </c>
      <c r="D408" s="4">
        <v>356</v>
      </c>
      <c r="E408" s="4">
        <v>802</v>
      </c>
      <c r="F408" s="64">
        <f>YEAR(Table1[[#This Row],[Date]])</f>
        <v>2026</v>
      </c>
    </row>
    <row r="409" spans="1:6" ht="15.75" customHeight="1">
      <c r="A409" s="55">
        <v>407</v>
      </c>
      <c r="B409" s="3">
        <v>46112</v>
      </c>
      <c r="C409" s="4" t="s">
        <v>42</v>
      </c>
      <c r="D409" s="5">
        <v>2250</v>
      </c>
      <c r="E409" s="4">
        <v>509</v>
      </c>
      <c r="F409" s="7">
        <f>YEAR(Table1[[#This Row],[Date]])</f>
        <v>2026</v>
      </c>
    </row>
    <row r="410" spans="1:6" ht="15.75" customHeight="1">
      <c r="A410" s="55">
        <v>408</v>
      </c>
      <c r="B410" s="3">
        <v>46114</v>
      </c>
      <c r="C410" s="4" t="s">
        <v>62</v>
      </c>
      <c r="D410" s="4">
        <v>3000</v>
      </c>
      <c r="E410" s="4">
        <v>477</v>
      </c>
      <c r="F410" s="64">
        <f>YEAR(Table1[[#This Row],[Date]])</f>
        <v>2026</v>
      </c>
    </row>
    <row r="411" spans="1:6" ht="15.75" customHeight="1">
      <c r="A411" s="55">
        <v>409</v>
      </c>
      <c r="B411" s="3">
        <v>46125</v>
      </c>
      <c r="C411" s="4" t="s">
        <v>43</v>
      </c>
      <c r="D411" s="4">
        <v>324</v>
      </c>
      <c r="E411" s="4">
        <v>786</v>
      </c>
      <c r="F411" s="64">
        <f>YEAR(Table1[[#This Row],[Date]])</f>
        <v>2026</v>
      </c>
    </row>
    <row r="412" spans="1:6" ht="15.75" customHeight="1">
      <c r="A412" s="55">
        <v>410</v>
      </c>
      <c r="B412" s="3">
        <v>46126</v>
      </c>
      <c r="C412" s="4" t="s">
        <v>42</v>
      </c>
      <c r="D412" s="4">
        <v>2000</v>
      </c>
      <c r="E412" s="4">
        <v>515</v>
      </c>
      <c r="F412" s="64">
        <f>YEAR(Table1[[#This Row],[Date]])</f>
        <v>2026</v>
      </c>
    </row>
    <row r="413" spans="1:6" ht="15.75" customHeight="1">
      <c r="A413" s="55">
        <v>411</v>
      </c>
      <c r="B413" s="3">
        <v>46127</v>
      </c>
      <c r="C413" s="4" t="s">
        <v>58</v>
      </c>
      <c r="D413" s="4">
        <v>4000</v>
      </c>
      <c r="E413" s="4">
        <v>419</v>
      </c>
      <c r="F413" s="64">
        <f>YEAR(Table1[[#This Row],[Date]])</f>
        <v>2026</v>
      </c>
    </row>
    <row r="414" spans="1:6" ht="15.75" customHeight="1">
      <c r="A414" s="55">
        <v>412</v>
      </c>
      <c r="B414" s="3">
        <v>46139</v>
      </c>
      <c r="C414" s="4" t="s">
        <v>43</v>
      </c>
      <c r="D414" s="4">
        <v>473</v>
      </c>
      <c r="E414" s="4">
        <v>795</v>
      </c>
      <c r="F414" s="64">
        <f>YEAR(Table1[[#This Row],[Date]])</f>
        <v>2026</v>
      </c>
    </row>
    <row r="415" spans="1:6" ht="15.75" customHeight="1">
      <c r="A415" s="55">
        <v>413</v>
      </c>
      <c r="B415" s="3">
        <v>46140</v>
      </c>
      <c r="C415" s="4" t="s">
        <v>42</v>
      </c>
      <c r="D415" s="4">
        <v>2000</v>
      </c>
      <c r="E415" s="4">
        <v>514</v>
      </c>
      <c r="F415" s="64">
        <f>YEAR(Table1[[#This Row],[Date]])</f>
        <v>2026</v>
      </c>
    </row>
    <row r="416" spans="1:6" ht="15.75" customHeight="1">
      <c r="A416" s="55">
        <v>414</v>
      </c>
      <c r="B416" s="3">
        <v>46141</v>
      </c>
      <c r="C416" s="4" t="s">
        <v>58</v>
      </c>
      <c r="D416" s="4">
        <v>4000</v>
      </c>
      <c r="E416" s="4">
        <v>400</v>
      </c>
      <c r="F416" s="64">
        <f>YEAR(Table1[[#This Row],[Date]])</f>
        <v>2026</v>
      </c>
    </row>
    <row r="417" spans="1:6" ht="15.75" customHeight="1">
      <c r="A417" s="55">
        <v>415</v>
      </c>
      <c r="B417" s="3">
        <v>46153</v>
      </c>
      <c r="C417" s="4" t="s">
        <v>43</v>
      </c>
      <c r="D417" s="4">
        <v>380</v>
      </c>
      <c r="E417" s="4">
        <v>798</v>
      </c>
      <c r="F417" s="64">
        <f>YEAR(Table1[[#This Row],[Date]])</f>
        <v>2026</v>
      </c>
    </row>
    <row r="418" spans="1:6" ht="15.75" customHeight="1">
      <c r="A418" s="55">
        <v>416</v>
      </c>
      <c r="B418" s="3">
        <v>46167</v>
      </c>
      <c r="C418" s="4" t="s">
        <v>43</v>
      </c>
      <c r="D418" s="4">
        <v>334</v>
      </c>
      <c r="E418" s="4">
        <v>805</v>
      </c>
      <c r="F418" s="64">
        <f>YEAR(Table1[[#This Row],[Date]])</f>
        <v>2026</v>
      </c>
    </row>
    <row r="419" spans="1:6" ht="15.75" customHeight="1">
      <c r="A419" s="55">
        <v>417</v>
      </c>
      <c r="B419" s="3">
        <v>46169</v>
      </c>
      <c r="C419" s="4" t="s">
        <v>42</v>
      </c>
      <c r="D419" s="4">
        <v>3000</v>
      </c>
      <c r="E419" s="4">
        <v>518</v>
      </c>
      <c r="F419" s="64">
        <f>YEAR(Table1[[#This Row],[Date]])</f>
        <v>2026</v>
      </c>
    </row>
    <row r="420" spans="1:6" ht="15.75" customHeight="1">
      <c r="A420" s="55">
        <v>418</v>
      </c>
      <c r="B420" s="3">
        <v>46170</v>
      </c>
      <c r="C420" s="4" t="s">
        <v>58</v>
      </c>
      <c r="D420" s="4">
        <v>4500</v>
      </c>
      <c r="E420" s="4">
        <v>409</v>
      </c>
      <c r="F420" s="64">
        <f>YEAR(Table1[[#This Row],[Date]])</f>
        <v>2026</v>
      </c>
    </row>
    <row r="421" spans="1:6" ht="15.75" customHeight="1">
      <c r="A421" s="55">
        <v>419</v>
      </c>
      <c r="B421" s="3">
        <v>46195</v>
      </c>
      <c r="C421" s="4" t="s">
        <v>43</v>
      </c>
      <c r="D421" s="4">
        <v>955</v>
      </c>
      <c r="E421" s="4">
        <v>730</v>
      </c>
      <c r="F421" s="64">
        <f>YEAR(Table1[[#This Row],[Date]])</f>
        <v>2026</v>
      </c>
    </row>
    <row r="422" spans="1:6" ht="15.75" customHeight="1">
      <c r="A422" s="9"/>
      <c r="B422" s="3"/>
      <c r="C422" s="4"/>
      <c r="D422" s="4"/>
      <c r="E422" s="4"/>
      <c r="F422" s="64">
        <f>YEAR(Table1[[#This Row],[Date]])</f>
        <v>1900</v>
      </c>
    </row>
    <row r="423" spans="1:6" ht="15.75" customHeight="1">
      <c r="A423" s="9"/>
      <c r="B423" s="3"/>
      <c r="C423" s="4"/>
      <c r="D423" s="4"/>
      <c r="E423" s="4"/>
      <c r="F423" s="64">
        <f>YEAR(Table1[[#This Row],[Date]])</f>
        <v>1900</v>
      </c>
    </row>
    <row r="424" spans="1:6" ht="15.75" customHeight="1">
      <c r="A424" s="9"/>
      <c r="B424" s="3"/>
      <c r="C424" s="4"/>
      <c r="D424" s="4"/>
      <c r="E424" s="4"/>
      <c r="F424" s="64">
        <f>YEAR(Table1[[#This Row],[Date]])</f>
        <v>1900</v>
      </c>
    </row>
    <row r="425" spans="1:6" ht="15.75" customHeight="1">
      <c r="A425" s="9"/>
      <c r="B425" s="3"/>
      <c r="C425" s="4"/>
      <c r="D425" s="4"/>
      <c r="E425" s="4"/>
      <c r="F425" s="64">
        <f>YEAR(Table1[[#This Row],[Date]])</f>
        <v>1900</v>
      </c>
    </row>
    <row r="426" spans="1:6" ht="15.75" customHeight="1">
      <c r="A426" s="9"/>
      <c r="B426" s="3"/>
      <c r="C426" s="4"/>
      <c r="D426" s="4"/>
      <c r="E426" s="4"/>
      <c r="F426" s="64">
        <f>YEAR(Table1[[#This Row],[Date]])</f>
        <v>1900</v>
      </c>
    </row>
    <row r="427" spans="1:6" ht="15.75" customHeight="1">
      <c r="A427" s="9"/>
      <c r="B427" s="3"/>
      <c r="C427" s="4"/>
      <c r="D427" s="4"/>
      <c r="E427" s="4"/>
      <c r="F427" s="64">
        <f>YEAR(Table1[[#This Row],[Date]])</f>
        <v>1900</v>
      </c>
    </row>
    <row r="428" spans="1:6" ht="15.75" customHeight="1">
      <c r="A428" s="9"/>
      <c r="B428" s="3"/>
      <c r="C428" s="4"/>
      <c r="D428" s="4"/>
      <c r="E428" s="4"/>
      <c r="F428" s="64">
        <f>YEAR(Table1[[#This Row],[Date]])</f>
        <v>1900</v>
      </c>
    </row>
    <row r="429" spans="1:6" ht="15.75" customHeight="1">
      <c r="A429" s="9"/>
      <c r="B429" s="3"/>
      <c r="C429" s="4"/>
      <c r="D429" s="4"/>
      <c r="E429" s="4"/>
      <c r="F429" s="64">
        <f>YEAR(Table1[[#This Row],[Date]])</f>
        <v>1900</v>
      </c>
    </row>
    <row r="430" spans="1:6" ht="15.75" customHeight="1">
      <c r="A430" s="9"/>
      <c r="B430" s="3"/>
      <c r="C430" s="4"/>
      <c r="D430" s="4"/>
      <c r="E430" s="4"/>
      <c r="F430" s="64">
        <f>YEAR(Table1[[#This Row],[Date]])</f>
        <v>1900</v>
      </c>
    </row>
    <row r="431" spans="1:6" ht="15.75" customHeight="1">
      <c r="A431" s="9"/>
      <c r="B431" s="3"/>
      <c r="C431" s="4"/>
      <c r="D431" s="4"/>
      <c r="E431" s="4"/>
      <c r="F431" s="7">
        <f>YEAR(Table1[[#This Row],[Date]])</f>
        <v>1900</v>
      </c>
    </row>
    <row r="432" spans="1:6" ht="15.75" customHeight="1">
      <c r="A432" s="9"/>
      <c r="B432" s="3"/>
      <c r="C432" s="4"/>
      <c r="D432" s="4"/>
      <c r="E432" s="4"/>
      <c r="F432" s="7">
        <f>YEAR(Table1[[#This Row],[Date]])</f>
        <v>1900</v>
      </c>
    </row>
    <row r="433" spans="1:6" ht="15.75" customHeight="1">
      <c r="A433" s="9"/>
      <c r="B433" s="3"/>
      <c r="C433" s="4"/>
      <c r="D433" s="4"/>
      <c r="E433" s="4"/>
      <c r="F433" s="7">
        <f>YEAR(Table1[[#This Row],[Date]])</f>
        <v>1900</v>
      </c>
    </row>
    <row r="434" spans="1:6" ht="15.75" customHeight="1">
      <c r="A434" s="9"/>
      <c r="B434" s="3"/>
      <c r="C434" s="4"/>
      <c r="D434" s="4"/>
      <c r="E434" s="4"/>
      <c r="F434" s="7">
        <f>YEAR(Table1[[#This Row],[Date]])</f>
        <v>1900</v>
      </c>
    </row>
    <row r="435" spans="1:6" ht="15.75" customHeight="1">
      <c r="A435" s="10"/>
      <c r="B435" s="11"/>
      <c r="C435" s="12"/>
      <c r="D435" s="13"/>
      <c r="E435" s="12"/>
      <c r="F435" s="7">
        <f>YEAR(Table1[[#This Row],[Date]])</f>
        <v>1900</v>
      </c>
    </row>
  </sheetData>
  <hyperlinks>
    <hyperlink ref="A391" r:id="rId1" display="389" xr:uid="{764346D6-C074-4746-9F4A-5EFC9BEBEC06}"/>
    <hyperlink ref="A390" r:id="rId2" display="388" xr:uid="{18E74862-9530-4C44-AE0A-AB9E22291854}"/>
    <hyperlink ref="A389" r:id="rId3" display="387" xr:uid="{41BA347B-8A72-4CAB-880A-293B6D408FC8}"/>
    <hyperlink ref="A388" r:id="rId4" display="386" xr:uid="{643395F9-3CCC-48B0-A14C-18D83739B65B}"/>
    <hyperlink ref="A387" r:id="rId5" display="385" xr:uid="{B678B2C4-D903-49B8-BDDA-B1699BC44A74}"/>
    <hyperlink ref="A386" r:id="rId6" display="384" xr:uid="{C34BD015-4CDA-4B9F-8188-A0553C48BB07}"/>
    <hyperlink ref="A385" r:id="rId7" display="383" xr:uid="{F54B7A61-10DB-4DDB-A003-74A57096A430}"/>
    <hyperlink ref="A384" r:id="rId8" display="382" xr:uid="{D92A89E9-1A10-4B90-9C30-991E00B68777}"/>
    <hyperlink ref="A383" r:id="rId9" display="381" xr:uid="{4141A919-9EB9-4118-B10D-66D856FC7719}"/>
    <hyperlink ref="A382" r:id="rId10" display="380" xr:uid="{E9764185-AAE5-46AC-B1FF-B291CD9CDA9F}"/>
    <hyperlink ref="A381" r:id="rId11" display="379" xr:uid="{BE1C448D-409A-4667-B716-E93AA70C4A20}"/>
    <hyperlink ref="A380" r:id="rId12" display="378" xr:uid="{DF4CE9F3-2327-4B60-A8F3-9437DC6D0D3B}"/>
    <hyperlink ref="A379" r:id="rId13" display="377" xr:uid="{EF793A60-2725-4BE5-B071-27942453C669}"/>
    <hyperlink ref="A378" r:id="rId14" display="376" xr:uid="{CD856650-3C86-4E78-99DF-CF4D723419B1}"/>
    <hyperlink ref="A377" r:id="rId15" display="375" xr:uid="{9B73C642-A90A-4C8B-89D5-F3E6B3851095}"/>
    <hyperlink ref="A376" r:id="rId16" display="374" xr:uid="{4D2EC57F-6EF2-4FC4-A720-49245B5B9038}"/>
    <hyperlink ref="A375" r:id="rId17" display="373" xr:uid="{EE3FCC0E-3DD3-44E7-BBCC-53C7B0179FD3}"/>
    <hyperlink ref="A374" r:id="rId18" display="372" xr:uid="{7EF87A6B-5199-4BDD-B61B-E463C3E9B4D6}"/>
    <hyperlink ref="A373" r:id="rId19" display="371" xr:uid="{DDE9D1E2-95F0-4268-9CC0-1C4BE932503B}"/>
    <hyperlink ref="A372" r:id="rId20" display="370" xr:uid="{E382DAB2-8CFA-4951-8A17-B2357F71890B}"/>
    <hyperlink ref="A371" r:id="rId21" display="369" xr:uid="{1F157240-9CC5-45AD-9159-5A26A7CAAAB8}"/>
    <hyperlink ref="A370" r:id="rId22" display="368" xr:uid="{E768B7DE-B7AC-4FF8-B832-8C70C71F5D48}"/>
    <hyperlink ref="A369" r:id="rId23" display="367" xr:uid="{C3645D52-BB51-4E8F-8CFA-E6EECCB44097}"/>
    <hyperlink ref="A368" r:id="rId24" display="366" xr:uid="{EE3B18E5-D779-44AD-BF6C-ECE1C50BA4EE}"/>
    <hyperlink ref="A367" r:id="rId25" display="365" xr:uid="{FE73B829-4A60-4ADC-BB1E-A573161FFC94}"/>
    <hyperlink ref="A366" r:id="rId26" display="364" xr:uid="{C11E750C-6EEE-4E3F-8DA7-8A1C1A825E30}"/>
    <hyperlink ref="A365" r:id="rId27" display="363" xr:uid="{91086B36-ED58-48FC-B536-9AA01AF661DD}"/>
    <hyperlink ref="A364" r:id="rId28" display="362" xr:uid="{FD6464E0-34E0-4AA9-8E87-9909E586E170}"/>
    <hyperlink ref="A363" r:id="rId29" display="361" xr:uid="{D8418DE6-7F5A-474E-974F-784108C635F1}"/>
    <hyperlink ref="A362" r:id="rId30" display="360" xr:uid="{16F7CF2B-3ABF-4DE4-9AA6-E9E3441B7A14}"/>
    <hyperlink ref="A361" r:id="rId31" display="359" xr:uid="{FB997682-588D-44CD-A612-B8B28FB4EF3B}"/>
    <hyperlink ref="A360" r:id="rId32" display="358" xr:uid="{AE8D7F58-47F6-4117-BC99-82C5629B5E96}"/>
    <hyperlink ref="A359" r:id="rId33" display="357" xr:uid="{667799F0-7995-43A0-AC70-788441EED61B}"/>
    <hyperlink ref="A358" r:id="rId34" display="356" xr:uid="{F05555D4-CC8A-44E7-A8E6-1544C9FA3C86}"/>
    <hyperlink ref="A357" r:id="rId35" display="355" xr:uid="{231258A8-70CB-4CEB-AA5F-7B3235B7FD17}"/>
    <hyperlink ref="A356" r:id="rId36" display="354" xr:uid="{73528F93-1FA7-491A-A384-315B07BC08D6}"/>
    <hyperlink ref="A355" r:id="rId37" display="353" xr:uid="{D67C5E12-5A67-4F7E-8C38-857D229449A6}"/>
    <hyperlink ref="A354" r:id="rId38" display="352" xr:uid="{3DCFF5EA-E97B-4AE1-BFB7-878514FA02CE}"/>
    <hyperlink ref="A353" r:id="rId39" display="351" xr:uid="{FA0D78CD-CB35-409E-B628-30EE5A0E5DE6}"/>
    <hyperlink ref="A352" r:id="rId40" display="350" xr:uid="{FED15C6A-4C39-4FEB-A158-D696EB60E8BE}"/>
    <hyperlink ref="A351" r:id="rId41" display="349" xr:uid="{97911E34-A2CB-4C13-9A4B-A2F893512243}"/>
    <hyperlink ref="A350" r:id="rId42" display="348" xr:uid="{61FD15E0-2900-4652-8F32-4B3100333DD3}"/>
    <hyperlink ref="A349" r:id="rId43" display="347" xr:uid="{C53880AE-9ECB-4C1F-AD0E-70AAEB9BED2F}"/>
    <hyperlink ref="A348" r:id="rId44" display="346" xr:uid="{B578A13F-FF49-4097-9B03-0B128293B654}"/>
    <hyperlink ref="A347" r:id="rId45" display="345" xr:uid="{A1491D30-70BE-4E61-940A-23ECFB2A0DCD}"/>
    <hyperlink ref="A346" r:id="rId46" display="344" xr:uid="{70339AA4-DA52-477D-A630-69F6395A37E5}"/>
    <hyperlink ref="A345" r:id="rId47" display="343" xr:uid="{47C94CE9-9F9E-47CB-AAD0-3602F7A0848E}"/>
    <hyperlink ref="A344" r:id="rId48" display="342" xr:uid="{79370C8D-1CD2-4F0B-9FD5-5906845FFD5E}"/>
    <hyperlink ref="A343" r:id="rId49" display="341" xr:uid="{14337A60-58B8-48C5-A2B7-1B63D8242B21}"/>
    <hyperlink ref="A342" r:id="rId50" display="340" xr:uid="{06971BFB-776D-4BDD-803F-189E0F31CF50}"/>
    <hyperlink ref="A341" r:id="rId51" display="339" xr:uid="{3641EB0F-C959-49EE-BB3C-202F13AC325D}"/>
    <hyperlink ref="A340" r:id="rId52" display="338" xr:uid="{FD3C7653-8D66-4442-8DD2-B48ED50E748D}"/>
    <hyperlink ref="A339" r:id="rId53" display="337" xr:uid="{757199A1-5B3D-437D-B30B-7DEF1A164F79}"/>
    <hyperlink ref="A338" r:id="rId54" display="336" xr:uid="{34D5965A-C061-45B9-B147-E03D01D10093}"/>
    <hyperlink ref="A337" r:id="rId55" display="335" xr:uid="{ACFFC9EC-8AC1-439E-89FC-C9D88A464DFF}"/>
    <hyperlink ref="A336" r:id="rId56" display="334" xr:uid="{DB94A974-983B-4222-A607-2C6C81DF40FD}"/>
    <hyperlink ref="A335" r:id="rId57" display="333" xr:uid="{C0C2D0B6-3399-4EC2-B0E2-414EB42A4E8C}"/>
    <hyperlink ref="A334" r:id="rId58" display="332" xr:uid="{CA61C702-3059-4975-8A2D-91677594B927}"/>
    <hyperlink ref="A333" r:id="rId59" display="331" xr:uid="{BAC20718-4B2E-47F8-858E-5F74602C7E2D}"/>
    <hyperlink ref="A332" r:id="rId60" display="330" xr:uid="{15F0D221-AF6E-4439-ACC3-C3B9315A37AB}"/>
    <hyperlink ref="A331" r:id="rId61" display="329" xr:uid="{9EEC4375-015A-4D0B-8259-9124DF56A1B8}"/>
    <hyperlink ref="A330" r:id="rId62" display="328" xr:uid="{B8EBD469-7669-4394-AD44-3DFC88E02F7C}"/>
    <hyperlink ref="A329" r:id="rId63" display="327" xr:uid="{D4C114C5-E822-45DB-9FCB-FA3A83B807F2}"/>
    <hyperlink ref="A328" r:id="rId64" display="326" xr:uid="{90531FC7-9883-41A0-9959-846F89495F4F}"/>
    <hyperlink ref="A327" r:id="rId65" display="325" xr:uid="{E4569E7D-11B7-4706-A2E6-70699729F1EF}"/>
    <hyperlink ref="A326" r:id="rId66" display="324" xr:uid="{89C9D384-2226-4643-88CB-C7CE0F0AF80F}"/>
    <hyperlink ref="A325" r:id="rId67" display="323" xr:uid="{F6199B4E-8843-40B7-A21E-8456297ADDD3}"/>
    <hyperlink ref="A324" r:id="rId68" display="322" xr:uid="{81F4436A-B71B-4F18-A75B-92C96B598E5E}"/>
    <hyperlink ref="A323" r:id="rId69" display="321" xr:uid="{EBEABBA8-070E-46DB-9920-C1107B4DB790}"/>
    <hyperlink ref="A322" r:id="rId70" display="320" xr:uid="{567F4E6A-EFC4-4A35-92B2-7676DFA17854}"/>
    <hyperlink ref="A321" r:id="rId71" display="319" xr:uid="{DD52E3C5-D990-487C-ABB9-583A7F341BBE}"/>
    <hyperlink ref="A320" r:id="rId72" display="318" xr:uid="{154D3B55-C18C-48B0-B828-C0D53B321CB4}"/>
    <hyperlink ref="A319" r:id="rId73" display="317" xr:uid="{8441DFC5-C4A8-4B01-9AC4-A85B0BDC0C3A}"/>
    <hyperlink ref="A318" r:id="rId74" display="316" xr:uid="{A438A396-EAC3-42DC-96C5-9743A534636C}"/>
    <hyperlink ref="A317" r:id="rId75" display="315" xr:uid="{3BD84763-5BBF-4413-8662-719CCADBB774}"/>
    <hyperlink ref="A316" r:id="rId76" display="314" xr:uid="{3BE64C2B-5E6B-42CB-B1F4-675108D53143}"/>
    <hyperlink ref="A315" r:id="rId77" display="313" xr:uid="{11AD85E3-642A-4338-9949-F15CC00168EF}"/>
    <hyperlink ref="A314" r:id="rId78" display="312" xr:uid="{7F8FA0B2-2B3E-41FD-B135-42E5151479E2}"/>
    <hyperlink ref="A313" r:id="rId79" display="311" xr:uid="{DCC5389A-E814-44A7-A6F7-4A683154001C}"/>
    <hyperlink ref="A312" r:id="rId80" display="310" xr:uid="{B82A5513-B852-4AD2-A3C9-F1944D99BB94}"/>
    <hyperlink ref="A311" r:id="rId81" display="309" xr:uid="{AFFB1439-E35C-48F9-AF17-F9EAB17C8F68}"/>
    <hyperlink ref="A310" r:id="rId82" display="308" xr:uid="{0CE1CADF-47AC-4329-AA3C-3C3724F1E2F2}"/>
    <hyperlink ref="A309" r:id="rId83" display="307" xr:uid="{7A57408C-E5F5-41BE-8243-9678CC030EEB}"/>
    <hyperlink ref="A308" r:id="rId84" display="306" xr:uid="{FC99C764-2952-4D01-8317-84A5978D90FA}"/>
    <hyperlink ref="A307" r:id="rId85" display="305" xr:uid="{6E0C0EDC-7F4B-4005-A556-25FCF5DDA2FB}"/>
    <hyperlink ref="A306" r:id="rId86" display="304" xr:uid="{36442804-68B3-482E-9740-651AE8CEEF60}"/>
    <hyperlink ref="A305" r:id="rId87" display="303" xr:uid="{A24FD4E4-A499-4A49-B2F7-B493F91D5D1D}"/>
    <hyperlink ref="A304" r:id="rId88" display="302" xr:uid="{6267CC7D-431D-47CD-B04A-935E1D2A1782}"/>
    <hyperlink ref="A303" r:id="rId89" display="301" xr:uid="{5798E081-B414-46F0-8E99-C9AE5C20267D}"/>
    <hyperlink ref="A302" r:id="rId90" display="300" xr:uid="{FC448823-7A05-4F0C-B4E4-B65C9D2CEFAE}"/>
    <hyperlink ref="A301" r:id="rId91" display="299" xr:uid="{CF1CE75C-6272-4DB6-A48F-CCDF4F4C0E44}"/>
    <hyperlink ref="A300" r:id="rId92" display="298" xr:uid="{96FE5705-1D5D-425A-85EA-C22B25F917A9}"/>
    <hyperlink ref="A299" r:id="rId93" display="297" xr:uid="{957EEA6C-6917-4D86-8F08-89F96CB83F30}"/>
    <hyperlink ref="A298" r:id="rId94" display="296" xr:uid="{E0952485-CBD0-4268-89FF-5D3D49FA1A6D}"/>
    <hyperlink ref="A297" r:id="rId95" display="295" xr:uid="{71500C9F-F0E7-4343-A966-069A52682384}"/>
    <hyperlink ref="A296" r:id="rId96" display="294" xr:uid="{53C99553-E9FE-41B6-9D5E-9B6802C87AE6}"/>
    <hyperlink ref="A295" r:id="rId97" display="293" xr:uid="{07123AB2-4B15-4AC6-A330-13406B130D68}"/>
    <hyperlink ref="A294" r:id="rId98" display="292" xr:uid="{E6683909-EE8F-4C31-9687-E1D430BAC7BE}"/>
    <hyperlink ref="A293" r:id="rId99" display="291" xr:uid="{9FA46436-BB28-4C11-99A4-2D411DBD8ED0}"/>
    <hyperlink ref="A292" r:id="rId100" display="290" xr:uid="{3D94CC7E-3FDF-4C7A-9228-87024C911EF5}"/>
    <hyperlink ref="A291" r:id="rId101" display="289" xr:uid="{145429AE-608D-4CBC-94B9-B27C616E50D0}"/>
    <hyperlink ref="A290" r:id="rId102" display="288" xr:uid="{D0F7E70A-6405-4C20-9570-7013184F01F3}"/>
    <hyperlink ref="A289" r:id="rId103" display="287" xr:uid="{0D849F93-4FD2-4EFB-B2E3-77FCE42361C3}"/>
    <hyperlink ref="A288" r:id="rId104" display="286" xr:uid="{5770B3D4-8B5C-42FA-B323-C489CCCE393F}"/>
    <hyperlink ref="A287" r:id="rId105" display="285" xr:uid="{1184B571-D169-4D33-9DB2-8BF519F4290E}"/>
    <hyperlink ref="A286" r:id="rId106" display="284" xr:uid="{B5642A26-DFE6-4369-8CF6-F803448F2E5F}"/>
    <hyperlink ref="A285" r:id="rId107" display="283" xr:uid="{1858EDC8-101B-4103-B92A-801755CB2840}"/>
    <hyperlink ref="A284" r:id="rId108" display="282" xr:uid="{083EF54F-211C-4176-9743-6B1E4135CA55}"/>
    <hyperlink ref="A283" r:id="rId109" display="281" xr:uid="{5D3BF9AE-BAA3-4106-89EA-12922C12F2EE}"/>
    <hyperlink ref="A282" r:id="rId110" display="280" xr:uid="{8C01CFA3-D8CE-470A-BD63-5139CBC2A66D}"/>
    <hyperlink ref="A281" r:id="rId111" display="279" xr:uid="{D3582708-86AB-4ECF-A921-1FDFC45141CC}"/>
    <hyperlink ref="A280" r:id="rId112" display="278" xr:uid="{C297FE64-46A8-44E7-866B-8D3B1B06AF95}"/>
    <hyperlink ref="A279" r:id="rId113" display="277" xr:uid="{AC15B5AE-8A81-4B15-924E-564D483070DD}"/>
    <hyperlink ref="A278" r:id="rId114" display="276" xr:uid="{3AC0903D-0850-427F-8128-A6F53D9DA120}"/>
    <hyperlink ref="A277" r:id="rId115" display="275" xr:uid="{FA931561-FE14-4FE2-95B2-534A149007B2}"/>
    <hyperlink ref="A276" r:id="rId116" display="274" xr:uid="{1D7B96EC-75CE-481C-9FD4-CDBEE1F634D7}"/>
    <hyperlink ref="A275" r:id="rId117" display="273" xr:uid="{038DA135-EA66-4C9F-BBC0-7F5ADD2D2DB9}"/>
    <hyperlink ref="A274" r:id="rId118" display="272" xr:uid="{D4C08C35-E2D2-40D9-9E3B-7AFD04A1CD97}"/>
    <hyperlink ref="A273" r:id="rId119" display="271" xr:uid="{AD00E022-D1CC-48C1-B1FD-CA993B80B052}"/>
    <hyperlink ref="A272" r:id="rId120" display="270" xr:uid="{C3C7B014-6ABA-4496-BF0D-D04D0B2B66A4}"/>
    <hyperlink ref="A271" r:id="rId121" display="269" xr:uid="{F6F5EAC4-FE30-490F-8409-64B0050D1788}"/>
    <hyperlink ref="A270" r:id="rId122" display="268" xr:uid="{BAFA966F-AC46-40C2-95F7-328B69C35A03}"/>
    <hyperlink ref="A269" r:id="rId123" display="267" xr:uid="{A61BE806-6A46-43D5-A0D2-3339C56F3B12}"/>
    <hyperlink ref="A268" r:id="rId124" display="266" xr:uid="{5F3D5A1C-CB19-4D11-9E17-EC023036CB78}"/>
    <hyperlink ref="A267" r:id="rId125" display="265" xr:uid="{5BD5776C-78ED-4589-8DD6-37AF941EF286}"/>
    <hyperlink ref="A266" r:id="rId126" display="264" xr:uid="{8F03181B-9656-4683-8A53-4A6FF61E7888}"/>
    <hyperlink ref="A265" r:id="rId127" display="263" xr:uid="{58BFFEEC-FA2F-478B-A579-A2B87C810E02}"/>
    <hyperlink ref="A264" r:id="rId128" display="262" xr:uid="{3570B7DC-8D60-477C-9829-9FC547022D39}"/>
    <hyperlink ref="A263" r:id="rId129" display="261" xr:uid="{217B7BD2-5CED-4DBF-B27B-862CC57C537A}"/>
    <hyperlink ref="A262" r:id="rId130" display="260" xr:uid="{FEFDD9E6-777B-4FFE-8EB4-31795B8C044A}"/>
    <hyperlink ref="A261" r:id="rId131" display="259" xr:uid="{90209E67-C97A-4814-864B-70806B89C3C3}"/>
    <hyperlink ref="A260" r:id="rId132" display="258" xr:uid="{3B4D8CB1-A737-4810-974C-DC9176480FDB}"/>
    <hyperlink ref="A259" r:id="rId133" display="257" xr:uid="{D8C8A9FB-D511-4CE2-904E-8C316F8495F0}"/>
    <hyperlink ref="A258" r:id="rId134" display="256" xr:uid="{201B761D-CC1C-42BD-8662-9EE02CF1016E}"/>
    <hyperlink ref="A257" r:id="rId135" display="255" xr:uid="{214AD6ED-69A1-43A3-97C1-C98C7E816972}"/>
    <hyperlink ref="A256" r:id="rId136" display="254" xr:uid="{491D1F53-C4E5-414C-9936-8600FB01BF46}"/>
    <hyperlink ref="A255" r:id="rId137" display="253" xr:uid="{DBE3CE73-F5CD-419B-A2AE-30293A3C51A9}"/>
    <hyperlink ref="A254" r:id="rId138" display="252" xr:uid="{61730E58-2775-400C-A479-EF48313350F4}"/>
    <hyperlink ref="A253" r:id="rId139" display="251" xr:uid="{4E022186-5C1C-4A56-923D-132A8BDF6207}"/>
    <hyperlink ref="A252" r:id="rId140" display="250" xr:uid="{AFBD858F-8882-4F44-965D-12BAC7F641EE}"/>
    <hyperlink ref="A251" r:id="rId141" display="249" xr:uid="{46ACEF1E-038A-4644-8B15-FCBACD4F1529}"/>
    <hyperlink ref="A250" r:id="rId142" display="248" xr:uid="{02F1A0EC-6AEF-474C-A8F0-15D9CB12F9D5}"/>
    <hyperlink ref="A249" r:id="rId143" display="247" xr:uid="{1E631A38-62F1-4333-9310-03CAE6C4D52C}"/>
    <hyperlink ref="A248" r:id="rId144" display="246" xr:uid="{D18F93F6-63F6-4CF3-BE36-6A49F5E9EBF9}"/>
    <hyperlink ref="A247" r:id="rId145" display="245" xr:uid="{A89C2440-6846-49DB-9D33-A954EC8721BC}"/>
    <hyperlink ref="A246" r:id="rId146" display="244" xr:uid="{B1BA2101-DAAB-428D-A4AB-4CBF08CC007E}"/>
    <hyperlink ref="A245" r:id="rId147" display="243" xr:uid="{8CD1CCF1-142A-422E-A6CC-D39FE1C166AB}"/>
    <hyperlink ref="A244" r:id="rId148" display="242" xr:uid="{EFD13606-4FBA-4EAC-8642-E3F254CE7854}"/>
    <hyperlink ref="A243" r:id="rId149" display="241" xr:uid="{6C2BC9D7-FDD4-4760-90EA-9685709A3CAD}"/>
    <hyperlink ref="A242" r:id="rId150" display="240" xr:uid="{A48BF1A6-E0CC-47F0-93A0-8FE34FEE0FA3}"/>
    <hyperlink ref="A241" r:id="rId151" display="239" xr:uid="{8B8DE585-7B33-4063-BF1B-69E8A5163989}"/>
    <hyperlink ref="A240" r:id="rId152" display="238" xr:uid="{14C0DA02-47D7-4BA8-A542-EE0F3CDB145D}"/>
    <hyperlink ref="A239" r:id="rId153" display="237" xr:uid="{B878BC2B-E1D1-42E8-A794-4B8275F3CCBD}"/>
    <hyperlink ref="A238" r:id="rId154" display="236" xr:uid="{5293FCB0-AC47-4BA7-BFE9-AF8D2455FE63}"/>
    <hyperlink ref="A237" r:id="rId155" display="235" xr:uid="{068A0705-15AF-403F-A00B-A8C149BC22A5}"/>
    <hyperlink ref="A236" r:id="rId156" display="234" xr:uid="{202DC674-875B-4ACB-9309-8B34C18602D9}"/>
    <hyperlink ref="A235" r:id="rId157" display="233" xr:uid="{E67CA41F-ED2B-4DBF-80F7-2D03766F5762}"/>
    <hyperlink ref="A234" r:id="rId158" display="232" xr:uid="{11D73346-FF7F-4E55-B4D4-2D0EB38F8FA9}"/>
    <hyperlink ref="A233" r:id="rId159" display="231" xr:uid="{F91357D8-D480-4826-BD8C-C9105A3C28A0}"/>
    <hyperlink ref="A232" r:id="rId160" display="230" xr:uid="{774E89A5-78A2-43A1-B7C3-6D07F6E7C86C}"/>
    <hyperlink ref="A231" r:id="rId161" display="229" xr:uid="{C495EA91-FADD-4C6A-9A77-16C42F49D80A}"/>
    <hyperlink ref="A230" r:id="rId162" display="228" xr:uid="{E1E94C10-ADCD-455E-B8CD-0C15067B4055}"/>
    <hyperlink ref="A229" r:id="rId163" display="227" xr:uid="{CCDCCD72-8E4C-4E30-951F-E7FCA719A8BB}"/>
    <hyperlink ref="A228" r:id="rId164" display="226" xr:uid="{7827C3F6-B483-4EAC-A007-D5E5EAA2C740}"/>
    <hyperlink ref="A227" r:id="rId165" display="225" xr:uid="{FA9BFD1A-90F9-428D-AF02-61268BC35A9C}"/>
    <hyperlink ref="A226" r:id="rId166" display="224" xr:uid="{B8DB809A-C501-450A-A919-ED255ECD1915}"/>
    <hyperlink ref="A225" r:id="rId167" display="223" xr:uid="{25B1C876-E029-4887-BF3C-69E1530F78FD}"/>
    <hyperlink ref="A224" r:id="rId168" display="222" xr:uid="{5BC3C213-5499-405F-8961-D35F8167314B}"/>
    <hyperlink ref="A223" r:id="rId169" display="221" xr:uid="{8DFCB613-DB8C-4E21-9054-88FDD6FC3AFD}"/>
    <hyperlink ref="A222" r:id="rId170" display="220" xr:uid="{4EE32EC0-D897-4016-8368-0AB71F9C6236}"/>
    <hyperlink ref="A221" r:id="rId171" display="219" xr:uid="{B220DF07-E369-4352-9AA9-6B55A1A87FB3}"/>
    <hyperlink ref="A220" r:id="rId172" display="218" xr:uid="{25D81FD2-4AEF-42D4-BC26-8E0E47C75C00}"/>
    <hyperlink ref="A219" r:id="rId173" display="217" xr:uid="{E270CA55-E9CD-4F31-84FB-00CF9BB97EF2}"/>
    <hyperlink ref="A218" r:id="rId174" display="216" xr:uid="{7EF24B15-4717-4E1F-A5D0-2ED0749AC7AB}"/>
    <hyperlink ref="A217" r:id="rId175" display="215" xr:uid="{C22EE897-5435-4CB8-8853-62B45E9E8D18}"/>
    <hyperlink ref="A216" r:id="rId176" display="214" xr:uid="{62E5505B-12E7-459A-848B-EA360797DDAD}"/>
    <hyperlink ref="A215" r:id="rId177" display="213" xr:uid="{B31CD2D1-EBC6-4924-9557-6348CC4A7808}"/>
    <hyperlink ref="A214" r:id="rId178" display="212" xr:uid="{AA7E6EAC-4A37-46BF-A11E-72F32F54DAF3}"/>
    <hyperlink ref="A213" r:id="rId179" display="211" xr:uid="{AF4FE4B4-E99B-42C7-B421-DDF9681639F7}"/>
    <hyperlink ref="A212" r:id="rId180" display="210" xr:uid="{6592BDCB-FD23-4A49-9B68-F87582C239FF}"/>
    <hyperlink ref="A211" r:id="rId181" display="209" xr:uid="{71235F7D-EB5E-4529-93A3-2A3FECE19B71}"/>
    <hyperlink ref="A210" r:id="rId182" display="208" xr:uid="{268C7D52-7397-414D-B35B-53AAAB6FAF89}"/>
    <hyperlink ref="A209" r:id="rId183" display="207" xr:uid="{A2405CAB-0821-43F6-8262-080B013E1A9C}"/>
    <hyperlink ref="A208" r:id="rId184" display="206" xr:uid="{C0040E20-795A-416F-A27C-4CA5BCCD196F}"/>
    <hyperlink ref="A207" r:id="rId185" display="205" xr:uid="{57C9DC13-7522-4F96-BBA0-075B3A8C5BF3}"/>
    <hyperlink ref="A206" r:id="rId186" display="204" xr:uid="{F6745428-05B4-496F-A1D6-41F91125E356}"/>
    <hyperlink ref="A205" r:id="rId187" display="203" xr:uid="{BDF18914-BC8C-4BBE-A1C9-876759AC0AEB}"/>
    <hyperlink ref="A204" r:id="rId188" display="202" xr:uid="{0E63E747-0F1E-445A-825D-D63AD87D2CB8}"/>
    <hyperlink ref="A203" r:id="rId189" display="201" xr:uid="{FD339928-4F9D-4605-8602-2FB97C24D829}"/>
    <hyperlink ref="A202" r:id="rId190" display="200" xr:uid="{B8AE1EF9-436F-4300-8CE0-2DF2EC2E5A16}"/>
    <hyperlink ref="A201" r:id="rId191" display="199" xr:uid="{7E53E50D-DC44-416D-9C3F-1CEA9324D577}"/>
    <hyperlink ref="A200" r:id="rId192" display="198" xr:uid="{DE0B6ADD-8B6E-4D5B-9862-832B4B92E6BD}"/>
    <hyperlink ref="A199" r:id="rId193" display="197" xr:uid="{27E9F41E-5465-4633-8CBA-2019AB876F80}"/>
    <hyperlink ref="A198" r:id="rId194" display="196" xr:uid="{324CC3BC-BE5E-410B-85A3-CC1ADCB41BAD}"/>
    <hyperlink ref="A197" r:id="rId195" display="195" xr:uid="{B86EB435-18CD-46F1-B4D4-9D8FE3893795}"/>
    <hyperlink ref="A196" r:id="rId196" display="194" xr:uid="{E9DEEF6A-3484-4348-A428-998BE4E59FB1}"/>
    <hyperlink ref="A195" r:id="rId197" display="193" xr:uid="{B4D92EA7-590C-40E0-BB97-EF7F201EE7F5}"/>
    <hyperlink ref="A194" r:id="rId198" display="192" xr:uid="{37D2C75B-D71A-4067-BDEB-73A03F7EA3DB}"/>
    <hyperlink ref="A193" r:id="rId199" display="191" xr:uid="{77FC0AC5-7272-4873-B76E-62BE098BF1A2}"/>
    <hyperlink ref="A192" r:id="rId200" display="190" xr:uid="{C7AAB99B-AE7E-47CA-B696-9F5B9055D4D2}"/>
    <hyperlink ref="A191" r:id="rId201" display="189" xr:uid="{E171451B-0216-4768-9BF2-829F42DF6FB6}"/>
    <hyperlink ref="A190" r:id="rId202" display="188" xr:uid="{D277D9EF-A574-446B-B059-887AF46BA649}"/>
    <hyperlink ref="A189" r:id="rId203" display="187" xr:uid="{9A2FCBF9-36C1-4B2F-9440-EE7DB4A2482E}"/>
    <hyperlink ref="A188" r:id="rId204" display="186" xr:uid="{66D074E0-5F2B-4F71-BC40-27A9DB00FBB5}"/>
    <hyperlink ref="A187" r:id="rId205" display="185" xr:uid="{7EBE8D2A-9FF9-4E53-A8F3-27345F9BEDB9}"/>
    <hyperlink ref="A186" r:id="rId206" display="184" xr:uid="{7C192BE6-C13C-4CD3-A216-594512BD079E}"/>
    <hyperlink ref="A185" r:id="rId207" display="183" xr:uid="{1D593442-4598-4A2C-B349-9DE15A47800C}"/>
    <hyperlink ref="A184" r:id="rId208" display="182" xr:uid="{6D5B396B-8C52-4C26-BD75-3339D4107880}"/>
    <hyperlink ref="A183" r:id="rId209" display="181" xr:uid="{F83E26C5-13B5-4934-A506-1DF7F47174A0}"/>
    <hyperlink ref="A182" r:id="rId210" display="180" xr:uid="{1CE5546F-C055-455D-AD6D-66567A60F7A3}"/>
    <hyperlink ref="A181" r:id="rId211" display="179" xr:uid="{7BB3B650-8FD2-4B60-B790-E88A1FAAA01C}"/>
    <hyperlink ref="A180" r:id="rId212" display="178" xr:uid="{55D8584E-5049-4265-96B2-98512659A11A}"/>
    <hyperlink ref="A179" r:id="rId213" display="177" xr:uid="{37A704BC-A480-45CC-8D8B-A9A6878C5179}"/>
    <hyperlink ref="A178" r:id="rId214" display="176" xr:uid="{91F55F1B-7570-4CF8-9307-3824979B5C6B}"/>
    <hyperlink ref="A177" r:id="rId215" display="175" xr:uid="{B494520D-943E-4D7A-B88F-433345C9FCB1}"/>
    <hyperlink ref="A176" r:id="rId216" display="174" xr:uid="{4C89810C-0124-4C5F-B051-F588D19F8EC5}"/>
    <hyperlink ref="A175" r:id="rId217" display="173" xr:uid="{F674C647-6B71-462C-BB7D-FADFD4B1A579}"/>
    <hyperlink ref="A174" r:id="rId218" display="172" xr:uid="{140DAAA1-D086-4E57-885D-5B639BD39778}"/>
    <hyperlink ref="A173" r:id="rId219" display="171" xr:uid="{A3629C09-815F-4010-BCCF-14F224792918}"/>
    <hyperlink ref="A172" r:id="rId220" display="170" xr:uid="{EA0ECC7A-C5CB-4E74-9BF4-56F66E56E4B0}"/>
    <hyperlink ref="A171" r:id="rId221" display="169" xr:uid="{B3790793-037E-4AF6-8037-46BEABA7D6AA}"/>
    <hyperlink ref="A170" r:id="rId222" display="168" xr:uid="{789C78BB-FDCE-4D41-B4FB-AA139599F80C}"/>
    <hyperlink ref="A169" r:id="rId223" display="167" xr:uid="{B9EAC851-130A-4C36-80F9-162761F08193}"/>
    <hyperlink ref="A168" r:id="rId224" display="166" xr:uid="{F04D5109-525D-47A2-A3B8-2D1C5749EF6D}"/>
    <hyperlink ref="A167" r:id="rId225" display="165" xr:uid="{86DC0CF1-1AD4-4238-B21B-D77FC558402A}"/>
    <hyperlink ref="A166" r:id="rId226" display="164" xr:uid="{2D3E5D1C-8BE8-4032-9AAB-6B9E1453868F}"/>
    <hyperlink ref="A165" r:id="rId227" display="163" xr:uid="{21B7C7C1-B11D-4909-88AB-4CDA9E1DBE75}"/>
    <hyperlink ref="A164" r:id="rId228" display="162" xr:uid="{356AB267-F8B4-44EE-A241-9F950AF5684B}"/>
    <hyperlink ref="A163" r:id="rId229" display="161" xr:uid="{09648007-8FB9-4FF8-BFEF-19764E99468C}"/>
    <hyperlink ref="A162" r:id="rId230" display="160" xr:uid="{09A1CE53-FAC7-4398-97EE-4D46AF4259EB}"/>
    <hyperlink ref="A161" r:id="rId231" display="159" xr:uid="{2B6AB668-E63A-402D-AAAB-8A3C124E7703}"/>
    <hyperlink ref="A160" r:id="rId232" display="158" xr:uid="{11B6278E-654E-46CF-A469-8CB42FD6B261}"/>
    <hyperlink ref="A159" r:id="rId233" display="157" xr:uid="{BC9405F8-8FCE-4EC0-A5FF-22CE637CAFCB}"/>
    <hyperlink ref="A158" r:id="rId234" display="156" xr:uid="{25A35A15-E505-42AB-80A7-943DBEE4A0BA}"/>
    <hyperlink ref="A157" r:id="rId235" display="155" xr:uid="{E166E5A3-6CCC-479D-85AD-FB438DBFE8AB}"/>
    <hyperlink ref="A156" r:id="rId236" display="154" xr:uid="{D636E0B2-9B04-4D8F-8019-ABC133A022A9}"/>
    <hyperlink ref="A155" r:id="rId237" display="153" xr:uid="{5BE39494-30AD-4A7C-9873-344AC5EBDC7B}"/>
    <hyperlink ref="A154" r:id="rId238" display="152" xr:uid="{57CA377B-41A2-4EDD-975F-4D2BED2EA228}"/>
    <hyperlink ref="A153" r:id="rId239" display="151" xr:uid="{F0C5B1CD-C001-409C-B629-3DE89D0020BB}"/>
    <hyperlink ref="A152" r:id="rId240" display="150" xr:uid="{007FD099-313C-4AC3-82A7-12B28D2E2906}"/>
    <hyperlink ref="A151" r:id="rId241" display="149" xr:uid="{0C391387-589E-4480-B9DE-338E5EF795B1}"/>
    <hyperlink ref="A150" r:id="rId242" display="148" xr:uid="{A369C413-38F8-4334-A60E-8E9F54EA8D25}"/>
    <hyperlink ref="A149" r:id="rId243" display="147" xr:uid="{9FA8022A-C4B1-4987-940C-B3ABEBBFB443}"/>
    <hyperlink ref="A148" r:id="rId244" display="146" xr:uid="{7485D19B-4DD0-49A5-A515-CB3232805937}"/>
    <hyperlink ref="A147" r:id="rId245" display="145" xr:uid="{0B29B748-6935-4923-A46B-5FA851156FD6}"/>
    <hyperlink ref="A146" r:id="rId246" display="144" xr:uid="{BD2B38E7-8B1D-4F0F-A400-2D90811B2581}"/>
    <hyperlink ref="A145" r:id="rId247" display="143" xr:uid="{E009A127-D681-45F9-964F-9C9B9D3E3C01}"/>
    <hyperlink ref="A143" r:id="rId248" display="141" xr:uid="{07F01BD2-487D-46C1-A694-A6FD1E26FD4E}"/>
    <hyperlink ref="A144" r:id="rId249" display="142" xr:uid="{F9C39E3F-B0C9-4C3B-A34A-F7D295B9D8AF}"/>
    <hyperlink ref="A142" r:id="rId250" display="140" xr:uid="{AC5D908B-90A9-4119-9847-8FC6222FEE53}"/>
    <hyperlink ref="A141" r:id="rId251" display="139" xr:uid="{EA8741DB-5AAA-4375-9F1D-9FB2AEACAF2F}"/>
    <hyperlink ref="A140" r:id="rId252" display="138" xr:uid="{23BBAEFE-10C6-4E61-A9C8-7AA458BFC6AF}"/>
    <hyperlink ref="A139" r:id="rId253" display="137" xr:uid="{3EA4A4A6-3DA0-4A5C-8C39-AF2270B03A91}"/>
    <hyperlink ref="A138" r:id="rId254" display="136" xr:uid="{6FB74189-087E-44AB-9583-CE8635EDE552}"/>
    <hyperlink ref="A137" r:id="rId255" display="135" xr:uid="{D8E093F1-090D-4DF2-8DFF-C5767792BDE7}"/>
    <hyperlink ref="A136" r:id="rId256" display="134" xr:uid="{BC06E8AD-C371-4A53-8DCA-780969874F5E}"/>
    <hyperlink ref="A135" r:id="rId257" display="133" xr:uid="{56ECDF2E-0E29-4A6B-B8FA-AF5253FA12C1}"/>
    <hyperlink ref="A134" r:id="rId258" display="132" xr:uid="{4DFF9699-0DA9-422B-8639-8900510CF99F}"/>
    <hyperlink ref="A133" r:id="rId259" display="131" xr:uid="{C269FC29-1816-4E26-8477-01C2C285177B}"/>
    <hyperlink ref="A132" r:id="rId260" display="130" xr:uid="{D241ADA3-DF4E-4A87-99A2-1A0E7C1F194E}"/>
    <hyperlink ref="A131" r:id="rId261" display="129" xr:uid="{4B2F812A-B3F1-4A76-BF85-1E96C649ECA6}"/>
    <hyperlink ref="A130" r:id="rId262" display="128" xr:uid="{D7F83D1B-08F1-4005-82BD-A50F7FCF8AC9}"/>
    <hyperlink ref="A129" r:id="rId263" display="127" xr:uid="{AE042F7C-0530-48BB-B549-2297688C4489}"/>
    <hyperlink ref="A128" r:id="rId264" display="126" xr:uid="{916CC8A3-C5A5-4E66-8729-5B832E3521F0}"/>
    <hyperlink ref="A127" r:id="rId265" display="125" xr:uid="{1320E4AB-DEE0-4BD3-90B1-27AB59AA4247}"/>
    <hyperlink ref="A126" r:id="rId266" display="124" xr:uid="{EE6AC142-6275-4DA4-8EE5-43BD28A23B73}"/>
    <hyperlink ref="A125" r:id="rId267" display="123" xr:uid="{056A2575-3450-46B9-9F65-C6C56D7DE392}"/>
    <hyperlink ref="A124" r:id="rId268" display="122" xr:uid="{22B0E4E3-CFF2-4954-8CB6-C3D6B6B91C03}"/>
    <hyperlink ref="A123" r:id="rId269" display="121" xr:uid="{E1C73FD5-F46F-468F-9D51-233C17DA3975}"/>
    <hyperlink ref="A122" r:id="rId270" display="120" xr:uid="{C47B2B24-08AB-41E4-98A0-550C008FD29A}"/>
    <hyperlink ref="A121" r:id="rId271" display="119" xr:uid="{B208AFF8-33A7-4EEE-8BB0-1F05CE4EB030}"/>
    <hyperlink ref="A120" r:id="rId272" display="118" xr:uid="{91B8DB4B-F6A4-48D3-A5E2-3FEECB6EE6BD}"/>
    <hyperlink ref="A119" r:id="rId273" display="117" xr:uid="{E1000594-ACA9-4EEE-9786-7BCB0F65FDB5}"/>
    <hyperlink ref="A118" r:id="rId274" display="116" xr:uid="{7425BF7B-85C4-4F07-8882-7ECCEB075F88}"/>
    <hyperlink ref="A117" r:id="rId275" display="115" xr:uid="{FD3EEB5E-24EB-41A0-97CE-08FB01785BD6}"/>
    <hyperlink ref="A116" r:id="rId276" display="114" xr:uid="{1920F9D8-B874-4F2C-9C24-3AE469C48351}"/>
    <hyperlink ref="A115" r:id="rId277" display="113" xr:uid="{4912280E-4A9B-4894-A6EB-AF084F6C5ACA}"/>
    <hyperlink ref="A114" r:id="rId278" display="112" xr:uid="{2CDFB6C0-EFB1-4E2E-BA5E-586768B4A6CD}"/>
    <hyperlink ref="A113" r:id="rId279" display="111" xr:uid="{AD131ED9-7B8D-4A45-AB06-7741D1321183}"/>
    <hyperlink ref="A112" r:id="rId280" display="110" xr:uid="{6F289732-5B72-4499-8623-FFD16FF7B981}"/>
    <hyperlink ref="A111" r:id="rId281" display="109" xr:uid="{90901DD3-4204-4E50-AF9C-DEF9ABE24DB5}"/>
    <hyperlink ref="A110" r:id="rId282" display="108" xr:uid="{BE97AC27-8EB0-42AD-B56B-CCE0E97CCA56}"/>
    <hyperlink ref="A109" r:id="rId283" display="107" xr:uid="{BF3F8C3F-6FC8-4F53-AA2C-01F562C261C2}"/>
    <hyperlink ref="A108" r:id="rId284" display="106" xr:uid="{A8A931CE-4FF3-4BFF-9991-12E1ABCC84CE}"/>
    <hyperlink ref="A107" r:id="rId285" display="105" xr:uid="{95980FEA-CBD5-4688-BC8D-BE6BD1650290}"/>
    <hyperlink ref="A106" r:id="rId286" display="104" xr:uid="{17F6B3EB-1600-481B-B2D1-A9B4FCAB776E}"/>
    <hyperlink ref="A105" r:id="rId287" display="103" xr:uid="{1790FC90-38FA-4DBF-9524-00D4706602FB}"/>
    <hyperlink ref="A104" r:id="rId288" display="102" xr:uid="{CE0B658D-2A74-461B-A035-72145A99B5F0}"/>
    <hyperlink ref="A103" r:id="rId289" display="101" xr:uid="{78385A35-E003-4E9F-A754-1C55B5C21ACD}"/>
    <hyperlink ref="A102" r:id="rId290" display="100" xr:uid="{158A2F6F-AFEE-4213-AB21-E70C0E73E3C7}"/>
    <hyperlink ref="A101" r:id="rId291" display="99" xr:uid="{C340A298-703D-46F3-A824-9049D735ECC3}"/>
    <hyperlink ref="A100" r:id="rId292" display="98" xr:uid="{8075F543-CCD1-418E-AC89-8EB13460595C}"/>
    <hyperlink ref="A99" r:id="rId293" display="97" xr:uid="{E7E79AC2-B2B4-4D18-A431-49D28C09337C}"/>
    <hyperlink ref="A98" r:id="rId294" display="96" xr:uid="{A2E5BD0E-31C6-4F14-AE14-4D875E93BFD7}"/>
    <hyperlink ref="A97" r:id="rId295" display="95" xr:uid="{FCEDCBFA-BEB8-4761-97D0-A29C61C4A3C4}"/>
    <hyperlink ref="A96" r:id="rId296" display="94" xr:uid="{77192D74-0F62-444E-9D76-454582415F73}"/>
    <hyperlink ref="A95" r:id="rId297" display="93" xr:uid="{9D7A499C-5471-4C27-A1DB-777FDC80F57D}"/>
    <hyperlink ref="A94" r:id="rId298" display="92" xr:uid="{329C8D49-CEB8-4009-955C-67A6EC8D662C}"/>
    <hyperlink ref="A92" r:id="rId299" xr:uid="{60F42A3B-176E-44F3-9E53-07861FD99686}"/>
    <hyperlink ref="A93" r:id="rId300" xr:uid="{72B7076A-83AF-4E27-9311-F59E78D695D4}"/>
    <hyperlink ref="A91" r:id="rId301" display="90" xr:uid="{F4443FFE-200A-4B47-BC6D-4BA81DF18E0A}"/>
    <hyperlink ref="A90" r:id="rId302" display="89" xr:uid="{0FCEE0DE-FCA4-4198-890D-512E5C7027A5}"/>
    <hyperlink ref="A89" r:id="rId303" display="88" xr:uid="{94AFDDEE-A580-4F58-83BF-25A465115E02}"/>
    <hyperlink ref="A88" r:id="rId304" display="87" xr:uid="{95B77929-EF34-4775-94DF-DE47A5146009}"/>
    <hyperlink ref="A87" r:id="rId305" display="86" xr:uid="{5A37E08D-A9F0-4741-9B62-894C19A826DC}"/>
    <hyperlink ref="A86" r:id="rId306" display="85" xr:uid="{FD03BCBD-6F25-4B31-AED7-3846B2E7F2D0}"/>
    <hyperlink ref="A85" r:id="rId307" display="84" xr:uid="{D4BFDB68-27FB-4407-B51D-5F536D1AA23D}"/>
    <hyperlink ref="A84" r:id="rId308" display="83" xr:uid="{E8937B58-2876-4937-B595-D48BAE6612DC}"/>
    <hyperlink ref="A83" r:id="rId309" display="82" xr:uid="{D76B8634-CD13-40CE-87D9-90493F42F15E}"/>
    <hyperlink ref="A82" r:id="rId310" display="81" xr:uid="{ABABBD0F-C293-4687-B8F4-771BCD9B1589}"/>
    <hyperlink ref="A81" r:id="rId311" display="80" xr:uid="{1940465C-4350-4D01-B03C-2D44E6801AAC}"/>
    <hyperlink ref="A80" r:id="rId312" display="79" xr:uid="{7518A8BD-4AE2-4BE0-B1C1-EDD9EB584D9E}"/>
    <hyperlink ref="A79" r:id="rId313" display="78" xr:uid="{4751E255-AE9B-4E58-BC83-046D4D51F844}"/>
    <hyperlink ref="A78" r:id="rId314" display="77" xr:uid="{C637E0F9-F318-468F-84A6-BAD157D3B4AD}"/>
    <hyperlink ref="A76" r:id="rId315" display="75" xr:uid="{EA8559E9-A13C-4A7D-B712-67EAB97A0963}"/>
    <hyperlink ref="A77" r:id="rId316" display="76" xr:uid="{94573AB5-50E9-4384-8073-E7A11691AC56}"/>
    <hyperlink ref="A75" r:id="rId317" display="74" xr:uid="{D6D46626-4246-408F-8722-58ED30058D04}"/>
    <hyperlink ref="A74" r:id="rId318" display="73" xr:uid="{12469A7F-6CFB-41C1-8E8C-B4CE759C9F8F}"/>
    <hyperlink ref="A73" r:id="rId319" display="72" xr:uid="{E4426E79-0BBF-4368-B116-E319EAC02840}"/>
    <hyperlink ref="A72" r:id="rId320" display="71" xr:uid="{F6A55A53-FCA2-4DC3-A54A-F9059DA75BBD}"/>
    <hyperlink ref="A71" r:id="rId321" display="70" xr:uid="{4486DE40-450D-4F73-88A4-C99AF441C5C1}"/>
    <hyperlink ref="A70" r:id="rId322" display="69" xr:uid="{86D92726-6CCE-44B7-B7A9-F6DB1DBD5CBF}"/>
    <hyperlink ref="A69" r:id="rId323" display="68" xr:uid="{4E4A3490-A3A8-4EB5-969D-DB704827D3C2}"/>
    <hyperlink ref="A68" r:id="rId324" display="67" xr:uid="{88B7C462-AC47-41D7-A4DC-949C7E512A7F}"/>
    <hyperlink ref="A67" r:id="rId325" display="66" xr:uid="{DC109465-9279-4A12-A5A5-BE5E392DAB72}"/>
    <hyperlink ref="A66" r:id="rId326" display="65" xr:uid="{BD7C3C2A-4346-469E-8BDA-C98D92FB1CB1}"/>
    <hyperlink ref="A64" r:id="rId327" display="63" xr:uid="{DBF8C9D3-D46B-49CA-8B3A-E78ACCEAF91F}"/>
    <hyperlink ref="A65" r:id="rId328" display="64" xr:uid="{62FFD0F3-1FEA-4E6C-B20F-598567C36683}"/>
    <hyperlink ref="A63" r:id="rId329" display="62" xr:uid="{350B8E00-5041-4FD6-83DA-7422C1D94ACE}"/>
    <hyperlink ref="A62" r:id="rId330" display="61" xr:uid="{1DD0800C-5621-48DF-9E43-0EF0D7B2C4A9}"/>
    <hyperlink ref="A61" r:id="rId331" display="60" xr:uid="{3AD14C26-BCBC-4D3D-A04C-8EC7198D13ED}"/>
    <hyperlink ref="A60" r:id="rId332" display="59" xr:uid="{AA4B6E10-46D5-404E-883D-D601D5CC500D}"/>
    <hyperlink ref="A59" r:id="rId333" display="58" xr:uid="{1DD66486-71EE-4BBF-8515-A099BAB87537}"/>
    <hyperlink ref="A58" r:id="rId334" display="57" xr:uid="{4ECDCF69-2675-4236-BCF8-6525248612B4}"/>
    <hyperlink ref="A57" r:id="rId335" display="56" xr:uid="{AF17F55A-ADA5-4AA9-BBCF-3192E2D3DCBE}"/>
    <hyperlink ref="A56" r:id="rId336" display="55" xr:uid="{39E86D37-5D7E-4C02-A5CF-6D8818B91383}"/>
    <hyperlink ref="A55" r:id="rId337" display="54" xr:uid="{A68B84FB-80F2-4A0C-93ED-B44383B6EF54}"/>
    <hyperlink ref="A54" r:id="rId338" display="53" xr:uid="{3766289C-5F92-467C-96C5-772DAB7CDDF1}"/>
    <hyperlink ref="A53" r:id="rId339" display="52" xr:uid="{F388C4D9-C0FA-43C1-966B-CC3F2D4A6B8F}"/>
    <hyperlink ref="A52" r:id="rId340" display="51" xr:uid="{58E7CA10-0634-44E0-A4BB-9DFE692ADBC3}"/>
    <hyperlink ref="A51" r:id="rId341" display="50" xr:uid="{8BBD5245-D92D-4537-BA62-D6D73F876CB7}"/>
    <hyperlink ref="A50" r:id="rId342" display="49" xr:uid="{D52FFC07-0369-41C1-859F-FB3B179967B1}"/>
    <hyperlink ref="A49" r:id="rId343" display="48" xr:uid="{238A6A04-1B09-4491-B51C-0C5F77044E61}"/>
    <hyperlink ref="A48" r:id="rId344" display="47" xr:uid="{7D6043BF-DCD4-4FCE-9091-BD8E80DDB566}"/>
    <hyperlink ref="A47" r:id="rId345" display="46" xr:uid="{1B684AFA-9984-42A6-A3D5-F79494DF88A3}"/>
    <hyperlink ref="A46" r:id="rId346" display="45" xr:uid="{6B16ADD8-48A9-4257-8F98-D64D7F1FA2E5}"/>
    <hyperlink ref="A45" r:id="rId347" display="44" xr:uid="{B2A02972-7914-422F-ABA8-1ACBB353C510}"/>
    <hyperlink ref="A44" r:id="rId348" display="43" xr:uid="{40296D25-BDE6-45A1-AE40-B09C1802495B}"/>
    <hyperlink ref="A43" r:id="rId349" display="42" xr:uid="{3FA3739B-EB82-4F60-9EE8-C57E3F89EB4A}"/>
    <hyperlink ref="A42" r:id="rId350" display="41" xr:uid="{44811500-909E-441E-BB7C-39F39E45C9BF}"/>
    <hyperlink ref="A41" r:id="rId351" display="40" xr:uid="{598E3803-B09E-45EF-9508-45A21366EAF3}"/>
    <hyperlink ref="A40" r:id="rId352" display="39" xr:uid="{09D32FD8-F199-4FE6-BD99-112CE30A23FF}"/>
    <hyperlink ref="A39" r:id="rId353" display="38" xr:uid="{ABC7B51F-A53E-4455-9526-33DDE1CBB242}"/>
    <hyperlink ref="A38" r:id="rId354" display="37" xr:uid="{C8386F14-7FAB-4CC2-BCD5-62120B4735BF}"/>
    <hyperlink ref="A37" r:id="rId355" display="36" xr:uid="{07706F58-6AC9-41F7-9CB6-76C48B583FDF}"/>
    <hyperlink ref="A36" r:id="rId356" display="35" xr:uid="{B7810A08-4B90-4589-BDB9-BF5873001DED}"/>
    <hyperlink ref="A35" r:id="rId357" display="34" xr:uid="{D95ADA2A-658D-4C2F-8D34-C0FE0602111A}"/>
    <hyperlink ref="A34" r:id="rId358" display="33" xr:uid="{6078AAEF-A14F-44FC-97C3-10E43A655319}"/>
    <hyperlink ref="A33" r:id="rId359" display="32" xr:uid="{1FEEFC00-A599-4ADB-8DA1-151817AEFEEB}"/>
    <hyperlink ref="A32" r:id="rId360" display="31" xr:uid="{16FA78BB-91D9-4629-9813-4D9E858B3128}"/>
    <hyperlink ref="A31" r:id="rId361" display="30" xr:uid="{98F0073E-64E3-4832-B30C-59D5E894D7FD}"/>
    <hyperlink ref="A30" r:id="rId362" display="29" xr:uid="{2E61A7B1-BEE7-4C2A-810D-5179936B91CB}"/>
    <hyperlink ref="A29" r:id="rId363" display="28" xr:uid="{EDF5E0F8-2AD8-4A8D-B2DA-34B190520CEC}"/>
    <hyperlink ref="A28" r:id="rId364" display="27" xr:uid="{66A73D82-5F1E-4845-B565-1A5D42C0430E}"/>
    <hyperlink ref="A27" r:id="rId365" display="26" xr:uid="{26D33F35-2D51-48BA-97A2-99AAE915E4FA}"/>
    <hyperlink ref="A26" r:id="rId366" display="25" xr:uid="{1A2D08FA-B494-4409-803E-7E33143ABE66}"/>
    <hyperlink ref="A25" r:id="rId367" display="24" xr:uid="{D2BAFA9E-5C01-447E-8C36-57C537F1A2CB}"/>
    <hyperlink ref="A24" r:id="rId368" display="23" xr:uid="{A88B82A1-4F62-4955-ACBD-B15B58C990D1}"/>
    <hyperlink ref="A23" r:id="rId369" display="22" xr:uid="{681EB35E-8B98-436F-BB01-00D504736FE8}"/>
    <hyperlink ref="A22" r:id="rId370" display="21" xr:uid="{DB9F89ED-68FF-452C-823E-D91C7D77EBFF}"/>
    <hyperlink ref="A21" r:id="rId371" display="20" xr:uid="{DF8C4B72-D6D4-4507-AA4C-F4850692DB84}"/>
    <hyperlink ref="A20" r:id="rId372" display="19" xr:uid="{04A0281D-E862-4B72-BF18-76C19B2D82F0}"/>
    <hyperlink ref="A19" r:id="rId373" display="18" xr:uid="{3418A934-8A9F-43C2-9473-C2B1C1C963D5}"/>
    <hyperlink ref="A18" r:id="rId374" display="17" xr:uid="{70916F85-A530-45D4-B759-2D96F4482403}"/>
    <hyperlink ref="A17" r:id="rId375" display="16" xr:uid="{B0C99CCD-E9FE-4094-BD82-1D3693E17245}"/>
    <hyperlink ref="A16" r:id="rId376" display="15" xr:uid="{4E2856E6-17FE-4177-97AD-AECEF8491BFF}"/>
    <hyperlink ref="A15" r:id="rId377" display="14" xr:uid="{92AC973C-5F7F-4B0D-AF90-094E1D817942}"/>
    <hyperlink ref="A14" r:id="rId378" display="13" xr:uid="{30D4EC4D-F860-4901-B6B3-D93E91F7CAAB}"/>
    <hyperlink ref="A13" r:id="rId379" display="12" xr:uid="{2CC5F0A4-0C81-41F8-BF23-A88F183268D5}"/>
    <hyperlink ref="A12" r:id="rId380" display="11" xr:uid="{BB3B09DF-7F1A-458C-8183-334D274666B8}"/>
    <hyperlink ref="A11" r:id="rId381" display="10" xr:uid="{8C3351BD-E860-4D00-BAF1-E56FEE31883F}"/>
    <hyperlink ref="A10" r:id="rId382" display="9" xr:uid="{F8E5D7D4-B376-41BE-BAA4-81B00193B2E9}"/>
    <hyperlink ref="A9" r:id="rId383" display="8" xr:uid="{1BFF63F9-79B3-4053-9955-DA82B959F15A}"/>
    <hyperlink ref="A8" r:id="rId384" display="7" xr:uid="{E2443ED2-7346-43F2-A56C-DD433066AF92}"/>
    <hyperlink ref="A7" r:id="rId385" display="6" xr:uid="{E27AA9CF-A755-4882-A678-49AD1110E231}"/>
    <hyperlink ref="A6" r:id="rId386" display="5" xr:uid="{F0AD02CB-E1BE-4B83-9FCF-2D5B96A473A9}"/>
    <hyperlink ref="A5" r:id="rId387" display="4" xr:uid="{95970B17-3C65-4156-9F30-F58035AA37A7}"/>
    <hyperlink ref="A4" r:id="rId388" display="3" xr:uid="{BCD37ABE-879D-46AB-A13A-B3FBBCC3A51C}"/>
    <hyperlink ref="A3" r:id="rId389" display="2" xr:uid="{8D55C599-13FB-4203-A444-F204CA550B72}"/>
    <hyperlink ref="A2" r:id="rId390" display="1" xr:uid="{2ACD81E9-4AE0-4F51-867D-6CEFCB21D23B}"/>
    <hyperlink ref="A392" r:id="rId391" display="390" xr:uid="{97927C07-370A-4E56-B047-E73C1B160A5D}"/>
    <hyperlink ref="A393" r:id="rId392" display="391" xr:uid="{C13AE746-6C96-467D-B1A9-6426530B7B2E}"/>
    <hyperlink ref="A1" r:id="rId393" xr:uid="{7084A6CC-20CE-4A37-A34C-A448D34F554B}"/>
    <hyperlink ref="A394" r:id="rId394" display="392" xr:uid="{5F39CC15-5B16-42B9-AE92-4BA148D82605}"/>
    <hyperlink ref="A400" r:id="rId395" display="398" xr:uid="{4C7F84DB-4460-4EBB-BC1D-72C519244F32}"/>
    <hyperlink ref="A399" r:id="rId396" display="397" xr:uid="{3901CE36-40A3-4582-971A-FC34D0377CE5}"/>
    <hyperlink ref="A404" r:id="rId397" display="402" xr:uid="{0CFEC68C-E05A-4AF3-8CE8-1CA114E6D977}"/>
    <hyperlink ref="A403" r:id="rId398" display="401" xr:uid="{5F7D8840-55DA-4FA2-9F10-E117070BD75E}"/>
    <hyperlink ref="A402" r:id="rId399" display="400" xr:uid="{70909F9B-1B9B-4194-A662-7C131789C481}"/>
    <hyperlink ref="A406" r:id="rId400" display="404" xr:uid="{51E02B56-3C09-4DB5-B2F9-771BC0BB134D}"/>
    <hyperlink ref="A405" r:id="rId401" display="403" xr:uid="{3D80E3CC-4802-4D79-B9C6-F45314986D58}"/>
    <hyperlink ref="A407" r:id="rId402" display="405" xr:uid="{7CF1A8E9-EF09-48C5-9DB6-D46B8BA3FC71}"/>
    <hyperlink ref="A410" r:id="rId403" display="408" xr:uid="{6B0EB8E0-E8C5-4C59-8083-11E454880C5E}"/>
    <hyperlink ref="A409" r:id="rId404" display="407" xr:uid="{08DCEEA8-10BA-4960-B7DD-1F21D1438067}"/>
    <hyperlink ref="A408" r:id="rId405" display="406" xr:uid="{FE70B54A-6F8E-41FC-9764-4D67A8CE0AE2}"/>
    <hyperlink ref="A411" r:id="rId406" display="409" xr:uid="{9CB1F474-FC4E-4531-9AE7-4F78629B31AE}"/>
    <hyperlink ref="A412" r:id="rId407" display="410" xr:uid="{5246B4B6-E64F-4E5D-8B69-C90CF0DFE3A2}"/>
    <hyperlink ref="A413" r:id="rId408" display="411" xr:uid="{557AB875-256C-419D-921E-F935652C211E}"/>
    <hyperlink ref="A415" r:id="rId409" display="413" xr:uid="{A02A68B0-3337-4777-8E66-DC00ED44325D}"/>
    <hyperlink ref="A414" r:id="rId410" display="412" xr:uid="{C287A550-9E1A-40CA-A107-4CAE2CBE4D0E}"/>
    <hyperlink ref="A416" r:id="rId411" display="414" xr:uid="{D06E350A-CAA7-4C3C-9B26-397BC0044521}"/>
    <hyperlink ref="A417" r:id="rId412" display="415" xr:uid="{79214E58-85E1-46C1-94CE-38378021C7A3}"/>
    <hyperlink ref="A418" r:id="rId413" display="416" xr:uid="{872FD3F1-3029-45DF-A837-FB6D1ABC6E0D}"/>
    <hyperlink ref="A420" r:id="rId414" display="418" xr:uid="{CA51D7E1-3322-4456-92D6-DFAA7D7D54DE}"/>
    <hyperlink ref="A419" r:id="rId415" display="417" xr:uid="{3D123305-D730-470E-8761-FB76902319E1}"/>
    <hyperlink ref="A421" r:id="rId416" display="419" xr:uid="{C3F57D8B-5C0A-499D-BAB9-BD5619230489}"/>
  </hyperlinks>
  <pageMargins left="0.7" right="0.7" top="0.75" bottom="0.75" header="0.3" footer="0.3"/>
  <tableParts count="1">
    <tablePart r:id="rId4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BDE9-5F25-418E-96BA-1DD45FA60728}">
  <dimension ref="A1:P25"/>
  <sheetViews>
    <sheetView workbookViewId="0">
      <selection activeCell="C5" sqref="C5"/>
    </sheetView>
  </sheetViews>
  <sheetFormatPr defaultRowHeight="15"/>
  <cols>
    <col min="1" max="1" width="38.140625" style="14" customWidth="1"/>
    <col min="2" max="2" width="19" style="17" customWidth="1"/>
  </cols>
  <sheetData>
    <row r="1" spans="1:16">
      <c r="B1" s="106">
        <f ca="1">YEAR(TODAY())</f>
        <v>2026</v>
      </c>
      <c r="C1" s="107">
        <f ca="1">B1-1</f>
        <v>2025</v>
      </c>
      <c r="D1" s="107">
        <f t="shared" ref="D1:P1" ca="1" si="0">C1-1</f>
        <v>2024</v>
      </c>
      <c r="E1" s="107">
        <f t="shared" ca="1" si="0"/>
        <v>2023</v>
      </c>
      <c r="F1" s="107">
        <f t="shared" ca="1" si="0"/>
        <v>2022</v>
      </c>
      <c r="G1" s="107">
        <f t="shared" ca="1" si="0"/>
        <v>2021</v>
      </c>
      <c r="H1" s="107">
        <f t="shared" ca="1" si="0"/>
        <v>2020</v>
      </c>
      <c r="I1" s="107">
        <f t="shared" ca="1" si="0"/>
        <v>2019</v>
      </c>
      <c r="J1" s="107">
        <f t="shared" ca="1" si="0"/>
        <v>2018</v>
      </c>
      <c r="K1" s="107">
        <f ca="1">J1-1</f>
        <v>2017</v>
      </c>
      <c r="L1" s="107">
        <f t="shared" ca="1" si="0"/>
        <v>2016</v>
      </c>
      <c r="M1" s="107">
        <f t="shared" ca="1" si="0"/>
        <v>2015</v>
      </c>
      <c r="N1" s="107">
        <f t="shared" ca="1" si="0"/>
        <v>2014</v>
      </c>
      <c r="O1" s="107">
        <f t="shared" ca="1" si="0"/>
        <v>2013</v>
      </c>
      <c r="P1" s="107">
        <f t="shared" ca="1" si="0"/>
        <v>2012</v>
      </c>
    </row>
    <row r="2" spans="1:16">
      <c r="A2" s="14" t="s">
        <v>63</v>
      </c>
      <c r="B2" s="17">
        <v>109000</v>
      </c>
      <c r="C2" s="17">
        <v>109000</v>
      </c>
      <c r="D2" s="17">
        <v>110770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4" t="s">
        <v>64</v>
      </c>
      <c r="B3" s="17">
        <f ca="1">SUM(B6:B30)</f>
        <v>75391</v>
      </c>
      <c r="C3" s="17">
        <f t="shared" ref="C3:O3" ca="1" si="1">SUM(C6:C30)</f>
        <v>103100</v>
      </c>
      <c r="D3" s="17">
        <f t="shared" ca="1" si="1"/>
        <v>83420</v>
      </c>
      <c r="E3" s="17">
        <f t="shared" ca="1" si="1"/>
        <v>105870</v>
      </c>
      <c r="F3" s="17">
        <f t="shared" ca="1" si="1"/>
        <v>35750</v>
      </c>
      <c r="G3" s="17">
        <f t="shared" si="1"/>
        <v>0</v>
      </c>
      <c r="H3" s="17">
        <f t="shared" si="1"/>
        <v>0</v>
      </c>
      <c r="I3" s="17">
        <f t="shared" si="1"/>
        <v>0</v>
      </c>
      <c r="J3" s="17">
        <f t="shared" si="1"/>
        <v>0</v>
      </c>
      <c r="K3" s="17">
        <f t="shared" si="1"/>
        <v>0</v>
      </c>
      <c r="L3" s="17">
        <f t="shared" si="1"/>
        <v>0</v>
      </c>
      <c r="M3" s="17">
        <f t="shared" si="1"/>
        <v>0</v>
      </c>
      <c r="N3" s="17">
        <f t="shared" si="1"/>
        <v>0</v>
      </c>
      <c r="O3" s="17">
        <f t="shared" si="1"/>
        <v>0</v>
      </c>
      <c r="P3" s="17"/>
    </row>
    <row r="4" spans="1:16">
      <c r="A4" s="14" t="s">
        <v>65</v>
      </c>
      <c r="B4" s="17">
        <v>0</v>
      </c>
      <c r="C4" s="17">
        <v>0</v>
      </c>
      <c r="D4" s="17">
        <v>0</v>
      </c>
      <c r="E4" s="17">
        <v>0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>
      <c r="A5" s="14" t="s">
        <v>66</v>
      </c>
      <c r="B5" s="17">
        <f ca="1">B2-(B3+B4)</f>
        <v>33609</v>
      </c>
      <c r="C5" s="17">
        <f t="shared" ref="C5:P5" ca="1" si="2">C2-(C3+C4)</f>
        <v>5900</v>
      </c>
      <c r="D5" s="17">
        <f t="shared" ca="1" si="2"/>
        <v>27350</v>
      </c>
      <c r="E5" s="17">
        <f t="shared" ca="1" si="2"/>
        <v>-105870</v>
      </c>
      <c r="F5" s="17">
        <f t="shared" ca="1" si="2"/>
        <v>-35750</v>
      </c>
      <c r="G5" s="17">
        <f t="shared" si="2"/>
        <v>0</v>
      </c>
      <c r="H5" s="17">
        <f t="shared" si="2"/>
        <v>0</v>
      </c>
      <c r="I5" s="17">
        <f t="shared" si="2"/>
        <v>0</v>
      </c>
      <c r="J5" s="17">
        <f t="shared" si="2"/>
        <v>0</v>
      </c>
      <c r="K5" s="17">
        <f t="shared" si="2"/>
        <v>0</v>
      </c>
      <c r="L5" s="17">
        <f t="shared" si="2"/>
        <v>0</v>
      </c>
      <c r="M5" s="17">
        <f t="shared" si="2"/>
        <v>0</v>
      </c>
      <c r="N5" s="17">
        <f t="shared" si="2"/>
        <v>0</v>
      </c>
      <c r="O5" s="17">
        <f t="shared" si="2"/>
        <v>0</v>
      </c>
      <c r="P5" s="17">
        <f t="shared" si="2"/>
        <v>0</v>
      </c>
    </row>
    <row r="6" spans="1:16">
      <c r="A6" s="14" t="str" cm="1">
        <f t="array" ref="A6:A24">_xlfn._xlws.FILTER(TC!S2:S29,TC!T2:T29="Yes")</f>
        <v>Canadian Experience Class</v>
      </c>
      <c r="B6" s="17">
        <f ca="1">SUMIFS(Rounds!$D$2:$D$1000,Rounds!$C$2:$C$1000,targetCheck!A6,Rounds!$F$2:$F$1000,$B$1)</f>
        <v>37250</v>
      </c>
      <c r="C6">
        <f ca="1">SUMIFS(Rounds!$D$2:$D$1000,Rounds!$C$2:$C$1000,targetCheck!A6,Rounds!$F$2:$F$1000,$C$1)</f>
        <v>35850</v>
      </c>
      <c r="D6">
        <f ca="1">SUMIFS(Rounds!$D$2:$D$1000,Rounds!$C$2:$C$1000,targetCheck!A6,Rounds!$F$2:$F$1000,$D$1)</f>
        <v>26500</v>
      </c>
      <c r="E6">
        <f ca="1">SUMIFS(Rounds!$D$2:$D$1000,Rounds!$C$2:$C$1000,targetCheck!A6,Rounds!$F$2:$F$1000,$E$1)</f>
        <v>0</v>
      </c>
      <c r="F6">
        <f ca="1">SUMIFS(Rounds!$D$2:$D$1000,Rounds!$C$2:$C$1000,targetCheck!A6,Rounds!$F$2:$F$1000,$F$1)</f>
        <v>0</v>
      </c>
    </row>
    <row r="7" spans="1:16">
      <c r="A7" s="14" t="str">
        <v>Healthcare and social services occupations (Version 2)</v>
      </c>
      <c r="B7" s="17">
        <f ca="1">SUMIFS(Rounds!$D$2:$D$1000,Rounds!$C$2:$C$1000,targetCheck!A7,Rounds!$F$2:$F$1000,$B$1)</f>
        <v>0</v>
      </c>
      <c r="C7">
        <f ca="1">SUMIFS(Rounds!$D$2:$D$1000,Rounds!$C$2:$C$1000,targetCheck!A7,Rounds!$F$2:$F$1000,$C$1)</f>
        <v>14500</v>
      </c>
      <c r="D7">
        <f ca="1">SUMIFS(Rounds!$D$2:$D$1000,Rounds!$C$2:$C$1000,targetCheck!A7,Rounds!$F$2:$F$1000,$D$1)</f>
        <v>0</v>
      </c>
      <c r="E7">
        <f ca="1">SUMIFS(Rounds!$D$2:$D$1000,Rounds!$C$2:$C$1000,targetCheck!A7,Rounds!$F$2:$F$1000,$E$1)</f>
        <v>0</v>
      </c>
      <c r="F7">
        <f ca="1">SUMIFS(Rounds!$D$2:$D$1000,Rounds!$C$2:$C$1000,targetCheck!A7,Rounds!$F$2:$F$1000,$F$1)</f>
        <v>0</v>
      </c>
    </row>
    <row r="8" spans="1:16">
      <c r="A8" s="14" t="str">
        <v>Senior managers with Canadian Work Experience, 2026-Version 1</v>
      </c>
      <c r="B8" s="17">
        <f ca="1">SUMIFS(Rounds!$D$2:$D$1000,Rounds!$C$2:$C$1000,targetCheck!A8,Rounds!$F$2:$F$1000,$B$1)</f>
        <v>250</v>
      </c>
      <c r="C8">
        <f ca="1">SUMIFS(Rounds!$D$2:$D$1000,Rounds!$C$2:$C$1000,targetCheck!A8,Rounds!$F$2:$F$1000,$C$1)</f>
        <v>0</v>
      </c>
      <c r="D8">
        <f ca="1">SUMIFS(Rounds!$D$2:$D$1000,Rounds!$C$2:$C$1000,targetCheck!A8,Rounds!$F$2:$F$1000,$D$1)</f>
        <v>0</v>
      </c>
      <c r="E8">
        <f ca="1">SUMIFS(Rounds!$D$2:$D$1000,Rounds!$C$2:$C$1000,targetCheck!A8,Rounds!$F$2:$F$1000,$E$1)</f>
        <v>0</v>
      </c>
      <c r="F8">
        <f ca="1">SUMIFS(Rounds!$D$2:$D$1000,Rounds!$C$2:$C$1000,targetCheck!A8,Rounds!$F$2:$F$1000,$F$1)</f>
        <v>0</v>
      </c>
    </row>
    <row r="9" spans="1:16">
      <c r="A9" s="14" t="str">
        <v>STEM occupations (Version 1)</v>
      </c>
      <c r="B9" s="17">
        <f ca="1">SUMIFS(Rounds!$D$2:$D$1000,Rounds!$C$2:$C$1000,targetCheck!A9,Rounds!$F$2:$F$1000,$B$1)</f>
        <v>0</v>
      </c>
      <c r="C9">
        <f ca="1">SUMIFS(Rounds!$D$2:$D$1000,Rounds!$C$2:$C$1000,targetCheck!A9,Rounds!$F$2:$F$1000,$C$1)</f>
        <v>0</v>
      </c>
      <c r="D9">
        <f ca="1">SUMIFS(Rounds!$D$2:$D$1000,Rounds!$C$2:$C$1000,targetCheck!A9,Rounds!$F$2:$F$1000,$D$1)</f>
        <v>4500</v>
      </c>
      <c r="E9">
        <f ca="1">SUMIFS(Rounds!$D$2:$D$1000,Rounds!$C$2:$C$1000,targetCheck!A9,Rounds!$F$2:$F$1000,$E$1)</f>
        <v>6400</v>
      </c>
      <c r="F9">
        <f ca="1">SUMIFS(Rounds!$D$2:$D$1000,Rounds!$C$2:$C$1000,targetCheck!A9,Rounds!$F$2:$F$1000,$F$1)</f>
        <v>0</v>
      </c>
    </row>
    <row r="10" spans="1:16">
      <c r="A10" s="14" t="str">
        <v>Trade occupations (Version 1)</v>
      </c>
      <c r="B10" s="17">
        <f ca="1">SUMIFS(Rounds!$D$2:$D$1000,Rounds!$C$2:$C$1000,targetCheck!A10,Rounds!$F$2:$F$1000,$B$1)</f>
        <v>0</v>
      </c>
      <c r="C10">
        <f ca="1">SUMIFS(Rounds!$D$2:$D$1000,Rounds!$C$2:$C$1000,targetCheck!A10,Rounds!$F$2:$F$1000,$C$1)</f>
        <v>0</v>
      </c>
      <c r="D10">
        <f ca="1">SUMIFS(Rounds!$D$2:$D$1000,Rounds!$C$2:$C$1000,targetCheck!A10,Rounds!$F$2:$F$1000,$D$1)</f>
        <v>3600</v>
      </c>
      <c r="E10">
        <f ca="1">SUMIFS(Rounds!$D$2:$D$1000,Rounds!$C$2:$C$1000,targetCheck!A10,Rounds!$F$2:$F$1000,$E$1)</f>
        <v>2500</v>
      </c>
      <c r="F10">
        <f ca="1">SUMIFS(Rounds!$D$2:$D$1000,Rounds!$C$2:$C$1000,targetCheck!A10,Rounds!$F$2:$F$1000,$F$1)</f>
        <v>0</v>
      </c>
    </row>
    <row r="11" spans="1:16">
      <c r="A11" s="14" t="str">
        <v>Trade occupations (Version 2)</v>
      </c>
      <c r="B11" s="17">
        <f ca="1">SUMIFS(Rounds!$D$2:$D$1000,Rounds!$C$2:$C$1000,targetCheck!A11,Rounds!$F$2:$F$1000,$B$1)</f>
        <v>0</v>
      </c>
      <c r="C11">
        <f ca="1">SUMIFS(Rounds!$D$2:$D$1000,Rounds!$C$2:$C$1000,targetCheck!A11,Rounds!$F$2:$F$1000,$C$1)</f>
        <v>1250</v>
      </c>
      <c r="D11">
        <f ca="1">SUMIFS(Rounds!$D$2:$D$1000,Rounds!$C$2:$C$1000,targetCheck!A11,Rounds!$F$2:$F$1000,$D$1)</f>
        <v>0</v>
      </c>
      <c r="E11">
        <f ca="1">SUMIFS(Rounds!$D$2:$D$1000,Rounds!$C$2:$C$1000,targetCheck!A11,Rounds!$F$2:$F$1000,$E$1)</f>
        <v>0</v>
      </c>
      <c r="F11">
        <f ca="1">SUMIFS(Rounds!$D$2:$D$1000,Rounds!$C$2:$C$1000,targetCheck!A11,Rounds!$F$2:$F$1000,$F$1)</f>
        <v>0</v>
      </c>
    </row>
    <row r="12" spans="1:16">
      <c r="A12" s="14" t="str">
        <v>Trades Occupations, 2026-Version 3</v>
      </c>
      <c r="B12" s="17">
        <f ca="1">SUMIFS(Rounds!$D$2:$D$1000,Rounds!$C$2:$C$1000,targetCheck!A12,Rounds!$F$2:$F$1000,$B$1)</f>
        <v>3000</v>
      </c>
      <c r="C12">
        <f ca="1">SUMIFS(Rounds!$D$2:$D$1000,Rounds!$C$2:$C$1000,targetCheck!A12,Rounds!$F$2:$F$1000,$C$1)</f>
        <v>0</v>
      </c>
      <c r="D12">
        <f ca="1">SUMIFS(Rounds!$D$2:$D$1000,Rounds!$C$2:$C$1000,targetCheck!A12,Rounds!$F$2:$F$1000,$D$1)</f>
        <v>0</v>
      </c>
      <c r="E12">
        <f ca="1">SUMIFS(Rounds!$D$2:$D$1000,Rounds!$C$2:$C$1000,targetCheck!A12,Rounds!$F$2:$F$1000,$E$1)</f>
        <v>0</v>
      </c>
      <c r="F12">
        <f ca="1">SUMIFS(Rounds!$D$2:$D$1000,Rounds!$C$2:$C$1000,targetCheck!A12,Rounds!$F$2:$F$1000,$F$1)</f>
        <v>0</v>
      </c>
    </row>
    <row r="13" spans="1:16">
      <c r="A13" s="14" t="str">
        <v>Education occupations (Version 1)</v>
      </c>
      <c r="B13" s="17">
        <f ca="1">SUMIFS(Rounds!$D$2:$D$1000,Rounds!$C$2:$C$1000,targetCheck!A13,Rounds!$F$2:$F$1000,$B$1)</f>
        <v>0</v>
      </c>
      <c r="C13">
        <f ca="1">SUMIFS(Rounds!$D$2:$D$1000,Rounds!$C$2:$C$1000,targetCheck!A13,Rounds!$F$2:$F$1000,$C$1)</f>
        <v>3500</v>
      </c>
      <c r="D13">
        <f ca="1">SUMIFS(Rounds!$D$2:$D$1000,Rounds!$C$2:$C$1000,targetCheck!A13,Rounds!$F$2:$F$1000,$D$1)</f>
        <v>0</v>
      </c>
      <c r="E13">
        <f ca="1">SUMIFS(Rounds!$D$2:$D$1000,Rounds!$C$2:$C$1000,targetCheck!A13,Rounds!$F$2:$F$1000,$E$1)</f>
        <v>0</v>
      </c>
      <c r="F13">
        <f ca="1">SUMIFS(Rounds!$D$2:$D$1000,Rounds!$C$2:$C$1000,targetCheck!A13,Rounds!$F$2:$F$1000,$F$1)</f>
        <v>0</v>
      </c>
    </row>
    <row r="14" spans="1:16">
      <c r="A14" s="14" t="str">
        <v>Agriculture and agri-food occupations (Version 1)</v>
      </c>
      <c r="B14" s="17">
        <f ca="1">SUMIFS(Rounds!$D$2:$D$1000,Rounds!$C$2:$C$1000,targetCheck!A14,Rounds!$F$2:$F$1000,$B$1)</f>
        <v>0</v>
      </c>
      <c r="C14">
        <f ca="1">SUMIFS(Rounds!$D$2:$D$1000,Rounds!$C$2:$C$1000,targetCheck!A14,Rounds!$F$2:$F$1000,$C$1)</f>
        <v>0</v>
      </c>
      <c r="D14">
        <f ca="1">SUMIFS(Rounds!$D$2:$D$1000,Rounds!$C$2:$C$1000,targetCheck!A14,Rounds!$F$2:$F$1000,$D$1)</f>
        <v>150</v>
      </c>
      <c r="E14">
        <f ca="1">SUMIFS(Rounds!$D$2:$D$1000,Rounds!$C$2:$C$1000,targetCheck!A14,Rounds!$F$2:$F$1000,$E$1)</f>
        <v>1000</v>
      </c>
      <c r="F14">
        <f ca="1">SUMIFS(Rounds!$D$2:$D$1000,Rounds!$C$2:$C$1000,targetCheck!A14,Rounds!$F$2:$F$1000,$F$1)</f>
        <v>0</v>
      </c>
    </row>
    <row r="15" spans="1:16">
      <c r="A15" s="14" t="str">
        <v>Federal Skilled Trades</v>
      </c>
      <c r="B15" s="17">
        <f ca="1">SUMIFS(Rounds!$D$2:$D$1000,Rounds!$C$2:$C$1000,targetCheck!A15,Rounds!$F$2:$F$1000,$B$1)</f>
        <v>0</v>
      </c>
      <c r="C15">
        <f ca="1">SUMIFS(Rounds!$D$2:$D$1000,Rounds!$C$2:$C$1000,targetCheck!A15,Rounds!$F$2:$F$1000,$C$1)</f>
        <v>0</v>
      </c>
      <c r="D15">
        <f ca="1">SUMIFS(Rounds!$D$2:$D$1000,Rounds!$C$2:$C$1000,targetCheck!A15,Rounds!$F$2:$F$1000,$D$1)</f>
        <v>0</v>
      </c>
      <c r="E15">
        <f ca="1">SUMIFS(Rounds!$D$2:$D$1000,Rounds!$C$2:$C$1000,targetCheck!A15,Rounds!$F$2:$F$1000,$E$1)</f>
        <v>0</v>
      </c>
      <c r="F15">
        <f ca="1">SUMIFS(Rounds!$D$2:$D$1000,Rounds!$C$2:$C$1000,targetCheck!A15,Rounds!$F$2:$F$1000,$F$1)</f>
        <v>0</v>
      </c>
    </row>
    <row r="16" spans="1:16">
      <c r="A16" s="14" t="str">
        <v>Federal Skilled Worker</v>
      </c>
      <c r="B16" s="17">
        <f ca="1">SUMIFS(Rounds!$D$2:$D$1000,Rounds!$C$2:$C$1000,targetCheck!A16,Rounds!$F$2:$F$1000,$B$1)</f>
        <v>0</v>
      </c>
      <c r="C16">
        <f ca="1">SUMIFS(Rounds!$D$2:$D$1000,Rounds!$C$2:$C$1000,targetCheck!A16,Rounds!$F$2:$F$1000,$C$1)</f>
        <v>0</v>
      </c>
      <c r="D16">
        <f ca="1">SUMIFS(Rounds!$D$2:$D$1000,Rounds!$C$2:$C$1000,targetCheck!A16,Rounds!$F$2:$F$1000,$D$1)</f>
        <v>0</v>
      </c>
      <c r="E16">
        <f ca="1">SUMIFS(Rounds!$D$2:$D$1000,Rounds!$C$2:$C$1000,targetCheck!A16,Rounds!$F$2:$F$1000,$E$1)</f>
        <v>3300</v>
      </c>
      <c r="F16">
        <f ca="1">SUMIFS(Rounds!$D$2:$D$1000,Rounds!$C$2:$C$1000,targetCheck!A16,Rounds!$F$2:$F$1000,$F$1)</f>
        <v>0</v>
      </c>
    </row>
    <row r="17" spans="1:6">
      <c r="A17" s="14" t="str">
        <v>French language proficiency (Version 1)</v>
      </c>
      <c r="B17" s="17">
        <f ca="1">SUMIFS(Rounds!$D$2:$D$1000,Rounds!$C$2:$C$1000,targetCheck!A17,Rounds!$F$2:$F$1000,$B$1)</f>
        <v>0</v>
      </c>
      <c r="C17">
        <f ca="1">SUMIFS(Rounds!$D$2:$D$1000,Rounds!$C$2:$C$1000,targetCheck!A17,Rounds!$F$2:$F$1000,$C$1)</f>
        <v>48000</v>
      </c>
      <c r="D17">
        <f ca="1">SUMIFS(Rounds!$D$2:$D$1000,Rounds!$C$2:$C$1000,targetCheck!A17,Rounds!$F$2:$F$1000,$D$1)</f>
        <v>23000</v>
      </c>
      <c r="E17">
        <f ca="1">SUMIFS(Rounds!$D$2:$D$1000,Rounds!$C$2:$C$1000,targetCheck!A17,Rounds!$F$2:$F$1000,$E$1)</f>
        <v>8700</v>
      </c>
      <c r="F17">
        <f ca="1">SUMIFS(Rounds!$D$2:$D$1000,Rounds!$C$2:$C$1000,targetCheck!A17,Rounds!$F$2:$F$1000,$F$1)</f>
        <v>0</v>
      </c>
    </row>
    <row r="18" spans="1:6">
      <c r="A18" s="14" t="str">
        <v>French-Language proficiency 2026-Version 2</v>
      </c>
      <c r="B18" s="17">
        <f ca="1">SUMIFS(Rounds!$D$2:$D$1000,Rounds!$C$2:$C$1000,targetCheck!A18,Rounds!$F$2:$F$1000,$B$1)</f>
        <v>30500</v>
      </c>
      <c r="C18">
        <f ca="1">SUMIFS(Rounds!$D$2:$D$1000,Rounds!$C$2:$C$1000,targetCheck!A18,Rounds!$F$2:$F$1000,$C$1)</f>
        <v>0</v>
      </c>
      <c r="D18">
        <f ca="1">SUMIFS(Rounds!$D$2:$D$1000,Rounds!$C$2:$C$1000,targetCheck!A18,Rounds!$F$2:$F$1000,$D$1)</f>
        <v>0</v>
      </c>
      <c r="E18">
        <f ca="1">SUMIFS(Rounds!$D$2:$D$1000,Rounds!$C$2:$C$1000,targetCheck!A18,Rounds!$F$2:$F$1000,$E$1)</f>
        <v>0</v>
      </c>
      <c r="F18">
        <f ca="1">SUMIFS(Rounds!$D$2:$D$1000,Rounds!$C$2:$C$1000,targetCheck!A18,Rounds!$F$2:$F$1000,$F$1)</f>
        <v>0</v>
      </c>
    </row>
    <row r="19" spans="1:6">
      <c r="A19" s="14" t="str">
        <v>General</v>
      </c>
      <c r="B19" s="17">
        <f ca="1">SUMIFS(Rounds!$D$2:$D$1000,Rounds!$C$2:$C$1000,targetCheck!A19,Rounds!$F$2:$F$1000,$B$1)</f>
        <v>0</v>
      </c>
      <c r="C19">
        <f ca="1">SUMIFS(Rounds!$D$2:$D$1000,Rounds!$C$2:$C$1000,targetCheck!A19,Rounds!$F$2:$F$1000,$C$1)</f>
        <v>0</v>
      </c>
      <c r="D19">
        <f ca="1">SUMIFS(Rounds!$D$2:$D$1000,Rounds!$C$2:$C$1000,targetCheck!A19,Rounds!$F$2:$F$1000,$D$1)</f>
        <v>14445</v>
      </c>
      <c r="E19">
        <f ca="1">SUMIFS(Rounds!$D$2:$D$1000,Rounds!$C$2:$C$1000,targetCheck!A19,Rounds!$F$2:$F$1000,$E$1)</f>
        <v>6075</v>
      </c>
      <c r="F19">
        <f ca="1">SUMIFS(Rounds!$D$2:$D$1000,Rounds!$C$2:$C$1000,targetCheck!A19,Rounds!$F$2:$F$1000,$F$1)</f>
        <v>0</v>
      </c>
    </row>
    <row r="20" spans="1:6">
      <c r="A20" s="14" t="str">
        <v>Healthcare and Social Services Occupations, 2026-Version 3</v>
      </c>
      <c r="B20" s="17">
        <f ca="1">SUMIFS(Rounds!$D$2:$D$1000,Rounds!$C$2:$C$1000,targetCheck!A20,Rounds!$F$2:$F$1000,$B$1)</f>
        <v>4000</v>
      </c>
      <c r="C20">
        <f ca="1">SUMIFS(Rounds!$D$2:$D$1000,Rounds!$C$2:$C$1000,targetCheck!A20,Rounds!$F$2:$F$1000,$C$1)</f>
        <v>0</v>
      </c>
      <c r="D20">
        <f ca="1">SUMIFS(Rounds!$D$2:$D$1000,Rounds!$C$2:$C$1000,targetCheck!A20,Rounds!$F$2:$F$1000,$D$1)</f>
        <v>0</v>
      </c>
      <c r="E20">
        <f ca="1">SUMIFS(Rounds!$D$2:$D$1000,Rounds!$C$2:$C$1000,targetCheck!A20,Rounds!$F$2:$F$1000,$E$1)</f>
        <v>0</v>
      </c>
      <c r="F20">
        <f ca="1">SUMIFS(Rounds!$D$2:$D$1000,Rounds!$C$2:$C$1000,targetCheck!A20,Rounds!$F$2:$F$1000,$F$1)</f>
        <v>0</v>
      </c>
    </row>
    <row r="21" spans="1:6">
      <c r="A21" s="14" t="str">
        <v>Healthcare occupations (Version 1)</v>
      </c>
      <c r="B21" s="17">
        <f ca="1">SUMIFS(Rounds!$D$2:$D$1000,Rounds!$C$2:$C$1000,targetCheck!A21,Rounds!$F$2:$F$1000,$B$1)</f>
        <v>0</v>
      </c>
      <c r="C21">
        <f ca="1">SUMIFS(Rounds!$D$2:$D$1000,Rounds!$C$2:$C$1000,targetCheck!A21,Rounds!$F$2:$F$1000,$C$1)</f>
        <v>0</v>
      </c>
      <c r="D21">
        <f ca="1">SUMIFS(Rounds!$D$2:$D$1000,Rounds!$C$2:$C$1000,targetCheck!A21,Rounds!$F$2:$F$1000,$D$1)</f>
        <v>10250</v>
      </c>
      <c r="E21">
        <f ca="1">SUMIFS(Rounds!$D$2:$D$1000,Rounds!$C$2:$C$1000,targetCheck!A21,Rounds!$F$2:$F$1000,$E$1)</f>
        <v>5600</v>
      </c>
      <c r="F21">
        <f ca="1">SUMIFS(Rounds!$D$2:$D$1000,Rounds!$C$2:$C$1000,targetCheck!A21,Rounds!$F$2:$F$1000,$F$1)</f>
        <v>0</v>
      </c>
    </row>
    <row r="22" spans="1:6">
      <c r="A22" s="14" t="str">
        <v>No Program Specified</v>
      </c>
      <c r="B22" s="17">
        <f ca="1">SUMIFS(Rounds!$D$2:$D$1000,Rounds!$C$2:$C$1000,targetCheck!A22,Rounds!$F$2:$F$1000,$B$1)</f>
        <v>0</v>
      </c>
      <c r="C22">
        <f ca="1">SUMIFS(Rounds!$D$2:$D$1000,Rounds!$C$2:$C$1000,targetCheck!A22,Rounds!$F$2:$F$1000,$C$1)</f>
        <v>0</v>
      </c>
      <c r="D22">
        <f ca="1">SUMIFS(Rounds!$D$2:$D$1000,Rounds!$C$2:$C$1000,targetCheck!A22,Rounds!$F$2:$F$1000,$D$1)</f>
        <v>0</v>
      </c>
      <c r="E22">
        <f ca="1">SUMIFS(Rounds!$D$2:$D$1000,Rounds!$C$2:$C$1000,targetCheck!A22,Rounds!$F$2:$F$1000,$E$1)</f>
        <v>70625</v>
      </c>
      <c r="F22">
        <f ca="1">SUMIFS(Rounds!$D$2:$D$1000,Rounds!$C$2:$C$1000,targetCheck!A22,Rounds!$F$2:$F$1000,$F$1)</f>
        <v>35750</v>
      </c>
    </row>
    <row r="23" spans="1:6">
      <c r="A23" s="14" t="str">
        <v>Physicians with Canadian Work Experience, 2026-Version 1</v>
      </c>
      <c r="B23" s="17">
        <f ca="1">SUMIFS(Rounds!$D$2:$D$1000,Rounds!$C$2:$C$1000,targetCheck!A23,Rounds!$F$2:$F$1000,$B$1)</f>
        <v>391</v>
      </c>
      <c r="C23">
        <f ca="1">SUMIFS(Rounds!$D$2:$D$1000,Rounds!$C$2:$C$1000,targetCheck!A23,Rounds!$F$2:$F$1000,$C$1)</f>
        <v>0</v>
      </c>
      <c r="D23">
        <f ca="1">SUMIFS(Rounds!$D$2:$D$1000,Rounds!$C$2:$C$1000,targetCheck!A23,Rounds!$F$2:$F$1000,$D$1)</f>
        <v>0</v>
      </c>
      <c r="E23">
        <f ca="1">SUMIFS(Rounds!$D$2:$D$1000,Rounds!$C$2:$C$1000,targetCheck!A23,Rounds!$F$2:$F$1000,$E$1)</f>
        <v>0</v>
      </c>
      <c r="F23">
        <f ca="1">SUMIFS(Rounds!$D$2:$D$1000,Rounds!$C$2:$C$1000,targetCheck!A23,Rounds!$F$2:$F$1000,$F$1)</f>
        <v>0</v>
      </c>
    </row>
    <row r="24" spans="1:6">
      <c r="A24" s="14" t="str">
        <v>Transport occupations (Version 1)</v>
      </c>
      <c r="B24" s="17">
        <f ca="1">SUMIFS(Rounds!$D$2:$D$1000,Rounds!$C$2:$C$1000,targetCheck!A24,Rounds!$F$2:$F$1000,$B$1)</f>
        <v>0</v>
      </c>
      <c r="C24">
        <f ca="1">SUMIFS(Rounds!$D$2:$D$1000,Rounds!$C$2:$C$1000,targetCheck!A24,Rounds!$F$2:$F$1000,$C$1)</f>
        <v>0</v>
      </c>
      <c r="D24">
        <f ca="1">SUMIFS(Rounds!$D$2:$D$1000,Rounds!$C$2:$C$1000,targetCheck!A24,Rounds!$F$2:$F$1000,$D$1)</f>
        <v>975</v>
      </c>
      <c r="E24">
        <f ca="1">SUMIFS(Rounds!$D$2:$D$1000,Rounds!$C$2:$C$1000,targetCheck!A24,Rounds!$F$2:$F$1000,$E$1)</f>
        <v>1670</v>
      </c>
      <c r="F24">
        <f ca="1">SUMIFS(Rounds!$D$2:$D$1000,Rounds!$C$2:$C$1000,targetCheck!A24,Rounds!$F$2:$F$1000,$F$1)</f>
        <v>0</v>
      </c>
    </row>
    <row r="25" spans="1:6">
      <c r="B25" s="17">
        <f ca="1">SUMIFS(Rounds!$D$2:$D$1000,Rounds!$C$2:$C$1000,targetCheck!A25,Rounds!$F$2:$F$1000,$B$1)</f>
        <v>0</v>
      </c>
      <c r="C25">
        <f ca="1">SUMIFS(Rounds!$D$2:$D$1000,Rounds!$C$2:$C$1000,targetCheck!A25,Rounds!$F$2:$F$1000,$C$1)</f>
        <v>0</v>
      </c>
      <c r="D25">
        <f ca="1">SUMIFS(Rounds!$D$2:$D$1000,Rounds!$C$2:$C$1000,targetCheck!A25,Rounds!$F$2:$F$1000,$D$1)</f>
        <v>0</v>
      </c>
      <c r="E25">
        <f ca="1">SUMIFS(Rounds!$D$2:$D$1000,Rounds!$C$2:$C$1000,targetCheck!A25,Rounds!$F$2:$F$1000,$E$1)</f>
        <v>0</v>
      </c>
      <c r="F25">
        <f ca="1">SUMIFS(Rounds!$D$2:$D$1000,Rounds!$C$2:$C$1000,targetCheck!A25,Rounds!$F$2:$F$1000,$F$1)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D080-702F-4EAC-B389-AA00C4371AB5}">
  <dimension ref="A1:J10"/>
  <sheetViews>
    <sheetView workbookViewId="0">
      <pane ySplit="1" topLeftCell="A2" activePane="bottomLeft" state="frozen"/>
      <selection pane="bottomLeft" activeCell="J1" sqref="J1"/>
    </sheetView>
  </sheetViews>
  <sheetFormatPr defaultRowHeight="15"/>
  <cols>
    <col min="2" max="2" width="29.28515625" style="30" bestFit="1" customWidth="1"/>
    <col min="3" max="3" width="12.140625" customWidth="1"/>
    <col min="9" max="9" width="22.85546875" customWidth="1"/>
  </cols>
  <sheetData>
    <row r="1" spans="1:10">
      <c r="A1" s="27" t="s">
        <v>36</v>
      </c>
      <c r="B1" s="28" t="s">
        <v>33</v>
      </c>
      <c r="C1" s="27" t="s">
        <v>37</v>
      </c>
      <c r="D1" s="27" t="s">
        <v>38</v>
      </c>
      <c r="E1" s="29" t="s">
        <v>39</v>
      </c>
      <c r="F1" s="27" t="s">
        <v>40</v>
      </c>
      <c r="G1" s="128" t="s">
        <v>42</v>
      </c>
      <c r="H1" s="129"/>
      <c r="I1" s="129"/>
      <c r="J1">
        <v>2026</v>
      </c>
    </row>
    <row r="2" spans="1:10">
      <c r="A2" cm="1">
        <f t="array" ref="A2:F10">_xlfn._xlws.SORT(_xlfn._xlws.FILTER(Rounds!A2:F1036,((Rounds!C2:C1036=CEC!G1)*(Rounds!F2:F1036=CEC!J1))),VLOOKUP(J2,TC!O2:P5,2,0),VLOOKUP(CEC!J3,TC!F2:G3,2,0))</f>
        <v>390</v>
      </c>
      <c r="B2" s="30">
        <v>46029</v>
      </c>
      <c r="C2" t="str">
        <v>Canadian Experience Class</v>
      </c>
      <c r="D2">
        <v>8000</v>
      </c>
      <c r="E2">
        <v>511</v>
      </c>
      <c r="F2">
        <v>2026</v>
      </c>
      <c r="I2" s="14" t="s">
        <v>67</v>
      </c>
      <c r="J2" t="s">
        <v>33</v>
      </c>
    </row>
    <row r="3" spans="1:10">
      <c r="A3">
        <v>392</v>
      </c>
      <c r="B3" s="30">
        <v>46043</v>
      </c>
      <c r="C3" t="str">
        <v>Canadian Experience Class</v>
      </c>
      <c r="D3">
        <v>6000</v>
      </c>
      <c r="E3">
        <v>509</v>
      </c>
      <c r="F3">
        <v>2026</v>
      </c>
      <c r="I3" s="14" t="s">
        <v>68</v>
      </c>
      <c r="J3" t="s">
        <v>69</v>
      </c>
    </row>
    <row r="4" spans="1:10">
      <c r="A4">
        <v>396</v>
      </c>
      <c r="B4" s="30">
        <v>46070</v>
      </c>
      <c r="C4" t="str">
        <v>Canadian Experience Class</v>
      </c>
      <c r="D4">
        <v>6000</v>
      </c>
      <c r="E4">
        <v>508</v>
      </c>
      <c r="F4">
        <v>2026</v>
      </c>
    </row>
    <row r="5" spans="1:10">
      <c r="A5">
        <v>400</v>
      </c>
      <c r="B5" s="30">
        <v>46084</v>
      </c>
      <c r="C5" t="str">
        <v>Canadian Experience Class</v>
      </c>
      <c r="D5">
        <v>4000</v>
      </c>
      <c r="E5">
        <v>508</v>
      </c>
      <c r="F5">
        <v>2026</v>
      </c>
    </row>
    <row r="6" spans="1:10">
      <c r="A6">
        <v>404</v>
      </c>
      <c r="B6" s="30">
        <v>46098</v>
      </c>
      <c r="C6" t="str">
        <v>Canadian Experience Class</v>
      </c>
      <c r="D6">
        <v>4000</v>
      </c>
      <c r="E6">
        <v>507</v>
      </c>
      <c r="F6">
        <v>2026</v>
      </c>
    </row>
    <row r="7" spans="1:10">
      <c r="A7">
        <v>407</v>
      </c>
      <c r="B7" s="30">
        <v>46112</v>
      </c>
      <c r="C7" t="str">
        <v>Canadian Experience Class</v>
      </c>
      <c r="D7">
        <v>2250</v>
      </c>
      <c r="E7">
        <v>509</v>
      </c>
      <c r="F7">
        <v>2026</v>
      </c>
    </row>
    <row r="8" spans="1:10">
      <c r="A8">
        <v>410</v>
      </c>
      <c r="B8" s="30">
        <v>46126</v>
      </c>
      <c r="C8" t="str">
        <v>Canadian Experience Class</v>
      </c>
      <c r="D8">
        <v>2000</v>
      </c>
      <c r="E8">
        <v>515</v>
      </c>
      <c r="F8">
        <v>2026</v>
      </c>
    </row>
    <row r="9" spans="1:10">
      <c r="A9">
        <v>413</v>
      </c>
      <c r="B9" s="30">
        <v>46140</v>
      </c>
      <c r="C9" t="str">
        <v>Canadian Experience Class</v>
      </c>
      <c r="D9">
        <v>2000</v>
      </c>
      <c r="E9">
        <v>514</v>
      </c>
      <c r="F9">
        <v>2026</v>
      </c>
    </row>
    <row r="10" spans="1:10">
      <c r="A10">
        <v>417</v>
      </c>
      <c r="B10" s="30">
        <v>46169</v>
      </c>
      <c r="C10" t="str">
        <v>Canadian Experience Class</v>
      </c>
      <c r="D10">
        <v>3000</v>
      </c>
      <c r="E10">
        <v>518</v>
      </c>
      <c r="F10">
        <v>2026</v>
      </c>
    </row>
  </sheetData>
  <mergeCells count="1">
    <mergeCell ref="G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B3B6EC-17F6-4210-9E10-251DA7759C7B}">
          <x14:formula1>
            <xm:f>TC!$I$2:$I$20</xm:f>
          </x14:formula1>
          <xm:sqref>G1</xm:sqref>
        </x14:dataValidation>
        <x14:dataValidation type="list" allowBlank="1" showInputMessage="1" showErrorMessage="1" xr:uid="{287B51BF-0895-4BE9-B8EF-E8594B420ADA}">
          <x14:formula1>
            <xm:f>TC!$A$2:$A$20</xm:f>
          </x14:formula1>
          <xm:sqref>J1</xm:sqref>
        </x14:dataValidation>
        <x14:dataValidation type="list" allowBlank="1" showInputMessage="1" showErrorMessage="1" xr:uid="{6953A480-B707-435C-BC78-C918201BABB4}">
          <x14:formula1>
            <xm:f>TC!$O$2:$O$5</xm:f>
          </x14:formula1>
          <xm:sqref>J2</xm:sqref>
        </x14:dataValidation>
        <x14:dataValidation type="list" allowBlank="1" showInputMessage="1" showErrorMessage="1" xr:uid="{AE373FAB-92D8-4B40-81D9-D989E219CBB5}">
          <x14:formula1>
            <xm:f>TC!$F$2:$F$3</xm:f>
          </x14:formula1>
          <xm:sqref>J3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D0B3-0BAF-4454-94A3-92F255A9191E}">
  <dimension ref="A1:F9"/>
  <sheetViews>
    <sheetView workbookViewId="0">
      <selection activeCell="F7" sqref="F7"/>
    </sheetView>
  </sheetViews>
  <sheetFormatPr defaultRowHeight="15"/>
  <sheetData>
    <row r="1" spans="1:6">
      <c r="B1" t="s">
        <v>70</v>
      </c>
      <c r="C1" t="s">
        <v>71</v>
      </c>
      <c r="D1" t="s">
        <v>72</v>
      </c>
      <c r="E1" t="s">
        <v>73</v>
      </c>
    </row>
    <row r="2" spans="1:6">
      <c r="A2" t="s">
        <v>74</v>
      </c>
      <c r="B2">
        <v>7</v>
      </c>
      <c r="C2">
        <v>6.5</v>
      </c>
      <c r="D2">
        <v>7</v>
      </c>
      <c r="E2" s="31">
        <v>7</v>
      </c>
    </row>
    <row r="3" spans="1:6">
      <c r="A3" t="s">
        <v>75</v>
      </c>
      <c r="B3">
        <v>9</v>
      </c>
      <c r="C3">
        <v>7</v>
      </c>
      <c r="D3">
        <v>7.5</v>
      </c>
      <c r="E3" s="31">
        <v>8</v>
      </c>
    </row>
    <row r="4" spans="1:6">
      <c r="A4" t="s">
        <v>76</v>
      </c>
      <c r="B4">
        <v>8</v>
      </c>
      <c r="C4">
        <v>7</v>
      </c>
      <c r="D4" t="s">
        <v>77</v>
      </c>
      <c r="E4" s="31" t="s">
        <v>77</v>
      </c>
    </row>
    <row r="5" spans="1:6">
      <c r="A5" t="s">
        <v>78</v>
      </c>
      <c r="B5">
        <v>8</v>
      </c>
      <c r="C5">
        <v>7</v>
      </c>
      <c r="D5">
        <v>7</v>
      </c>
      <c r="E5" s="31">
        <v>7</v>
      </c>
    </row>
    <row r="6" spans="1:6">
      <c r="A6" t="s">
        <v>79</v>
      </c>
      <c r="B6">
        <v>493</v>
      </c>
      <c r="C6">
        <v>501</v>
      </c>
      <c r="D6">
        <v>515</v>
      </c>
      <c r="E6">
        <v>535</v>
      </c>
      <c r="F6">
        <f>535+12</f>
        <v>547</v>
      </c>
    </row>
    <row r="9" spans="1:6">
      <c r="A9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4476-A983-4D6D-8A1E-E33EE6DC9A89}">
  <dimension ref="A1:R16"/>
  <sheetViews>
    <sheetView workbookViewId="0">
      <selection activeCell="E1" sqref="E1"/>
    </sheetView>
  </sheetViews>
  <sheetFormatPr defaultRowHeight="15"/>
  <cols>
    <col min="2" max="2" width="12.7109375" customWidth="1"/>
    <col min="4" max="4" width="13.85546875" customWidth="1"/>
    <col min="5" max="5" width="31.85546875" customWidth="1"/>
    <col min="15" max="15" width="9.42578125" customWidth="1"/>
    <col min="17" max="17" width="14.5703125" customWidth="1"/>
    <col min="18" max="18" width="13" bestFit="1" customWidth="1"/>
    <col min="19" max="19" width="26.42578125" customWidth="1"/>
  </cols>
  <sheetData>
    <row r="1" spans="1:18">
      <c r="A1" t="s">
        <v>81</v>
      </c>
      <c r="B1" t="s">
        <v>40</v>
      </c>
      <c r="C1" t="s">
        <v>68</v>
      </c>
      <c r="D1" t="s">
        <v>82</v>
      </c>
      <c r="E1" t="s">
        <v>42</v>
      </c>
      <c r="O1" s="15" t="s">
        <v>40</v>
      </c>
      <c r="P1" s="15" t="s">
        <v>83</v>
      </c>
      <c r="Q1" s="15" t="s">
        <v>84</v>
      </c>
      <c r="R1" s="15" t="s">
        <v>85</v>
      </c>
    </row>
    <row r="2" spans="1:18">
      <c r="A2" s="15" cm="1">
        <f t="array" ref="A2:D16">_xlfn._xlws.SORT(O2:R16,VLOOKUP(B1,TC!C10:D13,2,0),VLOOKUP(CEC_Count!D1,TC!F2:G3,2,0))</f>
        <v>2026</v>
      </c>
      <c r="B2" s="15">
        <v>9</v>
      </c>
      <c r="C2" s="15">
        <v>37250</v>
      </c>
      <c r="D2" s="15">
        <v>507</v>
      </c>
      <c r="O2" s="16" cm="1">
        <f t="array" ref="O2:O15">_xlfn._xlws.SORT(_xlfn.UNIQUE(Rounds!F2:F1036),,-1)</f>
        <v>2026</v>
      </c>
      <c r="P2" s="15">
        <f>COUNTIFS(Rounds!$C$2:$C$1036,CEC_Count!$E$1,Rounds!$F$2:$F$1036,CEC_Count!O2)</f>
        <v>9</v>
      </c>
      <c r="Q2" s="15">
        <f>SUMIFS(Rounds!$D$2:$D$1036,Rounds!$F$2:$F$1036,CEC_Count!O2,Rounds!$C$2:$C$1036,CEC_Count!$E$1)</f>
        <v>37250</v>
      </c>
      <c r="R2" s="15">
        <f>_xlfn.MINIFS(Rounds!$E$2:$E$1036,Rounds!$F$2:$F$1036,CEC_Count!O2,Rounds!$C$2:$C$1036,CEC_Count!$E$1)</f>
        <v>507</v>
      </c>
    </row>
    <row r="3" spans="1:18">
      <c r="A3" s="15">
        <v>2025</v>
      </c>
      <c r="B3" s="15">
        <v>15</v>
      </c>
      <c r="C3" s="15">
        <v>35850</v>
      </c>
      <c r="D3" s="15">
        <v>515</v>
      </c>
      <c r="O3" s="16">
        <v>2025</v>
      </c>
      <c r="P3" s="15">
        <f>COUNTIFS(Rounds!$C$2:$C$1036,CEC_Count!$E$1,Rounds!$F$2:$F$1036,CEC_Count!O3)</f>
        <v>15</v>
      </c>
      <c r="Q3" s="15">
        <f>SUMIFS(Rounds!$D$2:$D$1036,Rounds!$F$2:$F$1036,CEC_Count!O3,Rounds!$C$2:$C$1036,CEC_Count!$E$1)</f>
        <v>35850</v>
      </c>
      <c r="R3" s="15">
        <f>_xlfn.MINIFS(Rounds!$E$2:$E$1036,Rounds!$F$2:$F$1036,CEC_Count!O3,Rounds!$C$2:$C$1036,CEC_Count!$E$1)</f>
        <v>515</v>
      </c>
    </row>
    <row r="4" spans="1:18">
      <c r="A4" s="15">
        <v>2024</v>
      </c>
      <c r="B4" s="15">
        <v>10</v>
      </c>
      <c r="C4" s="15">
        <v>26500</v>
      </c>
      <c r="D4" s="15">
        <v>507</v>
      </c>
      <c r="O4" s="16">
        <v>2024</v>
      </c>
      <c r="P4" s="15">
        <f>COUNTIFS(Rounds!$C$2:$C$1036,CEC_Count!$E$1,Rounds!$F$2:$F$1036,CEC_Count!O4)</f>
        <v>10</v>
      </c>
      <c r="Q4" s="15">
        <f>SUMIFS(Rounds!$D$2:$D$1036,Rounds!$F$2:$F$1036,CEC_Count!O4,Rounds!$C$2:$C$1036,CEC_Count!$E$1)</f>
        <v>26500</v>
      </c>
      <c r="R4" s="15">
        <f>_xlfn.MINIFS(Rounds!$E$2:$E$1036,Rounds!$F$2:$F$1036,CEC_Count!O4,Rounds!$C$2:$C$1036,CEC_Count!$E$1)</f>
        <v>507</v>
      </c>
    </row>
    <row r="5" spans="1:18">
      <c r="A5" s="15">
        <v>2023</v>
      </c>
      <c r="B5" s="15">
        <v>0</v>
      </c>
      <c r="C5" s="15">
        <v>0</v>
      </c>
      <c r="D5" s="15">
        <v>0</v>
      </c>
      <c r="O5" s="16">
        <v>2023</v>
      </c>
      <c r="P5" s="15">
        <f>COUNTIFS(Rounds!$C$2:$C$1036,CEC_Count!$E$1,Rounds!$F$2:$F$1036,CEC_Count!O5)</f>
        <v>0</v>
      </c>
      <c r="Q5" s="15">
        <f>SUMIFS(Rounds!$D$2:$D$1036,Rounds!$F$2:$F$1036,CEC_Count!O5,Rounds!$C$2:$C$1036,CEC_Count!$E$1)</f>
        <v>0</v>
      </c>
      <c r="R5" s="15">
        <f>_xlfn.MINIFS(Rounds!$E$2:$E$1036,Rounds!$F$2:$F$1036,CEC_Count!O5,Rounds!$C$2:$C$1036,CEC_Count!$E$1)</f>
        <v>0</v>
      </c>
    </row>
    <row r="6" spans="1:18">
      <c r="A6" s="15">
        <v>2022</v>
      </c>
      <c r="B6" s="15">
        <v>0</v>
      </c>
      <c r="C6" s="15">
        <v>0</v>
      </c>
      <c r="D6" s="15">
        <v>0</v>
      </c>
      <c r="O6" s="16">
        <v>2022</v>
      </c>
      <c r="P6" s="15">
        <f>COUNTIFS(Rounds!$C$2:$C$1036,CEC_Count!$E$1,Rounds!$F$2:$F$1036,CEC_Count!O6)</f>
        <v>0</v>
      </c>
      <c r="Q6" s="15">
        <f>SUMIFS(Rounds!$D$2:$D$1036,Rounds!$F$2:$F$1036,CEC_Count!O6,Rounds!$C$2:$C$1036,CEC_Count!$E$1)</f>
        <v>0</v>
      </c>
      <c r="R6" s="15">
        <f>_xlfn.MINIFS(Rounds!$E$2:$E$1036,Rounds!$F$2:$F$1036,CEC_Count!O6,Rounds!$C$2:$C$1036,CEC_Count!$E$1)</f>
        <v>0</v>
      </c>
    </row>
    <row r="7" spans="1:18">
      <c r="A7" s="15">
        <v>2021</v>
      </c>
      <c r="B7" s="15">
        <v>17</v>
      </c>
      <c r="C7" s="15">
        <v>99653</v>
      </c>
      <c r="D7" s="15">
        <v>75</v>
      </c>
      <c r="O7" s="16">
        <v>2021</v>
      </c>
      <c r="P7" s="15">
        <f>COUNTIFS(Rounds!$C$2:$C$1036,CEC_Count!$E$1,Rounds!$F$2:$F$1036,CEC_Count!O7)</f>
        <v>17</v>
      </c>
      <c r="Q7" s="15">
        <f>SUMIFS(Rounds!$D$2:$D$1036,Rounds!$F$2:$F$1036,CEC_Count!O7,Rounds!$C$2:$C$1036,CEC_Count!$E$1)</f>
        <v>99653</v>
      </c>
      <c r="R7" s="15">
        <f>_xlfn.MINIFS(Rounds!$E$2:$E$1036,Rounds!$F$2:$F$1036,CEC_Count!O7,Rounds!$C$2:$C$1036,CEC_Count!$E$1)</f>
        <v>75</v>
      </c>
    </row>
    <row r="8" spans="1:18">
      <c r="A8" s="15">
        <v>2020</v>
      </c>
      <c r="B8" s="15">
        <v>10</v>
      </c>
      <c r="C8" s="15">
        <v>34215</v>
      </c>
      <c r="D8" s="15">
        <v>431</v>
      </c>
      <c r="O8" s="16">
        <v>2020</v>
      </c>
      <c r="P8" s="15">
        <f>COUNTIFS(Rounds!$C$2:$C$1036,CEC_Count!$E$1,Rounds!$F$2:$F$1036,CEC_Count!O8)</f>
        <v>10</v>
      </c>
      <c r="Q8" s="15">
        <f>SUMIFS(Rounds!$D$2:$D$1036,Rounds!$F$2:$F$1036,CEC_Count!O8,Rounds!$C$2:$C$1036,CEC_Count!$E$1)</f>
        <v>34215</v>
      </c>
      <c r="R8" s="15">
        <f>_xlfn.MINIFS(Rounds!$E$2:$E$1036,Rounds!$F$2:$F$1036,CEC_Count!O8,Rounds!$C$2:$C$1036,CEC_Count!$E$1)</f>
        <v>431</v>
      </c>
    </row>
    <row r="9" spans="1:18">
      <c r="A9" s="15">
        <v>2019</v>
      </c>
      <c r="B9" s="15">
        <v>0</v>
      </c>
      <c r="C9" s="15">
        <v>0</v>
      </c>
      <c r="D9" s="15">
        <v>0</v>
      </c>
      <c r="O9" s="16">
        <v>2019</v>
      </c>
      <c r="P9" s="15">
        <f>COUNTIFS(Rounds!$C$2:$C$1036,CEC_Count!$E$1,Rounds!$F$2:$F$1036,CEC_Count!O9)</f>
        <v>0</v>
      </c>
      <c r="Q9" s="15">
        <f>SUMIFS(Rounds!$D$2:$D$1036,Rounds!$F$2:$F$1036,CEC_Count!O9,Rounds!$C$2:$C$1036,CEC_Count!$E$1)</f>
        <v>0</v>
      </c>
      <c r="R9" s="15">
        <f>_xlfn.MINIFS(Rounds!$E$2:$E$1036,Rounds!$F$2:$F$1036,CEC_Count!O9,Rounds!$C$2:$C$1036,CEC_Count!$E$1)</f>
        <v>0</v>
      </c>
    </row>
    <row r="10" spans="1:18">
      <c r="A10" s="15">
        <v>2018</v>
      </c>
      <c r="B10" s="15">
        <v>0</v>
      </c>
      <c r="C10" s="15">
        <v>0</v>
      </c>
      <c r="D10" s="15">
        <v>0</v>
      </c>
      <c r="O10" s="16">
        <v>2018</v>
      </c>
      <c r="P10" s="15">
        <f>COUNTIFS(Rounds!$C$2:$C$1036,CEC_Count!$E$1,Rounds!$F$2:$F$1036,CEC_Count!O10)</f>
        <v>0</v>
      </c>
      <c r="Q10" s="15">
        <f>SUMIFS(Rounds!$D$2:$D$1036,Rounds!$F$2:$F$1036,CEC_Count!O10,Rounds!$C$2:$C$1036,CEC_Count!$E$1)</f>
        <v>0</v>
      </c>
      <c r="R10" s="15">
        <f>_xlfn.MINIFS(Rounds!$E$2:$E$1036,Rounds!$F$2:$F$1036,CEC_Count!O10,Rounds!$C$2:$C$1036,CEC_Count!$E$1)</f>
        <v>0</v>
      </c>
    </row>
    <row r="11" spans="1:18">
      <c r="A11" s="15">
        <v>2017</v>
      </c>
      <c r="B11" s="15">
        <v>0</v>
      </c>
      <c r="C11" s="15">
        <v>0</v>
      </c>
      <c r="D11" s="15">
        <v>0</v>
      </c>
      <c r="O11" s="16">
        <v>2017</v>
      </c>
      <c r="P11" s="15">
        <f>COUNTIFS(Rounds!$C$2:$C$1036,CEC_Count!$E$1,Rounds!$F$2:$F$1036,CEC_Count!O11)</f>
        <v>0</v>
      </c>
      <c r="Q11" s="15">
        <f>SUMIFS(Rounds!$D$2:$D$1036,Rounds!$F$2:$F$1036,CEC_Count!O11,Rounds!$C$2:$C$1036,CEC_Count!$E$1)</f>
        <v>0</v>
      </c>
      <c r="R11" s="15">
        <f>_xlfn.MINIFS(Rounds!$E$2:$E$1036,Rounds!$F$2:$F$1036,CEC_Count!O11,Rounds!$C$2:$C$1036,CEC_Count!$E$1)</f>
        <v>0</v>
      </c>
    </row>
    <row r="12" spans="1:18">
      <c r="A12" s="15">
        <v>2016</v>
      </c>
      <c r="B12" s="15">
        <v>0</v>
      </c>
      <c r="C12" s="15">
        <v>0</v>
      </c>
      <c r="D12" s="15">
        <v>0</v>
      </c>
      <c r="O12" s="16">
        <v>2016</v>
      </c>
      <c r="P12" s="15">
        <f>COUNTIFS(Rounds!$C$2:$C$1036,CEC_Count!$E$1,Rounds!$F$2:$F$1036,CEC_Count!O12)</f>
        <v>0</v>
      </c>
      <c r="Q12" s="15">
        <f>SUMIFS(Rounds!$D$2:$D$1036,Rounds!$F$2:$F$1036,CEC_Count!O12,Rounds!$C$2:$C$1036,CEC_Count!$E$1)</f>
        <v>0</v>
      </c>
      <c r="R12" s="15">
        <f>_xlfn.MINIFS(Rounds!$E$2:$E$1036,Rounds!$F$2:$F$1036,CEC_Count!O12,Rounds!$C$2:$C$1036,CEC_Count!$E$1)</f>
        <v>0</v>
      </c>
    </row>
    <row r="13" spans="1:18">
      <c r="A13" s="15">
        <v>2015</v>
      </c>
      <c r="B13" s="15">
        <v>1</v>
      </c>
      <c r="C13" s="15">
        <v>849</v>
      </c>
      <c r="D13" s="15">
        <v>808</v>
      </c>
      <c r="O13" s="16">
        <v>2015</v>
      </c>
      <c r="P13" s="15">
        <f>COUNTIFS(Rounds!$C$2:$C$1036,CEC_Count!$E$1,Rounds!$F$2:$F$1036,CEC_Count!O13)</f>
        <v>1</v>
      </c>
      <c r="Q13" s="15">
        <f>SUMIFS(Rounds!$D$2:$D$1036,Rounds!$F$2:$F$1036,CEC_Count!O13,Rounds!$C$2:$C$1036,CEC_Count!$E$1)</f>
        <v>849</v>
      </c>
      <c r="R13" s="15">
        <f>_xlfn.MINIFS(Rounds!$E$2:$E$1036,Rounds!$F$2:$F$1036,CEC_Count!O13,Rounds!$C$2:$C$1036,CEC_Count!$E$1)</f>
        <v>808</v>
      </c>
    </row>
    <row r="14" spans="1:18">
      <c r="A14" s="15">
        <v>1900</v>
      </c>
      <c r="B14" s="15">
        <v>0</v>
      </c>
      <c r="C14" s="15">
        <v>0</v>
      </c>
      <c r="D14" s="15">
        <v>0</v>
      </c>
      <c r="O14" s="16">
        <v>1900</v>
      </c>
      <c r="P14" s="15">
        <f>COUNTIFS(Rounds!$C$2:$C$1036,CEC_Count!$E$1,Rounds!$F$2:$F$1036,CEC_Count!O14)</f>
        <v>0</v>
      </c>
      <c r="Q14" s="15">
        <f>SUMIFS(Rounds!$D$2:$D$1036,Rounds!$F$2:$F$1036,CEC_Count!O14,Rounds!$C$2:$C$1036,CEC_Count!$E$1)</f>
        <v>0</v>
      </c>
      <c r="R14" s="15">
        <f>_xlfn.MINIFS(Rounds!$E$2:$E$1036,Rounds!$F$2:$F$1036,CEC_Count!O14,Rounds!$C$2:$C$1036,CEC_Count!$E$1)</f>
        <v>0</v>
      </c>
    </row>
    <row r="15" spans="1:18">
      <c r="A15" s="15">
        <v>0</v>
      </c>
      <c r="B15" s="15">
        <v>0</v>
      </c>
      <c r="C15" s="15">
        <v>0</v>
      </c>
      <c r="D15" s="15">
        <v>0</v>
      </c>
      <c r="O15" s="16">
        <v>0</v>
      </c>
      <c r="P15" s="15">
        <f>COUNTIFS(Rounds!$C$2:$C$1036,CEC_Count!$E$1,Rounds!$F$2:$F$1036,CEC_Count!O15)</f>
        <v>0</v>
      </c>
      <c r="Q15" s="15">
        <f>SUMIFS(Rounds!$D$2:$D$1036,Rounds!$F$2:$F$1036,CEC_Count!O15,Rounds!$C$2:$C$1036,CEC_Count!$E$1)</f>
        <v>0</v>
      </c>
      <c r="R15" s="15">
        <f>_xlfn.MINIFS(Rounds!$E$2:$E$1036,Rounds!$F$2:$F$1036,CEC_Count!O15,Rounds!$C$2:$C$1036,CEC_Count!$E$1)</f>
        <v>0</v>
      </c>
    </row>
    <row r="16" spans="1:18">
      <c r="A16" s="15">
        <v>0</v>
      </c>
      <c r="B16" s="15">
        <v>0</v>
      </c>
      <c r="C16" s="15">
        <v>0</v>
      </c>
      <c r="D16" s="15">
        <v>0</v>
      </c>
      <c r="O16" s="16"/>
      <c r="P16" s="15"/>
      <c r="Q16" s="15"/>
      <c r="R16" s="15"/>
    </row>
  </sheetData>
  <conditionalFormatting sqref="P2:P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66C944-4089-4F57-9952-DE7DFB69CF72}">
          <x14:formula1>
            <xm:f>TC!$I$2:$I$125</xm:f>
          </x14:formula1>
          <xm:sqref>E1</xm:sqref>
        </x14:dataValidation>
        <x14:dataValidation type="list" allowBlank="1" showInputMessage="1" showErrorMessage="1" xr:uid="{AA8E2DE9-6A3A-4D3C-ACD9-DD6FD6388A9B}">
          <x14:formula1>
            <xm:f>TC!$F$2:$F$3</xm:f>
          </x14:formula1>
          <xm:sqref>D1</xm:sqref>
        </x14:dataValidation>
        <x14:dataValidation type="list" allowBlank="1" showInputMessage="1" showErrorMessage="1" xr:uid="{A4AF5214-B413-4D2F-BDC0-8DD179387536}">
          <x14:formula1>
            <xm:f>_xlfn.ANCHORARRAY(TC!$C$10)</xm:f>
          </x14:formula1>
          <xm:sqref>B1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3D36-8AE6-4561-8257-2F4AE4775622}">
  <dimension ref="A1:T17"/>
  <sheetViews>
    <sheetView workbookViewId="0">
      <selection activeCell="B1" sqref="B1"/>
    </sheetView>
  </sheetViews>
  <sheetFormatPr defaultRowHeight="15"/>
  <cols>
    <col min="1" max="1" width="47.85546875" bestFit="1" customWidth="1"/>
    <col min="4" max="4" width="13" bestFit="1" customWidth="1"/>
    <col min="12" max="12" width="46" customWidth="1"/>
    <col min="14" max="14" width="13.28515625" customWidth="1"/>
    <col min="15" max="15" width="12.85546875" customWidth="1"/>
    <col min="18" max="18" width="19.5703125" customWidth="1"/>
    <col min="19" max="19" width="34.85546875" customWidth="1"/>
  </cols>
  <sheetData>
    <row r="1" spans="1:20">
      <c r="A1" s="14" t="s">
        <v>40</v>
      </c>
      <c r="B1">
        <v>2023</v>
      </c>
      <c r="C1" t="s">
        <v>81</v>
      </c>
      <c r="D1" t="s">
        <v>84</v>
      </c>
      <c r="E1" t="s">
        <v>68</v>
      </c>
      <c r="F1" t="s">
        <v>82</v>
      </c>
      <c r="L1" s="14" t="s">
        <v>40</v>
      </c>
      <c r="M1">
        <f>B1</f>
        <v>2023</v>
      </c>
    </row>
    <row r="2" spans="1:20">
      <c r="A2" s="15" t="s">
        <v>86</v>
      </c>
      <c r="B2" s="15" t="s">
        <v>83</v>
      </c>
      <c r="C2" s="15" t="s">
        <v>84</v>
      </c>
      <c r="D2" s="15" t="s">
        <v>85</v>
      </c>
      <c r="E2" s="15" t="s">
        <v>87</v>
      </c>
      <c r="L2" t="s">
        <v>86</v>
      </c>
      <c r="M2" t="s">
        <v>83</v>
      </c>
      <c r="N2" t="s">
        <v>84</v>
      </c>
      <c r="O2" t="s">
        <v>85</v>
      </c>
      <c r="P2" t="s">
        <v>87</v>
      </c>
    </row>
    <row r="3" spans="1:20">
      <c r="A3" s="16" t="str" cm="1">
        <f t="array" ref="A3:E17">_xlfn._xlws.SORT(L3:P17,VLOOKUP(D1,TC!C2:D6,2,FALSE),VLOOKUP(F1,TC!F2:G3,2,0))</f>
        <v>No Program Specified</v>
      </c>
      <c r="B3" s="15">
        <v>17</v>
      </c>
      <c r="C3" s="15">
        <v>70625</v>
      </c>
      <c r="D3" s="15">
        <v>481</v>
      </c>
      <c r="E3" s="15">
        <v>531</v>
      </c>
      <c r="L3" t="s">
        <v>53</v>
      </c>
      <c r="M3">
        <f>COUNTIFS(Rounds!$C$2:$C$1036,Analysis!L3,Rounds!$F$2:$F$1036,Analysis!$M$1)</f>
        <v>2</v>
      </c>
      <c r="N3">
        <f>SUMIFS(Rounds!$D$2:$D$1036,Rounds!$C$2:$C$1036,Analysis!L3,Rounds!$F$2:$F$1036,$M$1)</f>
        <v>1000</v>
      </c>
      <c r="O3">
        <f>_xlfn.MINIFS(Rounds!$E$2:$E$1036,Rounds!$C$2:$C$1036,Analysis!L3,Rounds!$F$2:$F$1036,Analysis!$M$1)</f>
        <v>354</v>
      </c>
      <c r="P3">
        <f>_xlfn.MAXIFS(Rounds!$E$2:$E$1036,Rounds!$C$2:$C$1036,Analysis!L3,Rounds!$F$2:$F$1036,Analysis!$M$1)</f>
        <v>386</v>
      </c>
      <c r="R3" t="s">
        <v>88</v>
      </c>
      <c r="S3" t="str">
        <f>_xlfn.XLOOKUP(T3,N3:N17,L3:L17)</f>
        <v>No Program Specified</v>
      </c>
      <c r="T3">
        <f>MAX(N3:N17)</f>
        <v>70625</v>
      </c>
    </row>
    <row r="4" spans="1:20">
      <c r="A4" s="16" t="str">
        <v>French language proficiency (Version 1)</v>
      </c>
      <c r="B4" s="15">
        <v>6</v>
      </c>
      <c r="C4" s="15">
        <v>8700</v>
      </c>
      <c r="D4" s="15">
        <v>375</v>
      </c>
      <c r="E4" s="15">
        <v>486</v>
      </c>
      <c r="L4" t="s">
        <v>42</v>
      </c>
      <c r="M4">
        <f>COUNTIFS(Rounds!$C$2:$C$1036,Analysis!L4,Rounds!$F$2:$F$1036,Analysis!$M$1)</f>
        <v>0</v>
      </c>
      <c r="N4">
        <f>SUMIFS(Rounds!$D$2:$D$1036,Rounds!$C$2:$C$1036,Analysis!L4,Rounds!$F$2:$F$1036,$M$1)</f>
        <v>0</v>
      </c>
      <c r="O4">
        <f>_xlfn.MINIFS(Rounds!$E$2:$E$1036,Rounds!$C$2:$C$1036,Analysis!L4,Rounds!$F$2:$F$1036,Analysis!$M$1)</f>
        <v>0</v>
      </c>
      <c r="P4">
        <f>_xlfn.MAXIFS(Rounds!$E$2:$E$1036,Rounds!$C$2:$C$1036,Analysis!L4,Rounds!$F$2:$F$1036,Analysis!$M$1)</f>
        <v>0</v>
      </c>
      <c r="R4" t="s">
        <v>89</v>
      </c>
      <c r="S4" t="str">
        <f>_xlfn.XLOOKUP(T4,N3:N17,L3:L17)</f>
        <v>Agriculture and agri-food occupations (Version 1)</v>
      </c>
      <c r="T4">
        <f>_xlfn.MINIFS(N3:N17,N3:N17,"&gt;0")</f>
        <v>1000</v>
      </c>
    </row>
    <row r="5" spans="1:20">
      <c r="A5" s="16" t="str">
        <v>STEM occupations (Version 1)</v>
      </c>
      <c r="B5" s="15">
        <v>2</v>
      </c>
      <c r="C5" s="15">
        <v>6400</v>
      </c>
      <c r="D5" s="15">
        <v>481</v>
      </c>
      <c r="E5" s="15">
        <v>486</v>
      </c>
      <c r="L5" t="s">
        <v>55</v>
      </c>
      <c r="M5">
        <f>COUNTIFS(Rounds!$C$2:$C$1036,Analysis!L5,Rounds!$F$2:$F$1036,Analysis!$M$1)</f>
        <v>0</v>
      </c>
      <c r="N5">
        <f>SUMIFS(Rounds!$D$2:$D$1036,Rounds!$C$2:$C$1036,Analysis!L5,Rounds!$F$2:$F$1036,$M$1)</f>
        <v>0</v>
      </c>
      <c r="O5">
        <f>_xlfn.MINIFS(Rounds!$E$2:$E$1036,Rounds!$C$2:$C$1036,Analysis!L5,Rounds!$F$2:$F$1036,Analysis!$M$1)</f>
        <v>0</v>
      </c>
      <c r="P5">
        <f>_xlfn.MAXIFS(Rounds!$E$2:$E$1036,Rounds!$C$2:$C$1036,Analysis!L5,Rounds!$F$2:$F$1036,Analysis!$M$1)</f>
        <v>0</v>
      </c>
    </row>
    <row r="6" spans="1:20">
      <c r="A6" s="16" t="str">
        <v>General</v>
      </c>
      <c r="B6" s="15">
        <v>2</v>
      </c>
      <c r="C6" s="15">
        <v>6075</v>
      </c>
      <c r="D6" s="15">
        <v>542</v>
      </c>
      <c r="E6" s="15">
        <v>561</v>
      </c>
      <c r="L6" t="s">
        <v>44</v>
      </c>
      <c r="M6">
        <f>COUNTIFS(Rounds!$C$2:$C$1036,Analysis!L6,Rounds!$F$2:$F$1036,Analysis!$M$1)</f>
        <v>0</v>
      </c>
      <c r="N6">
        <f>SUMIFS(Rounds!$D$2:$D$1036,Rounds!$C$2:$C$1036,Analysis!L6,Rounds!$F$2:$F$1036,$M$1)</f>
        <v>0</v>
      </c>
      <c r="O6">
        <f>_xlfn.MINIFS(Rounds!$E$2:$E$1036,Rounds!$C$2:$C$1036,Analysis!L6,Rounds!$F$2:$F$1036,Analysis!$M$1)</f>
        <v>0</v>
      </c>
      <c r="P6">
        <f>_xlfn.MAXIFS(Rounds!$E$2:$E$1036,Rounds!$C$2:$C$1036,Analysis!L6,Rounds!$F$2:$F$1036,Analysis!$M$1)</f>
        <v>0</v>
      </c>
      <c r="R6" t="s">
        <v>90</v>
      </c>
      <c r="S6" t="str">
        <f>_xlfn.XLOOKUP(T6,M3:M17,L3:L17)</f>
        <v>No Program Specified</v>
      </c>
      <c r="T6">
        <f>MAX(M3:M17)</f>
        <v>17</v>
      </c>
    </row>
    <row r="7" spans="1:20">
      <c r="A7" s="16" t="str">
        <v>Healthcare occupations (Version 1)</v>
      </c>
      <c r="B7" s="15">
        <v>3</v>
      </c>
      <c r="C7" s="15">
        <v>5600</v>
      </c>
      <c r="D7" s="15">
        <v>431</v>
      </c>
      <c r="E7" s="15">
        <v>476</v>
      </c>
      <c r="L7" t="s">
        <v>47</v>
      </c>
      <c r="M7">
        <f>COUNTIFS(Rounds!$C$2:$C$1036,Analysis!L7,Rounds!$F$2:$F$1036,Analysis!$M$1)</f>
        <v>1</v>
      </c>
      <c r="N7">
        <f>SUMIFS(Rounds!$D$2:$D$1036,Rounds!$C$2:$C$1036,Analysis!L7,Rounds!$F$2:$F$1036,$M$1)</f>
        <v>3300</v>
      </c>
      <c r="O7">
        <f>_xlfn.MINIFS(Rounds!$E$2:$E$1036,Rounds!$C$2:$C$1036,Analysis!L7,Rounds!$F$2:$F$1036,Analysis!$M$1)</f>
        <v>489</v>
      </c>
      <c r="P7">
        <f>_xlfn.MAXIFS(Rounds!$E$2:$E$1036,Rounds!$C$2:$C$1036,Analysis!L7,Rounds!$F$2:$F$1036,Analysis!$M$1)</f>
        <v>489</v>
      </c>
      <c r="R7" t="s">
        <v>91</v>
      </c>
      <c r="S7" t="str">
        <f>_xlfn.XLOOKUP(T7,M3:M17,L3:L17)</f>
        <v>Federal Skilled Worker</v>
      </c>
      <c r="T7">
        <f>_xlfn.MINIFS(M3:M17,M3:M17,"&gt;0")</f>
        <v>1</v>
      </c>
    </row>
    <row r="8" spans="1:20">
      <c r="A8" s="16" t="str">
        <v>Provincial Nominee Program</v>
      </c>
      <c r="B8" s="15">
        <v>5</v>
      </c>
      <c r="C8" s="15">
        <v>4396</v>
      </c>
      <c r="D8" s="15">
        <v>691</v>
      </c>
      <c r="E8" s="15">
        <v>791</v>
      </c>
      <c r="L8" t="s">
        <v>50</v>
      </c>
      <c r="M8">
        <f>COUNTIFS(Rounds!$C$2:$C$1036,Analysis!L8,Rounds!$F$2:$F$1036,Analysis!$M$1)</f>
        <v>6</v>
      </c>
      <c r="N8">
        <f>SUMIFS(Rounds!$D$2:$D$1036,Rounds!$C$2:$C$1036,Analysis!L8,Rounds!$F$2:$F$1036,$M$1)</f>
        <v>8700</v>
      </c>
      <c r="O8">
        <f>_xlfn.MINIFS(Rounds!$E$2:$E$1036,Rounds!$C$2:$C$1036,Analysis!L8,Rounds!$F$2:$F$1036,Analysis!$M$1)</f>
        <v>375</v>
      </c>
      <c r="P8">
        <f>_xlfn.MAXIFS(Rounds!$E$2:$E$1036,Rounds!$C$2:$C$1036,Analysis!L8,Rounds!$F$2:$F$1036,Analysis!$M$1)</f>
        <v>486</v>
      </c>
    </row>
    <row r="9" spans="1:20">
      <c r="A9" s="16" t="str">
        <v>Federal Skilled Worker</v>
      </c>
      <c r="B9" s="15">
        <v>1</v>
      </c>
      <c r="C9" s="15">
        <v>3300</v>
      </c>
      <c r="D9" s="15">
        <v>489</v>
      </c>
      <c r="E9" s="15">
        <v>489</v>
      </c>
      <c r="L9" t="s">
        <v>54</v>
      </c>
      <c r="M9">
        <f>COUNTIFS(Rounds!$C$2:$C$1036,Analysis!L9,Rounds!$F$2:$F$1036,Analysis!$M$1)</f>
        <v>2</v>
      </c>
      <c r="N9">
        <f>SUMIFS(Rounds!$D$2:$D$1036,Rounds!$C$2:$C$1036,Analysis!L9,Rounds!$F$2:$F$1036,$M$1)</f>
        <v>6075</v>
      </c>
      <c r="O9">
        <f>_xlfn.MINIFS(Rounds!$E$2:$E$1036,Rounds!$C$2:$C$1036,Analysis!L9,Rounds!$F$2:$F$1036,Analysis!$M$1)</f>
        <v>542</v>
      </c>
      <c r="P9">
        <f>_xlfn.MAXIFS(Rounds!$E$2:$E$1036,Rounds!$C$2:$C$1036,Analysis!L9,Rounds!$F$2:$F$1036,Analysis!$M$1)</f>
        <v>561</v>
      </c>
    </row>
    <row r="10" spans="1:20">
      <c r="A10" s="16" t="str">
        <v>Trade occupations (Version 1)</v>
      </c>
      <c r="B10" s="15">
        <v>2</v>
      </c>
      <c r="C10" s="15">
        <v>2500</v>
      </c>
      <c r="D10" s="15">
        <v>388</v>
      </c>
      <c r="E10" s="15">
        <v>425</v>
      </c>
      <c r="L10" t="s">
        <v>56</v>
      </c>
      <c r="M10">
        <f>COUNTIFS(Rounds!$C$2:$C$1036,Analysis!L10,Rounds!$F$2:$F$1036,Analysis!$M$1)</f>
        <v>0</v>
      </c>
      <c r="N10">
        <f>SUMIFS(Rounds!$D$2:$D$1036,Rounds!$C$2:$C$1036,Analysis!L10,Rounds!$F$2:$F$1036,$M$1)</f>
        <v>0</v>
      </c>
      <c r="O10">
        <f>_xlfn.MINIFS(Rounds!$E$2:$E$1036,Rounds!$C$2:$C$1036,Analysis!L10,Rounds!$F$2:$F$1036,Analysis!$M$1)</f>
        <v>0</v>
      </c>
      <c r="P10">
        <f>_xlfn.MAXIFS(Rounds!$E$2:$E$1036,Rounds!$C$2:$C$1036,Analysis!L10,Rounds!$F$2:$F$1036,Analysis!$M$1)</f>
        <v>0</v>
      </c>
      <c r="S10" t="s">
        <v>42</v>
      </c>
      <c r="T10">
        <f>VLOOKUP(S10,L3:N17,3,0)</f>
        <v>0</v>
      </c>
    </row>
    <row r="11" spans="1:20">
      <c r="A11" s="16" t="str">
        <v>Transport occupations (Version 1)</v>
      </c>
      <c r="B11" s="15">
        <v>2</v>
      </c>
      <c r="C11" s="15">
        <v>1670</v>
      </c>
      <c r="D11" s="15">
        <v>435</v>
      </c>
      <c r="E11" s="15">
        <v>435</v>
      </c>
      <c r="L11" t="s">
        <v>48</v>
      </c>
      <c r="M11">
        <f>COUNTIFS(Rounds!$C$2:$C$1036,Analysis!L11,Rounds!$F$2:$F$1036,Analysis!$M$1)</f>
        <v>3</v>
      </c>
      <c r="N11">
        <f>SUMIFS(Rounds!$D$2:$D$1036,Rounds!$C$2:$C$1036,Analysis!L11,Rounds!$F$2:$F$1036,$M$1)</f>
        <v>5600</v>
      </c>
      <c r="O11">
        <f>_xlfn.MINIFS(Rounds!$E$2:$E$1036,Rounds!$C$2:$C$1036,Analysis!L11,Rounds!$F$2:$F$1036,Analysis!$M$1)</f>
        <v>431</v>
      </c>
      <c r="P11">
        <f>_xlfn.MAXIFS(Rounds!$E$2:$E$1036,Rounds!$C$2:$C$1036,Analysis!L11,Rounds!$F$2:$F$1036,Analysis!$M$1)</f>
        <v>476</v>
      </c>
      <c r="T11">
        <f>VLOOKUP(S10,L3:M17,2,0)</f>
        <v>0</v>
      </c>
    </row>
    <row r="12" spans="1:20">
      <c r="A12" s="16" t="str">
        <v>Agriculture and agri-food occupations (Version 1)</v>
      </c>
      <c r="B12" s="15">
        <v>2</v>
      </c>
      <c r="C12" s="15">
        <v>1000</v>
      </c>
      <c r="D12" s="15">
        <v>354</v>
      </c>
      <c r="E12" s="15">
        <v>386</v>
      </c>
      <c r="L12" t="s">
        <v>41</v>
      </c>
      <c r="M12">
        <f>COUNTIFS(Rounds!$C$2:$C$1036,Analysis!L12,Rounds!$F$2:$F$1036,Analysis!$M$1)</f>
        <v>17</v>
      </c>
      <c r="N12">
        <f>SUMIFS(Rounds!$D$2:$D$1036,Rounds!$C$2:$C$1036,Analysis!L12,Rounds!$F$2:$F$1036,$M$1)</f>
        <v>70625</v>
      </c>
      <c r="O12">
        <f>_xlfn.MINIFS(Rounds!$E$2:$E$1036,Rounds!$C$2:$C$1036,Analysis!L12,Rounds!$F$2:$F$1036,Analysis!$M$1)</f>
        <v>481</v>
      </c>
      <c r="P12">
        <f>_xlfn.MAXIFS(Rounds!$E$2:$E$1036,Rounds!$C$2:$C$1036,Analysis!L12,Rounds!$F$2:$F$1036,Analysis!$M$1)</f>
        <v>531</v>
      </c>
    </row>
    <row r="13" spans="1:20">
      <c r="A13" s="16" t="str">
        <v>Canadian Experience Class</v>
      </c>
      <c r="B13" s="15">
        <v>0</v>
      </c>
      <c r="C13" s="15">
        <v>0</v>
      </c>
      <c r="D13" s="15">
        <v>0</v>
      </c>
      <c r="E13" s="15">
        <v>0</v>
      </c>
      <c r="L13" t="s">
        <v>43</v>
      </c>
      <c r="M13">
        <f>COUNTIFS(Rounds!$C$2:$C$1036,Analysis!L13,Rounds!$F$2:$F$1036,Analysis!$M$1)</f>
        <v>5</v>
      </c>
      <c r="N13">
        <f>SUMIFS(Rounds!$D$2:$D$1036,Rounds!$C$2:$C$1036,Analysis!L13,Rounds!$F$2:$F$1036,$M$1)</f>
        <v>4396</v>
      </c>
      <c r="O13">
        <f>_xlfn.MINIFS(Rounds!$E$2:$E$1036,Rounds!$C$2:$C$1036,Analysis!L13,Rounds!$F$2:$F$1036,Analysis!$M$1)</f>
        <v>691</v>
      </c>
      <c r="P13">
        <f>_xlfn.MAXIFS(Rounds!$E$2:$E$1036,Rounds!$C$2:$C$1036,Analysis!L13,Rounds!$F$2:$F$1036,Analysis!$M$1)</f>
        <v>791</v>
      </c>
    </row>
    <row r="14" spans="1:20">
      <c r="A14" s="16" t="str">
        <v>Education occupations (Version 1)</v>
      </c>
      <c r="B14" s="15">
        <v>0</v>
      </c>
      <c r="C14" s="15">
        <v>0</v>
      </c>
      <c r="D14" s="15">
        <v>0</v>
      </c>
      <c r="E14" s="15">
        <v>0</v>
      </c>
      <c r="L14" t="s">
        <v>49</v>
      </c>
      <c r="M14">
        <f>COUNTIFS(Rounds!$C$2:$C$1036,Analysis!L14,Rounds!$F$2:$F$1036,Analysis!$M$1)</f>
        <v>2</v>
      </c>
      <c r="N14">
        <f>SUMIFS(Rounds!$D$2:$D$1036,Rounds!$C$2:$C$1036,Analysis!L14,Rounds!$F$2:$F$1036,$M$1)</f>
        <v>6400</v>
      </c>
      <c r="O14">
        <f>_xlfn.MINIFS(Rounds!$E$2:$E$1036,Rounds!$C$2:$C$1036,Analysis!L14,Rounds!$F$2:$F$1036,Analysis!$M$1)</f>
        <v>481</v>
      </c>
      <c r="P14">
        <f>_xlfn.MAXIFS(Rounds!$E$2:$E$1036,Rounds!$C$2:$C$1036,Analysis!L14,Rounds!$F$2:$F$1036,Analysis!$M$1)</f>
        <v>486</v>
      </c>
    </row>
    <row r="15" spans="1:20">
      <c r="A15" s="16" t="str">
        <v>Federal Skilled Trades</v>
      </c>
      <c r="B15" s="15">
        <v>0</v>
      </c>
      <c r="C15" s="15">
        <v>0</v>
      </c>
      <c r="D15" s="15">
        <v>0</v>
      </c>
      <c r="E15" s="15">
        <v>0</v>
      </c>
      <c r="L15" t="s">
        <v>51</v>
      </c>
      <c r="M15">
        <f>COUNTIFS(Rounds!$C$2:$C$1036,Analysis!L15,Rounds!$F$2:$F$1036,Analysis!$M$1)</f>
        <v>2</v>
      </c>
      <c r="N15">
        <f>SUMIFS(Rounds!$D$2:$D$1036,Rounds!$C$2:$C$1036,Analysis!L15,Rounds!$F$2:$F$1036,$M$1)</f>
        <v>2500</v>
      </c>
      <c r="O15">
        <f>_xlfn.MINIFS(Rounds!$E$2:$E$1036,Rounds!$C$2:$C$1036,Analysis!L15,Rounds!$F$2:$F$1036,Analysis!$M$1)</f>
        <v>388</v>
      </c>
      <c r="P15">
        <f>_xlfn.MAXIFS(Rounds!$E$2:$E$1036,Rounds!$C$2:$C$1036,Analysis!L15,Rounds!$F$2:$F$1036,Analysis!$M$1)</f>
        <v>425</v>
      </c>
    </row>
    <row r="16" spans="1:20">
      <c r="A16" s="16" t="str">
        <v>Healthcare and social services occupations (Version 2)</v>
      </c>
      <c r="B16" s="15">
        <v>0</v>
      </c>
      <c r="C16" s="15">
        <v>0</v>
      </c>
      <c r="D16" s="15">
        <v>0</v>
      </c>
      <c r="E16" s="15">
        <v>0</v>
      </c>
      <c r="L16" t="s">
        <v>57</v>
      </c>
      <c r="M16">
        <f>COUNTIFS(Rounds!$C$2:$C$1036,Analysis!L16,Rounds!$F$2:$F$1036,Analysis!$M$1)</f>
        <v>0</v>
      </c>
      <c r="N16">
        <f>SUMIFS(Rounds!$D$2:$D$1036,Rounds!$C$2:$C$1036,Analysis!L16,Rounds!$F$2:$F$1036,$M$1)</f>
        <v>0</v>
      </c>
      <c r="O16">
        <f>_xlfn.MINIFS(Rounds!$E$2:$E$1036,Rounds!$C$2:$C$1036,Analysis!L16,Rounds!$F$2:$F$1036,Analysis!$M$1)</f>
        <v>0</v>
      </c>
      <c r="P16">
        <f>_xlfn.MAXIFS(Rounds!$E$2:$E$1036,Rounds!$C$2:$C$1036,Analysis!L16,Rounds!$F$2:$F$1036,Analysis!$M$1)</f>
        <v>0</v>
      </c>
    </row>
    <row r="17" spans="1:16">
      <c r="A17" s="16" t="str">
        <v>Trade occupations (Version 2)</v>
      </c>
      <c r="B17" s="15">
        <v>0</v>
      </c>
      <c r="C17" s="15">
        <v>0</v>
      </c>
      <c r="D17" s="15">
        <v>0</v>
      </c>
      <c r="E17" s="15">
        <v>0</v>
      </c>
      <c r="L17" t="s">
        <v>52</v>
      </c>
      <c r="M17">
        <f>COUNTIFS(Rounds!$C$2:$C$1036,Analysis!L17,Rounds!$F$2:$F$1036,Analysis!$M$1)</f>
        <v>2</v>
      </c>
      <c r="N17">
        <f>SUMIFS(Rounds!$D$2:$D$1036,Rounds!$C$2:$C$1036,Analysis!L17,Rounds!$F$2:$F$1036,$M$1)</f>
        <v>1670</v>
      </c>
      <c r="O17">
        <f>_xlfn.MINIFS(Rounds!$E$2:$E$1036,Rounds!$C$2:$C$1036,Analysis!L17,Rounds!$F$2:$F$1036,Analysis!$M$1)</f>
        <v>435</v>
      </c>
      <c r="P17">
        <f>_xlfn.MAXIFS(Rounds!$E$2:$E$1036,Rounds!$C$2:$C$1036,Analysis!L17,Rounds!$F$2:$F$1036,Analysis!$M$1)</f>
        <v>435</v>
      </c>
    </row>
  </sheetData>
  <conditionalFormatting sqref="M3:M2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Q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Q1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D1" xr:uid="{C67E8738-5D68-46D3-B252-DE64B780E287}">
      <formula1>$A$2:$E$2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DE6C20-068F-465C-95BD-13E7DD1A8D49}">
          <x14:formula1>
            <xm:f>TC!$A$2:$A$20</xm:f>
          </x14:formula1>
          <xm:sqref>M1 B1</xm:sqref>
        </x14:dataValidation>
        <x14:dataValidation type="list" allowBlank="1" showInputMessage="1" showErrorMessage="1" xr:uid="{750AC8B8-7F08-4C64-8FE0-8C2F5AD63838}">
          <x14:formula1>
            <xm:f>TC!$F$2:$F$3</xm:f>
          </x14:formula1>
          <xm:sqref>F1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00DB-EF6B-41CD-9A8C-34E770464E3A}">
  <dimension ref="A1:U16"/>
  <sheetViews>
    <sheetView workbookViewId="0">
      <pane xSplit="1" ySplit="1" topLeftCell="B11" activePane="bottomRight" state="frozen"/>
      <selection pane="bottomRight" activeCell="A11" sqref="A11"/>
      <selection pane="bottomLeft"/>
      <selection pane="topRight"/>
    </sheetView>
  </sheetViews>
  <sheetFormatPr defaultRowHeight="15"/>
  <cols>
    <col min="1" max="1" width="46" customWidth="1"/>
    <col min="3" max="3" width="13.28515625" customWidth="1"/>
    <col min="4" max="4" width="12.85546875" customWidth="1"/>
  </cols>
  <sheetData>
    <row r="1" spans="1:21">
      <c r="A1" t="s">
        <v>86</v>
      </c>
      <c r="B1" t="s">
        <v>83</v>
      </c>
      <c r="C1" t="s">
        <v>84</v>
      </c>
      <c r="D1" t="s">
        <v>85</v>
      </c>
      <c r="E1" t="s">
        <v>87</v>
      </c>
      <c r="H1">
        <f ca="1">YEAR(TODAY())</f>
        <v>2026</v>
      </c>
      <c r="I1">
        <f ca="1">H1-1</f>
        <v>2025</v>
      </c>
      <c r="J1">
        <f t="shared" ref="J1:U1" ca="1" si="0">I1-1</f>
        <v>2024</v>
      </c>
      <c r="K1">
        <f t="shared" ca="1" si="0"/>
        <v>2023</v>
      </c>
      <c r="L1">
        <f t="shared" ca="1" si="0"/>
        <v>2022</v>
      </c>
      <c r="M1">
        <f t="shared" ca="1" si="0"/>
        <v>2021</v>
      </c>
      <c r="N1">
        <f t="shared" ca="1" si="0"/>
        <v>2020</v>
      </c>
      <c r="O1">
        <f t="shared" ca="1" si="0"/>
        <v>2019</v>
      </c>
      <c r="P1">
        <f t="shared" ca="1" si="0"/>
        <v>2018</v>
      </c>
      <c r="Q1">
        <f t="shared" ca="1" si="0"/>
        <v>2017</v>
      </c>
      <c r="R1">
        <f t="shared" ca="1" si="0"/>
        <v>2016</v>
      </c>
      <c r="S1">
        <f t="shared" ca="1" si="0"/>
        <v>2015</v>
      </c>
      <c r="T1">
        <f t="shared" ca="1" si="0"/>
        <v>2014</v>
      </c>
      <c r="U1">
        <f t="shared" ca="1" si="0"/>
        <v>2013</v>
      </c>
    </row>
    <row r="2" spans="1:21">
      <c r="A2" t="s">
        <v>53</v>
      </c>
      <c r="B2">
        <f>COUNTIFS(Rounds!$C$2:$C$1036,Overall!A2)</f>
        <v>3</v>
      </c>
      <c r="C2">
        <f>SUMIFS(Rounds!$D$2:$D$1036,Rounds!$C$2:$C$1036,Overall!A2)</f>
        <v>1150</v>
      </c>
      <c r="D2">
        <f>_xlfn.MINIFS(Rounds!$E$2:$E$1036,Rounds!$C$2:$C$1036,Overall!A2)</f>
        <v>354</v>
      </c>
      <c r="E2">
        <f>_xlfn.MAXIFS(Rounds!$E$2:$E$1036,Rounds!$C$2:$C$1036,Overall!A2)</f>
        <v>437</v>
      </c>
      <c r="H2">
        <f ca="1">COUNTIFS(Rounds!$C$2:$C$1036,Overall!A2,Rounds!$F$2:$F$1036,Overall!$H$1)</f>
        <v>0</v>
      </c>
      <c r="I2">
        <f ca="1">COUNTIFS(Rounds!$C$2:$C$1036,Overall!A2,Rounds!$F$2:$F$1036,Overall!$I$1)</f>
        <v>0</v>
      </c>
      <c r="J2">
        <f ca="1">COUNTIFS(Rounds!$C$2:$C$1036,Overall!A2,Rounds!$F$2:$F$1036,Overall!$J$1)</f>
        <v>1</v>
      </c>
      <c r="K2">
        <f ca="1">COUNTIFS(Rounds!$C$2:$C$1036,Overall!A2,Rounds!$F$2:$F$1036,Overall!$K$1)</f>
        <v>2</v>
      </c>
      <c r="L2">
        <f ca="1">COUNTIFS(Rounds!$C$2:$C$1036,Overall!A2,Rounds!$F$2:$F$1036,Overall!$L$1)</f>
        <v>0</v>
      </c>
      <c r="M2">
        <f ca="1">COUNTIFS(Rounds!$C$2:$C$1036,Overall!A2,Rounds!$F$2:$F$1036,Overall!$M$1)</f>
        <v>0</v>
      </c>
      <c r="N2">
        <f ca="1">COUNTIFS(Rounds!$C$2:$C$1036,Overall!A2,Rounds!$F$2:$F$1036,Overall!$N$1)</f>
        <v>0</v>
      </c>
      <c r="O2">
        <f ca="1">COUNTIFS(Rounds!$C$2:$C$1036,Overall!A2,Rounds!$F$2:$F$1036,Overall!$O$1)</f>
        <v>0</v>
      </c>
      <c r="P2">
        <f ca="1">COUNTIFS(Rounds!$C$2:$C$1036,Overall!A2,Rounds!$F$2:$F$1036,Overall!$P$1)</f>
        <v>0</v>
      </c>
      <c r="Q2">
        <f ca="1">COUNTIFS(Rounds!$C$2:$C$1036,Overall!A2,Rounds!$F$2:$F$1036,Overall!$Q$1)</f>
        <v>0</v>
      </c>
      <c r="R2">
        <f ca="1">COUNTIFS(Rounds!$C$2:$C$1036,Overall!A2,Rounds!$F$2:$F$1036,Overall!$R$1)</f>
        <v>0</v>
      </c>
      <c r="S2">
        <f ca="1">COUNTIFS(Rounds!$C$2:$C$1036,Overall!A2,Rounds!$F$2:$F$1036,Overall!$S$1)</f>
        <v>0</v>
      </c>
      <c r="T2">
        <f ca="1">COUNTIFS(Rounds!$C$2:$C$1036,Overall!A2,Rounds!$F$2:$F$1036,Overall!$T$1)</f>
        <v>0</v>
      </c>
      <c r="U2">
        <f ca="1">COUNTIFS(Rounds!$C$2:$C$1036,Overall!A2,Rounds!$F$2:$F$1036,Overall!$U$1)</f>
        <v>0</v>
      </c>
    </row>
    <row r="3" spans="1:21">
      <c r="A3" t="s">
        <v>42</v>
      </c>
      <c r="B3">
        <f>COUNTIFS(Rounds!$C$2:$C$1036,Overall!A3)</f>
        <v>62</v>
      </c>
      <c r="C3">
        <f>SUMIFS(Rounds!$D$2:$D$1036,Rounds!$C$2:$C$1036,Overall!A3)</f>
        <v>234317</v>
      </c>
      <c r="D3">
        <f>_xlfn.MINIFS(Rounds!$E$2:$E$1036,Rounds!$C$2:$C$1036,Overall!A3)</f>
        <v>75</v>
      </c>
      <c r="E3">
        <f>_xlfn.MAXIFS(Rounds!$E$2:$E$1036,Rounds!$C$2:$C$1036,Overall!A3)</f>
        <v>808</v>
      </c>
      <c r="H3">
        <f ca="1">COUNTIFS(Rounds!$C$2:$C$1036,Overall!A3,Rounds!$F$2:$F$1036,Overall!$H$1)</f>
        <v>9</v>
      </c>
      <c r="I3">
        <f ca="1">COUNTIFS(Rounds!$C$2:$C$1036,Overall!A3,Rounds!$F$2:$F$1036,Overall!$I$1)</f>
        <v>15</v>
      </c>
      <c r="J3">
        <f ca="1">COUNTIFS(Rounds!$C$2:$C$1036,Overall!A3,Rounds!$F$2:$F$1036,Overall!$J$1)</f>
        <v>10</v>
      </c>
      <c r="K3">
        <f ca="1">COUNTIFS(Rounds!$C$2:$C$1036,Overall!A3,Rounds!$F$2:$F$1036,Overall!$K$1)</f>
        <v>0</v>
      </c>
      <c r="L3">
        <f ca="1">COUNTIFS(Rounds!$C$2:$C$1036,Overall!A3,Rounds!$F$2:$F$1036,Overall!$L$1)</f>
        <v>0</v>
      </c>
      <c r="M3">
        <f ca="1">COUNTIFS(Rounds!$C$2:$C$1036,Overall!A3,Rounds!$F$2:$F$1036,Overall!$M$1)</f>
        <v>17</v>
      </c>
      <c r="N3">
        <f ca="1">COUNTIFS(Rounds!$C$2:$C$1036,Overall!A3,Rounds!$F$2:$F$1036,Overall!$N$1)</f>
        <v>10</v>
      </c>
      <c r="O3">
        <f ca="1">COUNTIFS(Rounds!$C$2:$C$1036,Overall!A3,Rounds!$F$2:$F$1036,Overall!$O$1)</f>
        <v>0</v>
      </c>
      <c r="P3">
        <f ca="1">COUNTIFS(Rounds!$C$2:$C$1036,Overall!A3,Rounds!$F$2:$F$1036,Overall!$P$1)</f>
        <v>0</v>
      </c>
      <c r="Q3">
        <f ca="1">COUNTIFS(Rounds!$C$2:$C$1036,Overall!A3,Rounds!$F$2:$F$1036,Overall!$Q$1)</f>
        <v>0</v>
      </c>
      <c r="R3">
        <f ca="1">COUNTIFS(Rounds!$C$2:$C$1036,Overall!A3,Rounds!$F$2:$F$1036,Overall!$R$1)</f>
        <v>0</v>
      </c>
      <c r="S3">
        <f ca="1">COUNTIFS(Rounds!$C$2:$C$1036,Overall!A3,Rounds!$F$2:$F$1036,Overall!$S$1)</f>
        <v>1</v>
      </c>
      <c r="T3">
        <f ca="1">COUNTIFS(Rounds!$C$2:$C$1036,Overall!A3,Rounds!$F$2:$F$1036,Overall!$T$1)</f>
        <v>0</v>
      </c>
      <c r="U3">
        <f ca="1">COUNTIFS(Rounds!$C$2:$C$1036,Overall!A3,Rounds!$F$2:$F$1036,Overall!$U$1)</f>
        <v>0</v>
      </c>
    </row>
    <row r="4" spans="1:21">
      <c r="A4" t="s">
        <v>55</v>
      </c>
      <c r="B4">
        <f>COUNTIFS(Rounds!$C$2:$C$1036,Overall!A4)</f>
        <v>2</v>
      </c>
      <c r="C4">
        <f>SUMIFS(Rounds!$D$2:$D$1036,Rounds!$C$2:$C$1036,Overall!A4)</f>
        <v>3500</v>
      </c>
      <c r="D4">
        <f>_xlfn.MINIFS(Rounds!$E$2:$E$1036,Rounds!$C$2:$C$1036,Overall!A4)</f>
        <v>462</v>
      </c>
      <c r="E4">
        <f>_xlfn.MAXIFS(Rounds!$E$2:$E$1036,Rounds!$C$2:$C$1036,Overall!A4)</f>
        <v>479</v>
      </c>
      <c r="H4">
        <f ca="1">COUNTIFS(Rounds!$C$2:$C$1036,Overall!A4,Rounds!$F$2:$F$1036,Overall!$H$1)</f>
        <v>0</v>
      </c>
      <c r="I4">
        <f ca="1">COUNTIFS(Rounds!$C$2:$C$1036,Overall!A4,Rounds!$F$2:$F$1036,Overall!$I$1)</f>
        <v>2</v>
      </c>
      <c r="J4">
        <f ca="1">COUNTIFS(Rounds!$C$2:$C$1036,Overall!A4,Rounds!$F$2:$F$1036,Overall!$J$1)</f>
        <v>0</v>
      </c>
      <c r="K4">
        <f ca="1">COUNTIFS(Rounds!$C$2:$C$1036,Overall!A4,Rounds!$F$2:$F$1036,Overall!$K$1)</f>
        <v>0</v>
      </c>
      <c r="L4">
        <f ca="1">COUNTIFS(Rounds!$C$2:$C$1036,Overall!A4,Rounds!$F$2:$F$1036,Overall!$L$1)</f>
        <v>0</v>
      </c>
      <c r="M4">
        <f ca="1">COUNTIFS(Rounds!$C$2:$C$1036,Overall!A4,Rounds!$F$2:$F$1036,Overall!$M$1)</f>
        <v>0</v>
      </c>
      <c r="N4">
        <f ca="1">COUNTIFS(Rounds!$C$2:$C$1036,Overall!A4,Rounds!$F$2:$F$1036,Overall!$N$1)</f>
        <v>0</v>
      </c>
      <c r="O4">
        <f ca="1">COUNTIFS(Rounds!$C$2:$C$1036,Overall!A4,Rounds!$F$2:$F$1036,Overall!$O$1)</f>
        <v>0</v>
      </c>
      <c r="P4">
        <f ca="1">COUNTIFS(Rounds!$C$2:$C$1036,Overall!A4,Rounds!$F$2:$F$1036,Overall!$P$1)</f>
        <v>0</v>
      </c>
      <c r="Q4">
        <f ca="1">COUNTIFS(Rounds!$C$2:$C$1036,Overall!A4,Rounds!$F$2:$F$1036,Overall!$Q$1)</f>
        <v>0</v>
      </c>
      <c r="R4">
        <f ca="1">COUNTIFS(Rounds!$C$2:$C$1036,Overall!A4,Rounds!$F$2:$F$1036,Overall!$R$1)</f>
        <v>0</v>
      </c>
      <c r="S4">
        <f ca="1">COUNTIFS(Rounds!$C$2:$C$1036,Overall!A4,Rounds!$F$2:$F$1036,Overall!$S$1)</f>
        <v>0</v>
      </c>
      <c r="T4">
        <f ca="1">COUNTIFS(Rounds!$C$2:$C$1036,Overall!A4,Rounds!$F$2:$F$1036,Overall!$T$1)</f>
        <v>0</v>
      </c>
      <c r="U4">
        <f ca="1">COUNTIFS(Rounds!$C$2:$C$1036,Overall!A4,Rounds!$F$2:$F$1036,Overall!$U$1)</f>
        <v>0</v>
      </c>
    </row>
    <row r="5" spans="1:21">
      <c r="A5" t="s">
        <v>44</v>
      </c>
      <c r="B5">
        <f>COUNTIFS(Rounds!$C$2:$C$1036,Overall!A5)</f>
        <v>7</v>
      </c>
      <c r="C5">
        <f>SUMIFS(Rounds!$D$2:$D$1036,Rounds!$C$2:$C$1036,Overall!A5)</f>
        <v>3055</v>
      </c>
      <c r="D5">
        <f>_xlfn.MINIFS(Rounds!$E$2:$E$1036,Rounds!$C$2:$C$1036,Overall!A5)</f>
        <v>199</v>
      </c>
      <c r="E5">
        <f>_xlfn.MAXIFS(Rounds!$E$2:$E$1036,Rounds!$C$2:$C$1036,Overall!A5)</f>
        <v>415</v>
      </c>
      <c r="H5">
        <f ca="1">COUNTIFS(Rounds!$C$2:$C$1036,Overall!A5,Rounds!$F$2:$F$1036,Overall!$H$1)</f>
        <v>0</v>
      </c>
      <c r="I5">
        <f ca="1">COUNTIFS(Rounds!$C$2:$C$1036,Overall!A5,Rounds!$F$2:$F$1036,Overall!$I$1)</f>
        <v>0</v>
      </c>
      <c r="J5">
        <f ca="1">COUNTIFS(Rounds!$C$2:$C$1036,Overall!A5,Rounds!$F$2:$F$1036,Overall!$J$1)</f>
        <v>0</v>
      </c>
      <c r="K5">
        <f ca="1">COUNTIFS(Rounds!$C$2:$C$1036,Overall!A5,Rounds!$F$2:$F$1036,Overall!$K$1)</f>
        <v>0</v>
      </c>
      <c r="L5">
        <f ca="1">COUNTIFS(Rounds!$C$2:$C$1036,Overall!A5,Rounds!$F$2:$F$1036,Overall!$L$1)</f>
        <v>0</v>
      </c>
      <c r="M5">
        <f ca="1">COUNTIFS(Rounds!$C$2:$C$1036,Overall!A5,Rounds!$F$2:$F$1036,Overall!$M$1)</f>
        <v>0</v>
      </c>
      <c r="N5">
        <f ca="1">COUNTIFS(Rounds!$C$2:$C$1036,Overall!A5,Rounds!$F$2:$F$1036,Overall!$N$1)</f>
        <v>1</v>
      </c>
      <c r="O5">
        <f ca="1">COUNTIFS(Rounds!$C$2:$C$1036,Overall!A5,Rounds!$F$2:$F$1036,Overall!$O$1)</f>
        <v>2</v>
      </c>
      <c r="P5">
        <f ca="1">COUNTIFS(Rounds!$C$2:$C$1036,Overall!A5,Rounds!$F$2:$F$1036,Overall!$P$1)</f>
        <v>2</v>
      </c>
      <c r="Q5">
        <f ca="1">COUNTIFS(Rounds!$C$2:$C$1036,Overall!A5,Rounds!$F$2:$F$1036,Overall!$Q$1)</f>
        <v>2</v>
      </c>
      <c r="R5">
        <f ca="1">COUNTIFS(Rounds!$C$2:$C$1036,Overall!A5,Rounds!$F$2:$F$1036,Overall!$R$1)</f>
        <v>0</v>
      </c>
      <c r="S5">
        <f ca="1">COUNTIFS(Rounds!$C$2:$C$1036,Overall!A5,Rounds!$F$2:$F$1036,Overall!$S$1)</f>
        <v>0</v>
      </c>
      <c r="T5">
        <f ca="1">COUNTIFS(Rounds!$C$2:$C$1036,Overall!A5,Rounds!$F$2:$F$1036,Overall!$T$1)</f>
        <v>0</v>
      </c>
      <c r="U5">
        <f ca="1">COUNTIFS(Rounds!$C$2:$C$1036,Overall!A5,Rounds!$F$2:$F$1036,Overall!$U$1)</f>
        <v>0</v>
      </c>
    </row>
    <row r="6" spans="1:21">
      <c r="A6" t="s">
        <v>47</v>
      </c>
      <c r="B6">
        <f>COUNTIFS(Rounds!$C$2:$C$1036,Overall!A6)</f>
        <v>1</v>
      </c>
      <c r="C6">
        <f>SUMIFS(Rounds!$D$2:$D$1036,Rounds!$C$2:$C$1036,Overall!A6)</f>
        <v>3300</v>
      </c>
      <c r="D6">
        <f>_xlfn.MINIFS(Rounds!$E$2:$E$1036,Rounds!$C$2:$C$1036,Overall!A6)</f>
        <v>489</v>
      </c>
      <c r="E6">
        <f>_xlfn.MAXIFS(Rounds!$E$2:$E$1036,Rounds!$C$2:$C$1036,Overall!A6)</f>
        <v>489</v>
      </c>
      <c r="H6">
        <f ca="1">COUNTIFS(Rounds!$C$2:$C$1036,Overall!A6,Rounds!$F$2:$F$1036,Overall!$H$1)</f>
        <v>0</v>
      </c>
      <c r="I6">
        <f ca="1">COUNTIFS(Rounds!$C$2:$C$1036,Overall!A6,Rounds!$F$2:$F$1036,Overall!$I$1)</f>
        <v>0</v>
      </c>
      <c r="J6">
        <f ca="1">COUNTIFS(Rounds!$C$2:$C$1036,Overall!A6,Rounds!$F$2:$F$1036,Overall!$J$1)</f>
        <v>0</v>
      </c>
      <c r="K6">
        <f ca="1">COUNTIFS(Rounds!$C$2:$C$1036,Overall!A6,Rounds!$F$2:$F$1036,Overall!$K$1)</f>
        <v>1</v>
      </c>
      <c r="L6">
        <f ca="1">COUNTIFS(Rounds!$C$2:$C$1036,Overall!A6,Rounds!$F$2:$F$1036,Overall!$L$1)</f>
        <v>0</v>
      </c>
      <c r="M6">
        <f ca="1">COUNTIFS(Rounds!$C$2:$C$1036,Overall!A6,Rounds!$F$2:$F$1036,Overall!$M$1)</f>
        <v>0</v>
      </c>
      <c r="N6">
        <f ca="1">COUNTIFS(Rounds!$C$2:$C$1036,Overall!A6,Rounds!$F$2:$F$1036,Overall!$N$1)</f>
        <v>0</v>
      </c>
      <c r="O6">
        <f ca="1">COUNTIFS(Rounds!$C$2:$C$1036,Overall!A6,Rounds!$F$2:$F$1036,Overall!$O$1)</f>
        <v>0</v>
      </c>
      <c r="P6">
        <f ca="1">COUNTIFS(Rounds!$C$2:$C$1036,Overall!A6,Rounds!$F$2:$F$1036,Overall!$P$1)</f>
        <v>0</v>
      </c>
      <c r="Q6">
        <f ca="1">COUNTIFS(Rounds!$C$2:$C$1036,Overall!A6,Rounds!$F$2:$F$1036,Overall!$Q$1)</f>
        <v>0</v>
      </c>
      <c r="R6">
        <f ca="1">COUNTIFS(Rounds!$C$2:$C$1036,Overall!A6,Rounds!$F$2:$F$1036,Overall!$R$1)</f>
        <v>0</v>
      </c>
      <c r="S6">
        <f ca="1">COUNTIFS(Rounds!$C$2:$C$1036,Overall!A6,Rounds!$F$2:$F$1036,Overall!$S$1)</f>
        <v>0</v>
      </c>
      <c r="T6">
        <f ca="1">COUNTIFS(Rounds!$C$2:$C$1036,Overall!A6,Rounds!$F$2:$F$1036,Overall!$T$1)</f>
        <v>0</v>
      </c>
      <c r="U6">
        <f ca="1">COUNTIFS(Rounds!$C$2:$C$1036,Overall!A6,Rounds!$F$2:$F$1036,Overall!$U$1)</f>
        <v>0</v>
      </c>
    </row>
    <row r="7" spans="1:21">
      <c r="A7" t="s">
        <v>50</v>
      </c>
      <c r="B7">
        <f>COUNTIFS(Rounds!$C$2:$C$1036,Overall!A7)</f>
        <v>26</v>
      </c>
      <c r="C7">
        <f>SUMIFS(Rounds!$D$2:$D$1036,Rounds!$C$2:$C$1036,Overall!A7)</f>
        <v>79700</v>
      </c>
      <c r="D7">
        <f>_xlfn.MINIFS(Rounds!$E$2:$E$1036,Rounds!$C$2:$C$1036,Overall!A7)</f>
        <v>336</v>
      </c>
      <c r="E7">
        <f>_xlfn.MAXIFS(Rounds!$E$2:$E$1036,Rounds!$C$2:$C$1036,Overall!A7)</f>
        <v>486</v>
      </c>
      <c r="H7">
        <f ca="1">COUNTIFS(Rounds!$C$2:$C$1036,Overall!A7,Rounds!$F$2:$F$1036,Overall!$H$1)</f>
        <v>0</v>
      </c>
      <c r="I7">
        <f ca="1">COUNTIFS(Rounds!$C$2:$C$1036,Overall!A7,Rounds!$F$2:$F$1036,Overall!$I$1)</f>
        <v>9</v>
      </c>
      <c r="J7">
        <f ca="1">COUNTIFS(Rounds!$C$2:$C$1036,Overall!A7,Rounds!$F$2:$F$1036,Overall!$J$1)</f>
        <v>11</v>
      </c>
      <c r="K7">
        <f ca="1">COUNTIFS(Rounds!$C$2:$C$1036,Overall!A7,Rounds!$F$2:$F$1036,Overall!$K$1)</f>
        <v>6</v>
      </c>
      <c r="L7">
        <f ca="1">COUNTIFS(Rounds!$C$2:$C$1036,Overall!A7,Rounds!$F$2:$F$1036,Overall!$L$1)</f>
        <v>0</v>
      </c>
      <c r="M7">
        <f ca="1">COUNTIFS(Rounds!$C$2:$C$1036,Overall!A7,Rounds!$F$2:$F$1036,Overall!$M$1)</f>
        <v>0</v>
      </c>
      <c r="N7">
        <f ca="1">COUNTIFS(Rounds!$C$2:$C$1036,Overall!A7,Rounds!$F$2:$F$1036,Overall!$N$1)</f>
        <v>0</v>
      </c>
      <c r="O7">
        <f ca="1">COUNTIFS(Rounds!$C$2:$C$1036,Overall!A7,Rounds!$F$2:$F$1036,Overall!$O$1)</f>
        <v>0</v>
      </c>
      <c r="P7">
        <f ca="1">COUNTIFS(Rounds!$C$2:$C$1036,Overall!A7,Rounds!$F$2:$F$1036,Overall!$P$1)</f>
        <v>0</v>
      </c>
      <c r="Q7">
        <f ca="1">COUNTIFS(Rounds!$C$2:$C$1036,Overall!A7,Rounds!$F$2:$F$1036,Overall!$Q$1)</f>
        <v>0</v>
      </c>
      <c r="R7">
        <f ca="1">COUNTIFS(Rounds!$C$2:$C$1036,Overall!A7,Rounds!$F$2:$F$1036,Overall!$R$1)</f>
        <v>0</v>
      </c>
      <c r="S7">
        <f ca="1">COUNTIFS(Rounds!$C$2:$C$1036,Overall!A7,Rounds!$F$2:$F$1036,Overall!$S$1)</f>
        <v>0</v>
      </c>
      <c r="T7">
        <f ca="1">COUNTIFS(Rounds!$C$2:$C$1036,Overall!A7,Rounds!$F$2:$F$1036,Overall!$T$1)</f>
        <v>0</v>
      </c>
      <c r="U7">
        <f ca="1">COUNTIFS(Rounds!$C$2:$C$1036,Overall!A7,Rounds!$F$2:$F$1036,Overall!$U$1)</f>
        <v>0</v>
      </c>
    </row>
    <row r="8" spans="1:21">
      <c r="A8" t="s">
        <v>54</v>
      </c>
      <c r="B8">
        <f>COUNTIFS(Rounds!$C$2:$C$1036,Overall!A8)</f>
        <v>11</v>
      </c>
      <c r="C8">
        <f>SUMIFS(Rounds!$D$2:$D$1036,Rounds!$C$2:$C$1036,Overall!A8)</f>
        <v>20520</v>
      </c>
      <c r="D8">
        <f>_xlfn.MINIFS(Rounds!$E$2:$E$1036,Rounds!$C$2:$C$1036,Overall!A8)</f>
        <v>524</v>
      </c>
      <c r="E8">
        <f>_xlfn.MAXIFS(Rounds!$E$2:$E$1036,Rounds!$C$2:$C$1036,Overall!A8)</f>
        <v>561</v>
      </c>
      <c r="H8">
        <f ca="1">COUNTIFS(Rounds!$C$2:$C$1036,Overall!A8,Rounds!$F$2:$F$1036,Overall!$H$1)</f>
        <v>0</v>
      </c>
      <c r="I8">
        <f ca="1">COUNTIFS(Rounds!$C$2:$C$1036,Overall!A8,Rounds!$F$2:$F$1036,Overall!$I$1)</f>
        <v>0</v>
      </c>
      <c r="J8">
        <f ca="1">COUNTIFS(Rounds!$C$2:$C$1036,Overall!A8,Rounds!$F$2:$F$1036,Overall!$J$1)</f>
        <v>9</v>
      </c>
      <c r="K8">
        <f ca="1">COUNTIFS(Rounds!$C$2:$C$1036,Overall!A8,Rounds!$F$2:$F$1036,Overall!$K$1)</f>
        <v>2</v>
      </c>
      <c r="L8">
        <f ca="1">COUNTIFS(Rounds!$C$2:$C$1036,Overall!A8,Rounds!$F$2:$F$1036,Overall!$L$1)</f>
        <v>0</v>
      </c>
      <c r="M8">
        <f ca="1">COUNTIFS(Rounds!$C$2:$C$1036,Overall!A8,Rounds!$F$2:$F$1036,Overall!$M$1)</f>
        <v>0</v>
      </c>
      <c r="N8">
        <f ca="1">COUNTIFS(Rounds!$C$2:$C$1036,Overall!A8,Rounds!$F$2:$F$1036,Overall!$N$1)</f>
        <v>0</v>
      </c>
      <c r="O8">
        <f ca="1">COUNTIFS(Rounds!$C$2:$C$1036,Overall!A8,Rounds!$F$2:$F$1036,Overall!$O$1)</f>
        <v>0</v>
      </c>
      <c r="P8">
        <f ca="1">COUNTIFS(Rounds!$C$2:$C$1036,Overall!A8,Rounds!$F$2:$F$1036,Overall!$P$1)</f>
        <v>0</v>
      </c>
      <c r="Q8">
        <f ca="1">COUNTIFS(Rounds!$C$2:$C$1036,Overall!A8,Rounds!$F$2:$F$1036,Overall!$Q$1)</f>
        <v>0</v>
      </c>
      <c r="R8">
        <f ca="1">COUNTIFS(Rounds!$C$2:$C$1036,Overall!A8,Rounds!$F$2:$F$1036,Overall!$R$1)</f>
        <v>0</v>
      </c>
      <c r="S8">
        <f ca="1">COUNTIFS(Rounds!$C$2:$C$1036,Overall!A8,Rounds!$F$2:$F$1036,Overall!$S$1)</f>
        <v>0</v>
      </c>
      <c r="T8">
        <f ca="1">COUNTIFS(Rounds!$C$2:$C$1036,Overall!A8,Rounds!$F$2:$F$1036,Overall!$T$1)</f>
        <v>0</v>
      </c>
      <c r="U8">
        <f ca="1">COUNTIFS(Rounds!$C$2:$C$1036,Overall!A8,Rounds!$F$2:$F$1036,Overall!$U$1)</f>
        <v>0</v>
      </c>
    </row>
    <row r="9" spans="1:21">
      <c r="A9" t="s">
        <v>56</v>
      </c>
      <c r="B9">
        <f>COUNTIFS(Rounds!$C$2:$C$1036,Overall!A9)</f>
        <v>7</v>
      </c>
      <c r="C9">
        <f>SUMIFS(Rounds!$D$2:$D$1036,Rounds!$C$2:$C$1036,Overall!A9)</f>
        <v>14500</v>
      </c>
      <c r="D9">
        <f>_xlfn.MINIFS(Rounds!$E$2:$E$1036,Rounds!$C$2:$C$1036,Overall!A9)</f>
        <v>462</v>
      </c>
      <c r="E9">
        <f>_xlfn.MAXIFS(Rounds!$E$2:$E$1036,Rounds!$C$2:$C$1036,Overall!A9)</f>
        <v>510</v>
      </c>
      <c r="H9">
        <f ca="1">COUNTIFS(Rounds!$C$2:$C$1036,Overall!A9,Rounds!$F$2:$F$1036,Overall!$H$1)</f>
        <v>0</v>
      </c>
      <c r="I9">
        <f ca="1">COUNTIFS(Rounds!$C$2:$C$1036,Overall!A9,Rounds!$F$2:$F$1036,Overall!$I$1)</f>
        <v>7</v>
      </c>
      <c r="J9">
        <f ca="1">COUNTIFS(Rounds!$C$2:$C$1036,Overall!A9,Rounds!$F$2:$F$1036,Overall!$J$1)</f>
        <v>0</v>
      </c>
      <c r="K9">
        <f ca="1">COUNTIFS(Rounds!$C$2:$C$1036,Overall!A9,Rounds!$F$2:$F$1036,Overall!$K$1)</f>
        <v>0</v>
      </c>
      <c r="L9">
        <f ca="1">COUNTIFS(Rounds!$C$2:$C$1036,Overall!A9,Rounds!$F$2:$F$1036,Overall!$L$1)</f>
        <v>0</v>
      </c>
      <c r="M9">
        <f ca="1">COUNTIFS(Rounds!$C$2:$C$1036,Overall!A9,Rounds!$F$2:$F$1036,Overall!$M$1)</f>
        <v>0</v>
      </c>
      <c r="N9">
        <f ca="1">COUNTIFS(Rounds!$C$2:$C$1036,Overall!A9,Rounds!$F$2:$F$1036,Overall!$N$1)</f>
        <v>0</v>
      </c>
      <c r="O9">
        <f ca="1">COUNTIFS(Rounds!$C$2:$C$1036,Overall!A9,Rounds!$F$2:$F$1036,Overall!$O$1)</f>
        <v>0</v>
      </c>
      <c r="P9">
        <f ca="1">COUNTIFS(Rounds!$C$2:$C$1036,Overall!A9,Rounds!$F$2:$F$1036,Overall!$P$1)</f>
        <v>0</v>
      </c>
      <c r="Q9">
        <f ca="1">COUNTIFS(Rounds!$C$2:$C$1036,Overall!A9,Rounds!$F$2:$F$1036,Overall!$Q$1)</f>
        <v>0</v>
      </c>
      <c r="R9">
        <f ca="1">COUNTIFS(Rounds!$C$2:$C$1036,Overall!A9,Rounds!$F$2:$F$1036,Overall!$R$1)</f>
        <v>0</v>
      </c>
      <c r="S9">
        <f ca="1">COUNTIFS(Rounds!$C$2:$C$1036,Overall!A9,Rounds!$F$2:$F$1036,Overall!$S$1)</f>
        <v>0</v>
      </c>
      <c r="T9">
        <f ca="1">COUNTIFS(Rounds!$C$2:$C$1036,Overall!A9,Rounds!$F$2:$F$1036,Overall!$T$1)</f>
        <v>0</v>
      </c>
      <c r="U9">
        <f ca="1">COUNTIFS(Rounds!$C$2:$C$1036,Overall!A9,Rounds!$F$2:$F$1036,Overall!$U$1)</f>
        <v>0</v>
      </c>
    </row>
    <row r="10" spans="1:21">
      <c r="A10" t="s">
        <v>48</v>
      </c>
      <c r="B10">
        <f>COUNTIFS(Rounds!$C$2:$C$1036,Overall!A10)</f>
        <v>6</v>
      </c>
      <c r="C10">
        <f>SUMIFS(Rounds!$D$2:$D$1036,Rounds!$C$2:$C$1036,Overall!A10)</f>
        <v>15850</v>
      </c>
      <c r="D10">
        <f>_xlfn.MINIFS(Rounds!$E$2:$E$1036,Rounds!$C$2:$C$1036,Overall!A10)</f>
        <v>422</v>
      </c>
      <c r="E10">
        <f>_xlfn.MAXIFS(Rounds!$E$2:$E$1036,Rounds!$C$2:$C$1036,Overall!A10)</f>
        <v>476</v>
      </c>
      <c r="H10">
        <f ca="1">COUNTIFS(Rounds!$C$2:$C$1036,Overall!A10,Rounds!$F$2:$F$1036,Overall!$H$1)</f>
        <v>0</v>
      </c>
      <c r="I10">
        <f ca="1">COUNTIFS(Rounds!$C$2:$C$1036,Overall!A10,Rounds!$F$2:$F$1036,Overall!$I$1)</f>
        <v>0</v>
      </c>
      <c r="J10">
        <f ca="1">COUNTIFS(Rounds!$C$2:$C$1036,Overall!A10,Rounds!$F$2:$F$1036,Overall!$J$1)</f>
        <v>3</v>
      </c>
      <c r="K10">
        <f ca="1">COUNTIFS(Rounds!$C$2:$C$1036,Overall!A10,Rounds!$F$2:$F$1036,Overall!$K$1)</f>
        <v>3</v>
      </c>
      <c r="L10">
        <f ca="1">COUNTIFS(Rounds!$C$2:$C$1036,Overall!A10,Rounds!$F$2:$F$1036,Overall!$L$1)</f>
        <v>0</v>
      </c>
      <c r="M10">
        <f ca="1">COUNTIFS(Rounds!$C$2:$C$1036,Overall!A10,Rounds!$F$2:$F$1036,Overall!$M$1)</f>
        <v>0</v>
      </c>
      <c r="N10">
        <f ca="1">COUNTIFS(Rounds!$C$2:$C$1036,Overall!A10,Rounds!$F$2:$F$1036,Overall!$N$1)</f>
        <v>0</v>
      </c>
      <c r="O10">
        <f ca="1">COUNTIFS(Rounds!$C$2:$C$1036,Overall!A10,Rounds!$F$2:$F$1036,Overall!$O$1)</f>
        <v>0</v>
      </c>
      <c r="P10">
        <f ca="1">COUNTIFS(Rounds!$C$2:$C$1036,Overall!A10,Rounds!$F$2:$F$1036,Overall!$P$1)</f>
        <v>0</v>
      </c>
      <c r="Q10">
        <f ca="1">COUNTIFS(Rounds!$C$2:$C$1036,Overall!A10,Rounds!$F$2:$F$1036,Overall!$Q$1)</f>
        <v>0</v>
      </c>
      <c r="R10">
        <f ca="1">COUNTIFS(Rounds!$C$2:$C$1036,Overall!A10,Rounds!$F$2:$F$1036,Overall!$R$1)</f>
        <v>0</v>
      </c>
      <c r="S10">
        <f ca="1">COUNTIFS(Rounds!$C$2:$C$1036,Overall!A10,Rounds!$F$2:$F$1036,Overall!$S$1)</f>
        <v>0</v>
      </c>
      <c r="T10">
        <f ca="1">COUNTIFS(Rounds!$C$2:$C$1036,Overall!A10,Rounds!$F$2:$F$1036,Overall!$T$1)</f>
        <v>0</v>
      </c>
      <c r="U10">
        <f ca="1">COUNTIFS(Rounds!$C$2:$C$1036,Overall!A10,Rounds!$F$2:$F$1036,Overall!$U$1)</f>
        <v>0</v>
      </c>
    </row>
    <row r="11" spans="1:21">
      <c r="A11" t="s">
        <v>41</v>
      </c>
      <c r="B11">
        <f>COUNTIFS(Rounds!$C$2:$C$1036,Overall!A11)</f>
        <v>167</v>
      </c>
      <c r="C11">
        <f>SUMIFS(Rounds!$D$2:$D$1036,Rounds!$C$2:$C$1036,Overall!A11)</f>
        <v>495597</v>
      </c>
      <c r="D11">
        <f>_xlfn.MINIFS(Rounds!$E$2:$E$1036,Rounds!$C$2:$C$1036,Overall!A11)</f>
        <v>413</v>
      </c>
      <c r="E11">
        <f>_xlfn.MAXIFS(Rounds!$E$2:$E$1036,Rounds!$C$2:$C$1036,Overall!A11)</f>
        <v>886</v>
      </c>
      <c r="H11">
        <f ca="1">COUNTIFS(Rounds!$C$2:$C$1036,Overall!A11,Rounds!$F$2:$F$1036,Overall!$H$1)</f>
        <v>0</v>
      </c>
      <c r="I11">
        <f ca="1">COUNTIFS(Rounds!$C$2:$C$1036,Overall!A11,Rounds!$F$2:$F$1036,Overall!$I$1)</f>
        <v>0</v>
      </c>
      <c r="J11">
        <f ca="1">COUNTIFS(Rounds!$C$2:$C$1036,Overall!A11,Rounds!$F$2:$F$1036,Overall!$J$1)</f>
        <v>0</v>
      </c>
      <c r="K11">
        <f ca="1">COUNTIFS(Rounds!$C$2:$C$1036,Overall!A11,Rounds!$F$2:$F$1036,Overall!$K$1)</f>
        <v>17</v>
      </c>
      <c r="L11">
        <f ca="1">COUNTIFS(Rounds!$C$2:$C$1036,Overall!A11,Rounds!$F$2:$F$1036,Overall!$L$1)</f>
        <v>11</v>
      </c>
      <c r="M11">
        <f ca="1">COUNTIFS(Rounds!$C$2:$C$1036,Overall!A11,Rounds!$F$2:$F$1036,Overall!$M$1)</f>
        <v>0</v>
      </c>
      <c r="N11">
        <f ca="1">COUNTIFS(Rounds!$C$2:$C$1036,Overall!A11,Rounds!$F$2:$F$1036,Overall!$N$1)</f>
        <v>16</v>
      </c>
      <c r="O11">
        <f ca="1">COUNTIFS(Rounds!$C$2:$C$1036,Overall!A11,Rounds!$F$2:$F$1036,Overall!$O$1)</f>
        <v>24</v>
      </c>
      <c r="P11">
        <f ca="1">COUNTIFS(Rounds!$C$2:$C$1036,Overall!A11,Rounds!$F$2:$F$1036,Overall!$P$1)</f>
        <v>25</v>
      </c>
      <c r="Q11">
        <f ca="1">COUNTIFS(Rounds!$C$2:$C$1036,Overall!A11,Rounds!$F$2:$F$1036,Overall!$Q$1)</f>
        <v>26</v>
      </c>
      <c r="R11">
        <f ca="1">COUNTIFS(Rounds!$C$2:$C$1036,Overall!A11,Rounds!$F$2:$F$1036,Overall!$R$1)</f>
        <v>26</v>
      </c>
      <c r="S11">
        <f ca="1">COUNTIFS(Rounds!$C$2:$C$1036,Overall!A11,Rounds!$F$2:$F$1036,Overall!$S$1)</f>
        <v>22</v>
      </c>
      <c r="T11">
        <f ca="1">COUNTIFS(Rounds!$C$2:$C$1036,Overall!A11,Rounds!$F$2:$F$1036,Overall!$T$1)</f>
        <v>0</v>
      </c>
      <c r="U11">
        <f ca="1">COUNTIFS(Rounds!$C$2:$C$1036,Overall!A11,Rounds!$F$2:$F$1036,Overall!$U$1)</f>
        <v>0</v>
      </c>
    </row>
    <row r="12" spans="1:21">
      <c r="A12" t="s">
        <v>43</v>
      </c>
      <c r="B12">
        <f>COUNTIFS(Rounds!$C$2:$C$1036,Overall!A12)</f>
        <v>107</v>
      </c>
      <c r="C12">
        <f>SUMIFS(Rounds!$D$2:$D$1036,Rounds!$C$2:$C$1036,Overall!A12)</f>
        <v>67519</v>
      </c>
      <c r="D12">
        <f>_xlfn.MINIFS(Rounds!$E$2:$E$1036,Rounds!$C$2:$C$1036,Overall!A12)</f>
        <v>663</v>
      </c>
      <c r="E12">
        <f>_xlfn.MAXIFS(Rounds!$E$2:$E$1036,Rounds!$C$2:$C$1036,Overall!A12)</f>
        <v>902</v>
      </c>
      <c r="H12">
        <f ca="1">COUNTIFS(Rounds!$C$2:$C$1036,Overall!A12,Rounds!$F$2:$F$1036,Overall!$H$1)</f>
        <v>12</v>
      </c>
      <c r="I12">
        <f ca="1">COUNTIFS(Rounds!$C$2:$C$1036,Overall!A12,Rounds!$F$2:$F$1036,Overall!$I$1)</f>
        <v>24</v>
      </c>
      <c r="J12">
        <f ca="1">COUNTIFS(Rounds!$C$2:$C$1036,Overall!A12,Rounds!$F$2:$F$1036,Overall!$J$1)</f>
        <v>14</v>
      </c>
      <c r="K12">
        <f ca="1">COUNTIFS(Rounds!$C$2:$C$1036,Overall!A12,Rounds!$F$2:$F$1036,Overall!$K$1)</f>
        <v>5</v>
      </c>
      <c r="L12">
        <f ca="1">COUNTIFS(Rounds!$C$2:$C$1036,Overall!A12,Rounds!$F$2:$F$1036,Overall!$L$1)</f>
        <v>13</v>
      </c>
      <c r="M12">
        <f ca="1">COUNTIFS(Rounds!$C$2:$C$1036,Overall!A12,Rounds!$F$2:$F$1036,Overall!$M$1)</f>
        <v>25</v>
      </c>
      <c r="N12">
        <f ca="1">COUNTIFS(Rounds!$C$2:$C$1036,Overall!A12,Rounds!$F$2:$F$1036,Overall!$N$1)</f>
        <v>10</v>
      </c>
      <c r="O12">
        <f ca="1">COUNTIFS(Rounds!$C$2:$C$1036,Overall!A12,Rounds!$F$2:$F$1036,Overall!$O$1)</f>
        <v>0</v>
      </c>
      <c r="P12">
        <f ca="1">COUNTIFS(Rounds!$C$2:$C$1036,Overall!A12,Rounds!$F$2:$F$1036,Overall!$P$1)</f>
        <v>1</v>
      </c>
      <c r="Q12">
        <f ca="1">COUNTIFS(Rounds!$C$2:$C$1036,Overall!A12,Rounds!$F$2:$F$1036,Overall!$Q$1)</f>
        <v>2</v>
      </c>
      <c r="R12">
        <f ca="1">COUNTIFS(Rounds!$C$2:$C$1036,Overall!A12,Rounds!$F$2:$F$1036,Overall!$R$1)</f>
        <v>1</v>
      </c>
      <c r="S12">
        <f ca="1">COUNTIFS(Rounds!$C$2:$C$1036,Overall!A12,Rounds!$F$2:$F$1036,Overall!$S$1)</f>
        <v>0</v>
      </c>
      <c r="T12">
        <f ca="1">COUNTIFS(Rounds!$C$2:$C$1036,Overall!A12,Rounds!$F$2:$F$1036,Overall!$T$1)</f>
        <v>0</v>
      </c>
      <c r="U12">
        <f ca="1">COUNTIFS(Rounds!$C$2:$C$1036,Overall!A12,Rounds!$F$2:$F$1036,Overall!$U$1)</f>
        <v>0</v>
      </c>
    </row>
    <row r="13" spans="1:21">
      <c r="A13" t="s">
        <v>49</v>
      </c>
      <c r="B13">
        <f>COUNTIFS(Rounds!$C$2:$C$1036,Overall!A13)</f>
        <v>3</v>
      </c>
      <c r="C13">
        <f>SUMIFS(Rounds!$D$2:$D$1036,Rounds!$C$2:$C$1036,Overall!A13)</f>
        <v>10900</v>
      </c>
      <c r="D13">
        <f>_xlfn.MINIFS(Rounds!$E$2:$E$1036,Rounds!$C$2:$C$1036,Overall!A13)</f>
        <v>481</v>
      </c>
      <c r="E13">
        <f>_xlfn.MAXIFS(Rounds!$E$2:$E$1036,Rounds!$C$2:$C$1036,Overall!A13)</f>
        <v>491</v>
      </c>
      <c r="H13">
        <f ca="1">COUNTIFS(Rounds!$C$2:$C$1036,Overall!A13,Rounds!$F$2:$F$1036,Overall!$H$1)</f>
        <v>0</v>
      </c>
      <c r="I13">
        <f ca="1">COUNTIFS(Rounds!$C$2:$C$1036,Overall!A13,Rounds!$F$2:$F$1036,Overall!$I$1)</f>
        <v>0</v>
      </c>
      <c r="J13">
        <f ca="1">COUNTIFS(Rounds!$C$2:$C$1036,Overall!A13,Rounds!$F$2:$F$1036,Overall!$J$1)</f>
        <v>1</v>
      </c>
      <c r="K13">
        <f ca="1">COUNTIFS(Rounds!$C$2:$C$1036,Overall!A13,Rounds!$F$2:$F$1036,Overall!$K$1)</f>
        <v>2</v>
      </c>
      <c r="L13">
        <f ca="1">COUNTIFS(Rounds!$C$2:$C$1036,Overall!A13,Rounds!$F$2:$F$1036,Overall!$L$1)</f>
        <v>0</v>
      </c>
      <c r="M13">
        <f ca="1">COUNTIFS(Rounds!$C$2:$C$1036,Overall!A13,Rounds!$F$2:$F$1036,Overall!$M$1)</f>
        <v>0</v>
      </c>
      <c r="N13">
        <f ca="1">COUNTIFS(Rounds!$C$2:$C$1036,Overall!A13,Rounds!$F$2:$F$1036,Overall!$N$1)</f>
        <v>0</v>
      </c>
      <c r="O13">
        <f ca="1">COUNTIFS(Rounds!$C$2:$C$1036,Overall!A13,Rounds!$F$2:$F$1036,Overall!$O$1)</f>
        <v>0</v>
      </c>
      <c r="P13">
        <f ca="1">COUNTIFS(Rounds!$C$2:$C$1036,Overall!A13,Rounds!$F$2:$F$1036,Overall!$P$1)</f>
        <v>0</v>
      </c>
      <c r="Q13">
        <f ca="1">COUNTIFS(Rounds!$C$2:$C$1036,Overall!A13,Rounds!$F$2:$F$1036,Overall!$Q$1)</f>
        <v>0</v>
      </c>
      <c r="R13">
        <f ca="1">COUNTIFS(Rounds!$C$2:$C$1036,Overall!A13,Rounds!$F$2:$F$1036,Overall!$R$1)</f>
        <v>0</v>
      </c>
      <c r="S13">
        <f ca="1">COUNTIFS(Rounds!$C$2:$C$1036,Overall!A13,Rounds!$F$2:$F$1036,Overall!$S$1)</f>
        <v>0</v>
      </c>
      <c r="T13">
        <f ca="1">COUNTIFS(Rounds!$C$2:$C$1036,Overall!A13,Rounds!$F$2:$F$1036,Overall!$T$1)</f>
        <v>0</v>
      </c>
      <c r="U13">
        <f ca="1">COUNTIFS(Rounds!$C$2:$C$1036,Overall!A13,Rounds!$F$2:$F$1036,Overall!$U$1)</f>
        <v>0</v>
      </c>
    </row>
    <row r="14" spans="1:21">
      <c r="A14" t="s">
        <v>51</v>
      </c>
      <c r="B14">
        <f>COUNTIFS(Rounds!$C$2:$C$1036,Overall!A14)</f>
        <v>4</v>
      </c>
      <c r="C14">
        <f>SUMIFS(Rounds!$D$2:$D$1036,Rounds!$C$2:$C$1036,Overall!A14)</f>
        <v>6100</v>
      </c>
      <c r="D14">
        <f>_xlfn.MINIFS(Rounds!$E$2:$E$1036,Rounds!$C$2:$C$1036,Overall!A14)</f>
        <v>388</v>
      </c>
      <c r="E14">
        <f>_xlfn.MAXIFS(Rounds!$E$2:$E$1036,Rounds!$C$2:$C$1036,Overall!A14)</f>
        <v>436</v>
      </c>
      <c r="H14">
        <f ca="1">COUNTIFS(Rounds!$C$2:$C$1036,Overall!A14,Rounds!$F$2:$F$1036,Overall!$H$1)</f>
        <v>0</v>
      </c>
      <c r="I14">
        <f ca="1">COUNTIFS(Rounds!$C$2:$C$1036,Overall!A14,Rounds!$F$2:$F$1036,Overall!$I$1)</f>
        <v>0</v>
      </c>
      <c r="J14">
        <f ca="1">COUNTIFS(Rounds!$C$2:$C$1036,Overall!A14,Rounds!$F$2:$F$1036,Overall!$J$1)</f>
        <v>2</v>
      </c>
      <c r="K14">
        <f ca="1">COUNTIFS(Rounds!$C$2:$C$1036,Overall!A14,Rounds!$F$2:$F$1036,Overall!$K$1)</f>
        <v>2</v>
      </c>
      <c r="L14">
        <f ca="1">COUNTIFS(Rounds!$C$2:$C$1036,Overall!A14,Rounds!$F$2:$F$1036,Overall!$L$1)</f>
        <v>0</v>
      </c>
      <c r="M14">
        <f ca="1">COUNTIFS(Rounds!$C$2:$C$1036,Overall!A14,Rounds!$F$2:$F$1036,Overall!$M$1)</f>
        <v>0</v>
      </c>
      <c r="N14">
        <f ca="1">COUNTIFS(Rounds!$C$2:$C$1036,Overall!A14,Rounds!$F$2:$F$1036,Overall!$N$1)</f>
        <v>0</v>
      </c>
      <c r="O14">
        <f ca="1">COUNTIFS(Rounds!$C$2:$C$1036,Overall!A14,Rounds!$F$2:$F$1036,Overall!$O$1)</f>
        <v>0</v>
      </c>
      <c r="P14">
        <f ca="1">COUNTIFS(Rounds!$C$2:$C$1036,Overall!A14,Rounds!$F$2:$F$1036,Overall!$P$1)</f>
        <v>0</v>
      </c>
      <c r="Q14">
        <f ca="1">COUNTIFS(Rounds!$C$2:$C$1036,Overall!A14,Rounds!$F$2:$F$1036,Overall!$Q$1)</f>
        <v>0</v>
      </c>
      <c r="R14">
        <f ca="1">COUNTIFS(Rounds!$C$2:$C$1036,Overall!A14,Rounds!$F$2:$F$1036,Overall!$R$1)</f>
        <v>0</v>
      </c>
      <c r="S14">
        <f ca="1">COUNTIFS(Rounds!$C$2:$C$1036,Overall!A14,Rounds!$F$2:$F$1036,Overall!$S$1)</f>
        <v>0</v>
      </c>
      <c r="T14">
        <f ca="1">COUNTIFS(Rounds!$C$2:$C$1036,Overall!A14,Rounds!$F$2:$F$1036,Overall!$T$1)</f>
        <v>0</v>
      </c>
      <c r="U14">
        <f ca="1">COUNTIFS(Rounds!$C$2:$C$1036,Overall!A14,Rounds!$F$2:$F$1036,Overall!$U$1)</f>
        <v>0</v>
      </c>
    </row>
    <row r="15" spans="1:21">
      <c r="A15" t="s">
        <v>57</v>
      </c>
      <c r="B15">
        <f>COUNTIFS(Rounds!$C$2:$C$1036,Overall!A15)</f>
        <v>1</v>
      </c>
      <c r="C15">
        <f>SUMIFS(Rounds!$D$2:$D$1036,Rounds!$C$2:$C$1036,Overall!A15)</f>
        <v>1250</v>
      </c>
      <c r="D15">
        <f>_xlfn.MINIFS(Rounds!$E$2:$E$1036,Rounds!$C$2:$C$1036,Overall!A15)</f>
        <v>505</v>
      </c>
      <c r="E15">
        <f>_xlfn.MAXIFS(Rounds!$E$2:$E$1036,Rounds!$C$2:$C$1036,Overall!A15)</f>
        <v>505</v>
      </c>
      <c r="H15">
        <f ca="1">COUNTIFS(Rounds!$C$2:$C$1036,Overall!A15,Rounds!$F$2:$F$1036,Overall!$H$1)</f>
        <v>0</v>
      </c>
      <c r="I15">
        <f ca="1">COUNTIFS(Rounds!$C$2:$C$1036,Overall!A15,Rounds!$F$2:$F$1036,Overall!$I$1)</f>
        <v>1</v>
      </c>
      <c r="J15">
        <f ca="1">COUNTIFS(Rounds!$C$2:$C$1036,Overall!A15,Rounds!$F$2:$F$1036,Overall!$J$1)</f>
        <v>0</v>
      </c>
      <c r="K15">
        <f ca="1">COUNTIFS(Rounds!$C$2:$C$1036,Overall!A15,Rounds!$F$2:$F$1036,Overall!$K$1)</f>
        <v>0</v>
      </c>
      <c r="L15">
        <f ca="1">COUNTIFS(Rounds!$C$2:$C$1036,Overall!A15,Rounds!$F$2:$F$1036,Overall!$L$1)</f>
        <v>0</v>
      </c>
      <c r="M15">
        <f ca="1">COUNTIFS(Rounds!$C$2:$C$1036,Overall!A15,Rounds!$F$2:$F$1036,Overall!$M$1)</f>
        <v>0</v>
      </c>
      <c r="N15">
        <f ca="1">COUNTIFS(Rounds!$C$2:$C$1036,Overall!A15,Rounds!$F$2:$F$1036,Overall!$N$1)</f>
        <v>0</v>
      </c>
      <c r="O15">
        <f ca="1">COUNTIFS(Rounds!$C$2:$C$1036,Overall!A15,Rounds!$F$2:$F$1036,Overall!$O$1)</f>
        <v>0</v>
      </c>
      <c r="P15">
        <f ca="1">COUNTIFS(Rounds!$C$2:$C$1036,Overall!A15,Rounds!$F$2:$F$1036,Overall!$P$1)</f>
        <v>0</v>
      </c>
      <c r="Q15">
        <f ca="1">COUNTIFS(Rounds!$C$2:$C$1036,Overall!A15,Rounds!$F$2:$F$1036,Overall!$Q$1)</f>
        <v>0</v>
      </c>
      <c r="R15">
        <f ca="1">COUNTIFS(Rounds!$C$2:$C$1036,Overall!A15,Rounds!$F$2:$F$1036,Overall!$R$1)</f>
        <v>0</v>
      </c>
      <c r="S15">
        <f ca="1">COUNTIFS(Rounds!$C$2:$C$1036,Overall!A15,Rounds!$F$2:$F$1036,Overall!$S$1)</f>
        <v>0</v>
      </c>
      <c r="T15">
        <f ca="1">COUNTIFS(Rounds!$C$2:$C$1036,Overall!A15,Rounds!$F$2:$F$1036,Overall!$T$1)</f>
        <v>0</v>
      </c>
      <c r="U15">
        <f ca="1">COUNTIFS(Rounds!$C$2:$C$1036,Overall!A15,Rounds!$F$2:$F$1036,Overall!$U$1)</f>
        <v>0</v>
      </c>
    </row>
    <row r="16" spans="1:21">
      <c r="A16" t="s">
        <v>52</v>
      </c>
      <c r="B16">
        <f>COUNTIFS(Rounds!$C$2:$C$1036,Overall!A16)</f>
        <v>3</v>
      </c>
      <c r="C16">
        <f>SUMIFS(Rounds!$D$2:$D$1036,Rounds!$C$2:$C$1036,Overall!A16)</f>
        <v>2645</v>
      </c>
      <c r="D16">
        <f>_xlfn.MINIFS(Rounds!$E$2:$E$1036,Rounds!$C$2:$C$1036,Overall!A16)</f>
        <v>430</v>
      </c>
      <c r="E16">
        <f>_xlfn.MAXIFS(Rounds!$E$2:$E$1036,Rounds!$C$2:$C$1036,Overall!A16)</f>
        <v>435</v>
      </c>
      <c r="H16">
        <f ca="1">COUNTIFS(Rounds!$C$2:$C$1036,Overall!A16,Rounds!$F$2:$F$1036,Overall!$H$1)</f>
        <v>0</v>
      </c>
      <c r="I16">
        <f ca="1">COUNTIFS(Rounds!$C$2:$C$1036,Overall!A16,Rounds!$F$2:$F$1036,Overall!$I$1)</f>
        <v>0</v>
      </c>
      <c r="J16">
        <f ca="1">COUNTIFS(Rounds!$C$2:$C$1036,Overall!A16,Rounds!$F$2:$F$1036,Overall!$J$1)</f>
        <v>1</v>
      </c>
      <c r="K16">
        <f ca="1">COUNTIFS(Rounds!$C$2:$C$1036,Overall!A16,Rounds!$F$2:$F$1036,Overall!$K$1)</f>
        <v>2</v>
      </c>
      <c r="L16">
        <f ca="1">COUNTIFS(Rounds!$C$2:$C$1036,Overall!A16,Rounds!$F$2:$F$1036,Overall!$L$1)</f>
        <v>0</v>
      </c>
      <c r="M16">
        <f ca="1">COUNTIFS(Rounds!$C$2:$C$1036,Overall!A16,Rounds!$F$2:$F$1036,Overall!$M$1)</f>
        <v>0</v>
      </c>
      <c r="N16">
        <f ca="1">COUNTIFS(Rounds!$C$2:$C$1036,Overall!A16,Rounds!$F$2:$F$1036,Overall!$N$1)</f>
        <v>0</v>
      </c>
      <c r="O16">
        <f ca="1">COUNTIFS(Rounds!$C$2:$C$1036,Overall!A16,Rounds!$F$2:$F$1036,Overall!$O$1)</f>
        <v>0</v>
      </c>
      <c r="P16">
        <f ca="1">COUNTIFS(Rounds!$C$2:$C$1036,Overall!A16,Rounds!$F$2:$F$1036,Overall!$P$1)</f>
        <v>0</v>
      </c>
      <c r="Q16">
        <f ca="1">COUNTIFS(Rounds!$C$2:$C$1036,Overall!A16,Rounds!$F$2:$F$1036,Overall!$Q$1)</f>
        <v>0</v>
      </c>
      <c r="R16">
        <f ca="1">COUNTIFS(Rounds!$C$2:$C$1036,Overall!A16,Rounds!$F$2:$F$1036,Overall!$R$1)</f>
        <v>0</v>
      </c>
      <c r="S16">
        <f ca="1">COUNTIFS(Rounds!$C$2:$C$1036,Overall!A16,Rounds!$F$2:$F$1036,Overall!$S$1)</f>
        <v>0</v>
      </c>
      <c r="T16">
        <f ca="1">COUNTIFS(Rounds!$C$2:$C$1036,Overall!A16,Rounds!$F$2:$F$1036,Overall!$T$1)</f>
        <v>0</v>
      </c>
      <c r="U16">
        <f ca="1">COUNTIFS(Rounds!$C$2:$C$1036,Overall!A16,Rounds!$F$2:$F$1036,Overall!$U$1)</f>
        <v>0</v>
      </c>
    </row>
  </sheetData>
  <conditionalFormatting sqref="B2:B1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G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G1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U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3217-1BF4-4F9D-B219-37A20F0E3156}">
  <dimension ref="A1:U52"/>
  <sheetViews>
    <sheetView workbookViewId="0">
      <pane xSplit="1" ySplit="1" topLeftCell="D2" activePane="bottomRight" state="frozen"/>
      <selection pane="bottomRight" activeCell="I9" sqref="I9"/>
      <selection pane="bottomLeft"/>
      <selection pane="topRight"/>
    </sheetView>
  </sheetViews>
  <sheetFormatPr defaultRowHeight="15"/>
  <cols>
    <col min="1" max="1" width="36.5703125" style="14" bestFit="1" customWidth="1"/>
    <col min="2" max="2" width="15.42578125" style="14" customWidth="1"/>
    <col min="3" max="3" width="17.140625" style="14" customWidth="1"/>
    <col min="4" max="5" width="12.42578125" style="14" customWidth="1"/>
    <col min="6" max="6" width="26.28515625" style="14" customWidth="1"/>
    <col min="7" max="7" width="9.7109375" style="14" bestFit="1" customWidth="1"/>
    <col min="8" max="9" width="27.7109375" style="41" customWidth="1"/>
    <col min="10" max="10" width="27.7109375" style="30" customWidth="1"/>
    <col min="11" max="11" width="14.7109375" customWidth="1"/>
    <col min="12" max="12" width="11.140625" customWidth="1"/>
    <col min="13" max="13" width="23.28515625" bestFit="1" customWidth="1"/>
    <col min="20" max="20" width="27" bestFit="1" customWidth="1"/>
  </cols>
  <sheetData>
    <row r="1" spans="1:21">
      <c r="A1" s="58" t="s">
        <v>92</v>
      </c>
      <c r="B1" s="58" t="s">
        <v>93</v>
      </c>
      <c r="C1" s="58" t="s">
        <v>94</v>
      </c>
      <c r="D1" s="37" t="s">
        <v>95</v>
      </c>
      <c r="E1" s="37" t="s">
        <v>96</v>
      </c>
      <c r="F1" s="61" t="s">
        <v>97</v>
      </c>
      <c r="G1" s="61" t="s">
        <v>98</v>
      </c>
      <c r="H1" s="38" t="s">
        <v>99</v>
      </c>
      <c r="I1" s="59" t="s">
        <v>100</v>
      </c>
      <c r="J1" s="59" t="s">
        <v>101</v>
      </c>
      <c r="L1" s="14" t="s">
        <v>102</v>
      </c>
      <c r="M1" s="130">
        <v>46722</v>
      </c>
      <c r="N1" s="121"/>
      <c r="O1" s="121"/>
      <c r="S1" t="s">
        <v>103</v>
      </c>
      <c r="T1" t="s">
        <v>97</v>
      </c>
      <c r="U1" t="s">
        <v>68</v>
      </c>
    </row>
    <row r="2" spans="1:21">
      <c r="A2" s="58" t="s">
        <v>104</v>
      </c>
      <c r="B2" s="58" t="s">
        <v>105</v>
      </c>
      <c r="C2" s="58" t="s">
        <v>106</v>
      </c>
      <c r="D2" s="37" t="s">
        <v>107</v>
      </c>
      <c r="E2" s="16" t="s">
        <v>108</v>
      </c>
      <c r="F2" s="37" t="s">
        <v>109</v>
      </c>
      <c r="G2" s="37">
        <f>IF(ISBLANK(F2),"_",VLOOKUP(F2,$T$2:$U$14,2,0))</f>
        <v>1</v>
      </c>
      <c r="H2" s="38"/>
      <c r="I2" s="59"/>
      <c r="J2" s="59" t="s">
        <v>110</v>
      </c>
      <c r="L2" t="s">
        <v>111</v>
      </c>
      <c r="M2" s="43">
        <f ca="1">YEAR(M1)-YEAR(TODAY())</f>
        <v>1</v>
      </c>
      <c r="T2" s="16" t="s">
        <v>109</v>
      </c>
      <c r="U2" s="15">
        <v>1</v>
      </c>
    </row>
    <row r="3" spans="1:21">
      <c r="A3" s="57" t="s">
        <v>112</v>
      </c>
      <c r="B3" s="58" t="s">
        <v>105</v>
      </c>
      <c r="C3" s="58" t="s">
        <v>106</v>
      </c>
      <c r="D3" s="37" t="s">
        <v>107</v>
      </c>
      <c r="E3" s="16" t="s">
        <v>108</v>
      </c>
      <c r="F3" s="37" t="s">
        <v>109</v>
      </c>
      <c r="G3" s="37">
        <f>IF(ISBLANK(F3),"_",VLOOKUP(F3,$T$2:$U$14,2,0))</f>
        <v>1</v>
      </c>
      <c r="H3" s="34"/>
      <c r="I3" s="40" t="s">
        <v>113</v>
      </c>
      <c r="J3" s="40" t="s">
        <v>114</v>
      </c>
      <c r="L3" t="s">
        <v>115</v>
      </c>
      <c r="M3" s="43">
        <f ca="1">(M2*12)+MONTH(M1)-MONTH(TODAY())</f>
        <v>18</v>
      </c>
      <c r="T3" s="16" t="s">
        <v>116</v>
      </c>
      <c r="U3" s="15">
        <v>2</v>
      </c>
    </row>
    <row r="4" spans="1:21">
      <c r="A4" s="57" t="s">
        <v>117</v>
      </c>
      <c r="B4" s="58" t="s">
        <v>105</v>
      </c>
      <c r="C4" s="58" t="s">
        <v>118</v>
      </c>
      <c r="D4" s="37" t="s">
        <v>119</v>
      </c>
      <c r="E4" s="16" t="s">
        <v>120</v>
      </c>
      <c r="F4" s="37" t="s">
        <v>109</v>
      </c>
      <c r="G4" s="37">
        <f>IF(ISBLANK(F4),"_",VLOOKUP(F4,$T$2:$U$14,2,0))</f>
        <v>1</v>
      </c>
      <c r="H4" s="34"/>
      <c r="I4" s="40"/>
      <c r="J4" s="40">
        <v>46053</v>
      </c>
      <c r="L4" t="s">
        <v>121</v>
      </c>
      <c r="M4" s="43">
        <f ca="1">M1-TODAY()</f>
        <v>526</v>
      </c>
      <c r="T4" s="16" t="s">
        <v>122</v>
      </c>
      <c r="U4" s="15">
        <v>3</v>
      </c>
    </row>
    <row r="5" spans="1:21">
      <c r="A5" s="57" t="s">
        <v>123</v>
      </c>
      <c r="B5" s="58" t="s">
        <v>124</v>
      </c>
      <c r="C5" s="58" t="s">
        <v>125</v>
      </c>
      <c r="D5" s="37" t="s">
        <v>119</v>
      </c>
      <c r="E5" s="16" t="s">
        <v>126</v>
      </c>
      <c r="F5" s="37" t="s">
        <v>116</v>
      </c>
      <c r="G5" s="37">
        <f>IF(ISBLANK(F5),"_",VLOOKUP(F5,$T$2:$U$14,2,0))</f>
        <v>2</v>
      </c>
      <c r="H5" s="34"/>
      <c r="I5" s="60"/>
      <c r="J5" s="60"/>
      <c r="M5" s="42"/>
      <c r="T5" s="16" t="s">
        <v>127</v>
      </c>
      <c r="U5" s="15">
        <v>4</v>
      </c>
    </row>
    <row r="6" spans="1:21">
      <c r="A6" s="57" t="s">
        <v>128</v>
      </c>
      <c r="B6" s="58" t="s">
        <v>124</v>
      </c>
      <c r="C6" s="58" t="s">
        <v>129</v>
      </c>
      <c r="D6" s="37" t="s">
        <v>119</v>
      </c>
      <c r="E6" s="16" t="s">
        <v>126</v>
      </c>
      <c r="F6" s="37" t="s">
        <v>116</v>
      </c>
      <c r="G6" s="37">
        <f>IF(ISBLANK(F6),"_",VLOOKUP(F6,$T$2:$U$14,2,0))</f>
        <v>2</v>
      </c>
      <c r="H6" s="40"/>
      <c r="I6" s="40"/>
      <c r="J6" s="40"/>
      <c r="M6" s="42"/>
      <c r="T6" s="16" t="s">
        <v>130</v>
      </c>
      <c r="U6" s="15">
        <v>5</v>
      </c>
    </row>
    <row r="7" spans="1:21">
      <c r="A7" s="57" t="s">
        <v>131</v>
      </c>
      <c r="B7" s="58" t="s">
        <v>124</v>
      </c>
      <c r="C7" s="58" t="s">
        <v>132</v>
      </c>
      <c r="D7" s="37" t="s">
        <v>119</v>
      </c>
      <c r="E7" s="16" t="s">
        <v>126</v>
      </c>
      <c r="F7" s="37" t="s">
        <v>116</v>
      </c>
      <c r="G7" s="37">
        <f>IF(ISBLANK(F7),"_",VLOOKUP(F7,$T$2:$U$14,2,0))</f>
        <v>2</v>
      </c>
      <c r="H7" s="34"/>
      <c r="I7" s="40" t="s">
        <v>133</v>
      </c>
      <c r="J7" s="40"/>
      <c r="M7" s="42"/>
      <c r="T7" s="16" t="s">
        <v>134</v>
      </c>
      <c r="U7" s="15">
        <v>6</v>
      </c>
    </row>
    <row r="8" spans="1:21">
      <c r="A8" s="57" t="s">
        <v>135</v>
      </c>
      <c r="B8" s="57" t="s">
        <v>136</v>
      </c>
      <c r="C8" s="57" t="s">
        <v>125</v>
      </c>
      <c r="D8" s="16" t="s">
        <v>119</v>
      </c>
      <c r="E8" s="16" t="s">
        <v>126</v>
      </c>
      <c r="F8" s="37" t="s">
        <v>116</v>
      </c>
      <c r="G8" s="37">
        <f>IF(ISBLANK(F8),"_",VLOOKUP(F8,$T$2:$U$14,2,0))</f>
        <v>2</v>
      </c>
      <c r="H8" s="34"/>
      <c r="I8" s="40"/>
      <c r="J8" s="40"/>
      <c r="T8" s="16" t="s">
        <v>137</v>
      </c>
      <c r="U8" s="15">
        <v>7</v>
      </c>
    </row>
    <row r="9" spans="1:21">
      <c r="A9" s="57" t="s">
        <v>138</v>
      </c>
      <c r="B9" s="57" t="s">
        <v>136</v>
      </c>
      <c r="C9" s="57" t="s">
        <v>129</v>
      </c>
      <c r="D9" s="16" t="s">
        <v>119</v>
      </c>
      <c r="E9" s="16" t="s">
        <v>126</v>
      </c>
      <c r="F9" s="37" t="s">
        <v>116</v>
      </c>
      <c r="G9" s="37">
        <f>IF(ISBLANK(F9),"_",VLOOKUP(F9,$T$2:$U$14,2,0))</f>
        <v>2</v>
      </c>
      <c r="H9" s="34"/>
      <c r="I9" s="40"/>
      <c r="J9" s="40"/>
      <c r="T9" s="16" t="s">
        <v>139</v>
      </c>
      <c r="U9" s="15">
        <v>10</v>
      </c>
    </row>
    <row r="10" spans="1:21">
      <c r="A10" s="57" t="s">
        <v>140</v>
      </c>
      <c r="B10" s="57" t="s">
        <v>136</v>
      </c>
      <c r="C10" s="57" t="s">
        <v>132</v>
      </c>
      <c r="D10" s="16" t="s">
        <v>119</v>
      </c>
      <c r="E10" s="16" t="s">
        <v>126</v>
      </c>
      <c r="F10" s="37" t="s">
        <v>116</v>
      </c>
      <c r="G10" s="37">
        <f>IF(ISBLANK(F10),"_",VLOOKUP(F10,$T$2:$U$14,2,0))</f>
        <v>2</v>
      </c>
      <c r="H10" s="34"/>
      <c r="I10" s="40"/>
      <c r="J10" s="40"/>
      <c r="T10" s="16" t="s">
        <v>141</v>
      </c>
      <c r="U10" s="15">
        <v>11</v>
      </c>
    </row>
    <row r="11" spans="1:21">
      <c r="A11" s="57" t="s">
        <v>142</v>
      </c>
      <c r="B11" s="57" t="s">
        <v>136</v>
      </c>
      <c r="C11" s="57" t="s">
        <v>125</v>
      </c>
      <c r="D11" s="16" t="s">
        <v>119</v>
      </c>
      <c r="E11" s="16" t="s">
        <v>126</v>
      </c>
      <c r="F11" s="37" t="s">
        <v>116</v>
      </c>
      <c r="G11" s="37">
        <f>IF(ISBLANK(F11),"_",VLOOKUP(F11,$T$2:$U$14,2,0))</f>
        <v>2</v>
      </c>
      <c r="H11" s="34"/>
      <c r="I11" s="40"/>
      <c r="J11" s="40"/>
      <c r="T11" s="16" t="s">
        <v>143</v>
      </c>
      <c r="U11" s="15">
        <v>11</v>
      </c>
    </row>
    <row r="12" spans="1:21">
      <c r="A12" s="57" t="s">
        <v>144</v>
      </c>
      <c r="B12" s="57" t="s">
        <v>136</v>
      </c>
      <c r="C12" s="57" t="s">
        <v>129</v>
      </c>
      <c r="D12" s="16" t="s">
        <v>119</v>
      </c>
      <c r="E12" s="16" t="s">
        <v>126</v>
      </c>
      <c r="F12" s="37" t="s">
        <v>116</v>
      </c>
      <c r="G12" s="37">
        <f>IF(ISBLANK(F12),"_",VLOOKUP(F12,$T$2:$U$14,2,0))</f>
        <v>2</v>
      </c>
      <c r="H12" s="34"/>
      <c r="I12" s="40"/>
      <c r="J12" s="40"/>
      <c r="T12" s="16"/>
      <c r="U12" s="15"/>
    </row>
    <row r="13" spans="1:21">
      <c r="A13" s="57" t="s">
        <v>145</v>
      </c>
      <c r="B13" s="57" t="s">
        <v>136</v>
      </c>
      <c r="C13" s="57" t="s">
        <v>132</v>
      </c>
      <c r="D13" s="16" t="s">
        <v>119</v>
      </c>
      <c r="E13" s="16" t="s">
        <v>126</v>
      </c>
      <c r="F13" s="37" t="s">
        <v>116</v>
      </c>
      <c r="G13" s="37">
        <f>IF(ISBLANK(F13),"_",VLOOKUP(F13,$T$2:$U$14,2,0))</f>
        <v>2</v>
      </c>
      <c r="H13" s="34"/>
      <c r="I13" s="40"/>
      <c r="J13" s="40"/>
      <c r="T13" s="16"/>
      <c r="U13" s="15"/>
    </row>
    <row r="14" spans="1:21">
      <c r="A14" s="57" t="s">
        <v>146</v>
      </c>
      <c r="B14" s="57" t="s">
        <v>136</v>
      </c>
      <c r="C14" s="57" t="s">
        <v>125</v>
      </c>
      <c r="D14" s="16" t="s">
        <v>119</v>
      </c>
      <c r="E14" s="16" t="s">
        <v>126</v>
      </c>
      <c r="F14" s="37" t="s">
        <v>116</v>
      </c>
      <c r="G14" s="37">
        <f>IF(ISBLANK(F14),"_",VLOOKUP(F14,$T$2:$U$14,2,0))</f>
        <v>2</v>
      </c>
      <c r="H14" s="34"/>
      <c r="I14" s="40"/>
      <c r="J14" s="40"/>
      <c r="T14" s="56"/>
      <c r="U14" s="20"/>
    </row>
    <row r="15" spans="1:21">
      <c r="A15" s="57" t="s">
        <v>147</v>
      </c>
      <c r="B15" s="57" t="s">
        <v>148</v>
      </c>
      <c r="C15" s="57" t="s">
        <v>149</v>
      </c>
      <c r="D15" s="16" t="s">
        <v>119</v>
      </c>
      <c r="E15" s="16" t="s">
        <v>126</v>
      </c>
      <c r="F15" s="37" t="s">
        <v>122</v>
      </c>
      <c r="G15" s="37">
        <f>IF(ISBLANK(F15),"_",VLOOKUP(F15,$T$2:$U$14,2,0))</f>
        <v>3</v>
      </c>
      <c r="H15" s="34"/>
      <c r="I15" s="40"/>
      <c r="J15" s="40"/>
    </row>
    <row r="16" spans="1:21">
      <c r="A16" s="57" t="s">
        <v>150</v>
      </c>
      <c r="B16" s="57" t="s">
        <v>151</v>
      </c>
      <c r="C16" s="57" t="s">
        <v>152</v>
      </c>
      <c r="D16" s="16" t="s">
        <v>119</v>
      </c>
      <c r="E16" s="16" t="s">
        <v>152</v>
      </c>
      <c r="F16" s="37" t="s">
        <v>127</v>
      </c>
      <c r="G16" s="37">
        <f>IF(ISBLANK(F16),"_",VLOOKUP(F16,$T$2:$U$14,2,0))</f>
        <v>4</v>
      </c>
      <c r="H16" s="34"/>
      <c r="I16" s="40"/>
      <c r="J16" s="40">
        <v>46053</v>
      </c>
    </row>
    <row r="17" spans="1:10">
      <c r="A17" s="57" t="s">
        <v>153</v>
      </c>
      <c r="B17" s="57" t="s">
        <v>151</v>
      </c>
      <c r="C17" s="57" t="s">
        <v>152</v>
      </c>
      <c r="D17" s="16" t="s">
        <v>119</v>
      </c>
      <c r="E17" s="16" t="s">
        <v>152</v>
      </c>
      <c r="F17" s="37" t="s">
        <v>127</v>
      </c>
      <c r="G17" s="37">
        <f>IF(ISBLANK(F17),"_",VLOOKUP(F17,$T$2:$U$14,2,0))</f>
        <v>4</v>
      </c>
      <c r="H17" s="34"/>
      <c r="I17" s="40"/>
      <c r="J17" s="40">
        <v>46053</v>
      </c>
    </row>
    <row r="18" spans="1:10">
      <c r="A18" s="57" t="s">
        <v>154</v>
      </c>
      <c r="B18" s="57" t="s">
        <v>105</v>
      </c>
      <c r="C18" s="57" t="s">
        <v>118</v>
      </c>
      <c r="D18" s="16" t="s">
        <v>119</v>
      </c>
      <c r="E18" s="16" t="s">
        <v>120</v>
      </c>
      <c r="F18" s="37" t="s">
        <v>127</v>
      </c>
      <c r="G18" s="37">
        <f>IF(ISBLANK(F18),"_",VLOOKUP(F18,$T$2:$U$14,2,0))</f>
        <v>4</v>
      </c>
      <c r="H18" s="34"/>
      <c r="I18" s="40"/>
      <c r="J18" s="40">
        <v>46053</v>
      </c>
    </row>
    <row r="19" spans="1:10">
      <c r="A19" s="57" t="s">
        <v>155</v>
      </c>
      <c r="B19" s="57" t="s">
        <v>156</v>
      </c>
      <c r="C19" s="57" t="s">
        <v>152</v>
      </c>
      <c r="D19" s="16" t="s">
        <v>119</v>
      </c>
      <c r="E19" s="16" t="s">
        <v>126</v>
      </c>
      <c r="F19" s="37" t="s">
        <v>130</v>
      </c>
      <c r="G19" s="37">
        <f>IF(ISBLANK(F19),"_",VLOOKUP(F19,$T$2:$U$14,2,0))</f>
        <v>5</v>
      </c>
      <c r="H19" s="34"/>
      <c r="I19" s="40"/>
      <c r="J19" s="40">
        <v>46053</v>
      </c>
    </row>
    <row r="20" spans="1:10">
      <c r="A20" s="57" t="s">
        <v>157</v>
      </c>
      <c r="B20" s="57" t="s">
        <v>105</v>
      </c>
      <c r="C20" s="57" t="s">
        <v>158</v>
      </c>
      <c r="D20" s="16" t="s">
        <v>107</v>
      </c>
      <c r="E20" s="16" t="s">
        <v>120</v>
      </c>
      <c r="F20" s="16" t="s">
        <v>130</v>
      </c>
      <c r="G20" s="37">
        <f>IF(ISBLANK(F20),"_",VLOOKUP(F20,$T$2:$U$14,2,0))</f>
        <v>5</v>
      </c>
      <c r="H20" s="34"/>
      <c r="I20" s="40"/>
      <c r="J20" s="40" t="s">
        <v>159</v>
      </c>
    </row>
    <row r="21" spans="1:10">
      <c r="A21" s="57" t="s">
        <v>160</v>
      </c>
      <c r="B21" s="57" t="s">
        <v>105</v>
      </c>
      <c r="C21" s="57" t="s">
        <v>118</v>
      </c>
      <c r="D21" s="16" t="s">
        <v>119</v>
      </c>
      <c r="E21" s="16" t="s">
        <v>120</v>
      </c>
      <c r="F21" s="16" t="s">
        <v>130</v>
      </c>
      <c r="G21" s="37">
        <f>IF(ISBLANK(F21),"_",VLOOKUP(F21,$T$2:$U$14,2,0))</f>
        <v>5</v>
      </c>
      <c r="H21" s="34"/>
      <c r="I21" s="40"/>
      <c r="J21" s="40">
        <v>46053</v>
      </c>
    </row>
    <row r="22" spans="1:10" ht="30.75">
      <c r="A22" s="77" t="s">
        <v>161</v>
      </c>
      <c r="B22" s="57" t="s">
        <v>105</v>
      </c>
      <c r="C22" s="57" t="s">
        <v>118</v>
      </c>
      <c r="D22" s="16" t="s">
        <v>107</v>
      </c>
      <c r="E22" s="16" t="s">
        <v>120</v>
      </c>
      <c r="F22" s="16" t="s">
        <v>130</v>
      </c>
      <c r="G22" s="37">
        <f>IF(ISBLANK(F22),"_",VLOOKUP(F22,$T$2:$U$14,2,0))</f>
        <v>5</v>
      </c>
      <c r="H22" s="34"/>
      <c r="I22" s="40"/>
      <c r="J22" s="40"/>
    </row>
    <row r="23" spans="1:10">
      <c r="A23" s="77" t="s">
        <v>162</v>
      </c>
      <c r="B23" s="57" t="s">
        <v>105</v>
      </c>
      <c r="C23" s="57" t="s">
        <v>118</v>
      </c>
      <c r="D23" s="16" t="s">
        <v>107</v>
      </c>
      <c r="E23" s="16" t="s">
        <v>120</v>
      </c>
      <c r="F23" s="16" t="s">
        <v>130</v>
      </c>
      <c r="G23" s="37">
        <f>IF(ISBLANK(F23),"_",VLOOKUP(F23,$T$2:$U$14,2,0))</f>
        <v>5</v>
      </c>
      <c r="H23" s="34"/>
      <c r="I23" s="40"/>
      <c r="J23" s="40"/>
    </row>
    <row r="24" spans="1:10">
      <c r="A24" s="77" t="s">
        <v>163</v>
      </c>
      <c r="B24" s="57" t="s">
        <v>105</v>
      </c>
      <c r="C24" s="57" t="s">
        <v>118</v>
      </c>
      <c r="D24" s="16" t="s">
        <v>107</v>
      </c>
      <c r="E24" s="16" t="s">
        <v>120</v>
      </c>
      <c r="F24" s="16" t="s">
        <v>130</v>
      </c>
      <c r="G24" s="37">
        <f>IF(ISBLANK(F24),"_",VLOOKUP(F24,$T$2:$U$14,2,0))</f>
        <v>5</v>
      </c>
      <c r="H24" s="34"/>
      <c r="I24" s="40"/>
      <c r="J24" s="40"/>
    </row>
    <row r="25" spans="1:10">
      <c r="A25" s="57" t="s">
        <v>164</v>
      </c>
      <c r="B25" s="57" t="s">
        <v>105</v>
      </c>
      <c r="C25" s="57" t="s">
        <v>106</v>
      </c>
      <c r="D25" s="16" t="s">
        <v>107</v>
      </c>
      <c r="E25" s="16" t="s">
        <v>152</v>
      </c>
      <c r="F25" s="16" t="s">
        <v>137</v>
      </c>
      <c r="G25" s="37">
        <f>IF(ISBLANK(F25),"_",VLOOKUP(F25,$T$2:$U$14,2,0))</f>
        <v>7</v>
      </c>
      <c r="H25" s="34"/>
      <c r="I25" s="40"/>
      <c r="J25" s="40" t="s">
        <v>110</v>
      </c>
    </row>
    <row r="26" spans="1:10">
      <c r="A26" s="57" t="s">
        <v>165</v>
      </c>
      <c r="B26" s="57" t="s">
        <v>105</v>
      </c>
      <c r="C26" s="57" t="s">
        <v>118</v>
      </c>
      <c r="D26" s="16" t="s">
        <v>107</v>
      </c>
      <c r="E26" s="16" t="s">
        <v>120</v>
      </c>
      <c r="F26" s="16" t="s">
        <v>137</v>
      </c>
      <c r="G26" s="37">
        <f>IF(ISBLANK(F26),"_",VLOOKUP(F26,$T$2:$U$14,2,0))</f>
        <v>7</v>
      </c>
      <c r="H26" s="34"/>
      <c r="I26" s="40"/>
      <c r="J26" s="40" t="s">
        <v>166</v>
      </c>
    </row>
    <row r="27" spans="1:10">
      <c r="A27" s="57" t="s">
        <v>167</v>
      </c>
      <c r="B27" s="57" t="s">
        <v>105</v>
      </c>
      <c r="C27" s="57" t="s">
        <v>118</v>
      </c>
      <c r="D27" s="16" t="s">
        <v>107</v>
      </c>
      <c r="E27" s="16" t="s">
        <v>120</v>
      </c>
      <c r="F27" s="16" t="s">
        <v>137</v>
      </c>
      <c r="G27" s="37">
        <f>IF(ISBLANK(F27),"_",VLOOKUP(F27,$T$2:$U$14,2,0))</f>
        <v>7</v>
      </c>
      <c r="H27" s="34"/>
      <c r="I27" s="40"/>
      <c r="J27" s="40" t="s">
        <v>166</v>
      </c>
    </row>
    <row r="28" spans="1:10">
      <c r="A28" s="57" t="s">
        <v>168</v>
      </c>
      <c r="B28" s="57" t="s">
        <v>156</v>
      </c>
      <c r="C28" s="57" t="s">
        <v>152</v>
      </c>
      <c r="D28" s="16" t="s">
        <v>107</v>
      </c>
      <c r="E28" s="16" t="s">
        <v>169</v>
      </c>
      <c r="F28" s="16" t="s">
        <v>137</v>
      </c>
      <c r="G28" s="37">
        <f>IF(ISBLANK(F28),"_",VLOOKUP(F28,$T$2:$U$14,2,0))</f>
        <v>7</v>
      </c>
      <c r="H28" s="34"/>
      <c r="I28" s="40"/>
      <c r="J28" s="40"/>
    </row>
    <row r="29" spans="1:10">
      <c r="A29" s="57" t="s">
        <v>170</v>
      </c>
      <c r="B29" s="57" t="s">
        <v>171</v>
      </c>
      <c r="C29" s="57" t="s">
        <v>129</v>
      </c>
      <c r="D29" s="16" t="s">
        <v>119</v>
      </c>
      <c r="E29" s="16" t="s">
        <v>126</v>
      </c>
      <c r="F29" s="16" t="s">
        <v>139</v>
      </c>
      <c r="G29" s="37">
        <f>IF(ISBLANK(F29),"_",VLOOKUP(F29,$T$2:$U$14,2,0))</f>
        <v>10</v>
      </c>
      <c r="H29" s="34">
        <v>46087</v>
      </c>
      <c r="I29" s="40" t="s">
        <v>172</v>
      </c>
      <c r="J29" s="40"/>
    </row>
    <row r="30" spans="1:10">
      <c r="A30" s="57" t="s">
        <v>173</v>
      </c>
      <c r="B30" s="57" t="s">
        <v>136</v>
      </c>
      <c r="C30" s="57" t="s">
        <v>129</v>
      </c>
      <c r="D30" s="16" t="s">
        <v>119</v>
      </c>
      <c r="E30" s="16" t="s">
        <v>126</v>
      </c>
      <c r="F30" s="16" t="s">
        <v>139</v>
      </c>
      <c r="G30" s="37">
        <f>IF(ISBLANK(F30),"_",VLOOKUP(F30,$T$2:$U$14,2,0))</f>
        <v>10</v>
      </c>
      <c r="H30" s="34">
        <v>46052</v>
      </c>
      <c r="I30" s="40"/>
      <c r="J30" s="40"/>
    </row>
    <row r="31" spans="1:10">
      <c r="A31" s="57" t="s">
        <v>174</v>
      </c>
      <c r="B31" s="57" t="s">
        <v>136</v>
      </c>
      <c r="C31" s="57" t="s">
        <v>132</v>
      </c>
      <c r="D31" s="16" t="s">
        <v>119</v>
      </c>
      <c r="E31" s="16" t="s">
        <v>126</v>
      </c>
      <c r="F31" s="16" t="s">
        <v>139</v>
      </c>
      <c r="G31" s="37">
        <f>IF(ISBLANK(F31),"_",VLOOKUP(F31,$T$2:$U$14,2,0))</f>
        <v>10</v>
      </c>
      <c r="H31" s="34"/>
      <c r="I31" s="40"/>
      <c r="J31" s="40"/>
    </row>
    <row r="32" spans="1:10">
      <c r="A32" s="57" t="s">
        <v>175</v>
      </c>
      <c r="B32" s="57" t="s">
        <v>176</v>
      </c>
      <c r="C32" s="57" t="s">
        <v>132</v>
      </c>
      <c r="D32" s="16" t="s">
        <v>119</v>
      </c>
      <c r="E32" s="16" t="s">
        <v>126</v>
      </c>
      <c r="F32" s="16" t="s">
        <v>139</v>
      </c>
      <c r="G32" s="37">
        <f>IF(ISBLANK(F32),"_",VLOOKUP(F32,$T$2:$U$14,2,0))</f>
        <v>10</v>
      </c>
      <c r="H32" s="34">
        <v>46042</v>
      </c>
      <c r="I32" s="40" t="s">
        <v>133</v>
      </c>
      <c r="J32" s="40"/>
    </row>
    <row r="33" spans="1:10">
      <c r="A33" s="57" t="s">
        <v>177</v>
      </c>
      <c r="B33" s="57" t="s">
        <v>176</v>
      </c>
      <c r="C33" s="57" t="s">
        <v>125</v>
      </c>
      <c r="D33" s="16" t="s">
        <v>119</v>
      </c>
      <c r="E33" s="16" t="s">
        <v>126</v>
      </c>
      <c r="F33" s="16" t="s">
        <v>139</v>
      </c>
      <c r="G33" s="37">
        <f>IF(ISBLANK(F33),"_",VLOOKUP(F33,$T$2:$U$14,2,0))</f>
        <v>10</v>
      </c>
      <c r="H33" s="34">
        <v>46134</v>
      </c>
      <c r="I33" s="40"/>
      <c r="J33" s="40"/>
    </row>
    <row r="34" spans="1:10">
      <c r="A34" s="57" t="s">
        <v>178</v>
      </c>
      <c r="B34" s="57" t="s">
        <v>105</v>
      </c>
      <c r="C34" s="57" t="s">
        <v>118</v>
      </c>
      <c r="D34" s="16" t="s">
        <v>119</v>
      </c>
      <c r="E34" s="16" t="s">
        <v>120</v>
      </c>
      <c r="F34" s="76" t="s">
        <v>139</v>
      </c>
      <c r="G34" s="37">
        <f>IF(ISBLANK(F34),"_",VLOOKUP(F34,$T$2:$U$14,2,0))</f>
        <v>10</v>
      </c>
      <c r="H34" s="34"/>
      <c r="I34" s="40"/>
      <c r="J34" s="40">
        <v>46053</v>
      </c>
    </row>
    <row r="35" spans="1:10">
      <c r="A35" s="57" t="s">
        <v>179</v>
      </c>
      <c r="B35" s="57" t="s">
        <v>105</v>
      </c>
      <c r="C35" s="57" t="s">
        <v>158</v>
      </c>
      <c r="D35" s="16" t="s">
        <v>107</v>
      </c>
      <c r="E35" s="16" t="s">
        <v>152</v>
      </c>
      <c r="F35" s="16" t="s">
        <v>139</v>
      </c>
      <c r="G35" s="37">
        <f>IF(ISBLANK(F35),"_",VLOOKUP(F35,$T$2:$U$14,2,0))</f>
        <v>10</v>
      </c>
      <c r="H35" s="34"/>
      <c r="I35" s="40"/>
      <c r="J35" s="40">
        <v>46052</v>
      </c>
    </row>
    <row r="36" spans="1:10">
      <c r="A36" s="57" t="s">
        <v>180</v>
      </c>
      <c r="B36" s="57" t="s">
        <v>105</v>
      </c>
      <c r="C36" s="57" t="s">
        <v>118</v>
      </c>
      <c r="D36" s="16" t="s">
        <v>119</v>
      </c>
      <c r="E36" s="16" t="s">
        <v>126</v>
      </c>
      <c r="F36" s="16" t="s">
        <v>139</v>
      </c>
      <c r="G36" s="37">
        <f>IF(ISBLANK(F36),"_",VLOOKUP(F36,$T$2:$U$14,2,0))</f>
        <v>10</v>
      </c>
      <c r="H36" s="34"/>
      <c r="I36" s="40"/>
      <c r="J36" s="40">
        <v>46051</v>
      </c>
    </row>
    <row r="37" spans="1:10">
      <c r="A37" s="57" t="s">
        <v>181</v>
      </c>
      <c r="B37" s="57" t="s">
        <v>105</v>
      </c>
      <c r="C37" s="57" t="s">
        <v>118</v>
      </c>
      <c r="D37" s="16" t="s">
        <v>107</v>
      </c>
      <c r="E37" s="16" t="s">
        <v>107</v>
      </c>
      <c r="F37" s="16" t="s">
        <v>139</v>
      </c>
      <c r="G37" s="37">
        <f>IF(ISBLANK(F37),"_",VLOOKUP(F37,$T$2:$U$14,2,0))</f>
        <v>10</v>
      </c>
      <c r="H37" s="34"/>
      <c r="I37" s="40"/>
      <c r="J37" s="40">
        <v>46058</v>
      </c>
    </row>
    <row r="38" spans="1:10">
      <c r="A38" s="57" t="s">
        <v>182</v>
      </c>
      <c r="B38" s="57" t="s">
        <v>105</v>
      </c>
      <c r="C38" s="57" t="s">
        <v>158</v>
      </c>
      <c r="D38" s="16" t="s">
        <v>107</v>
      </c>
      <c r="E38" s="16" t="s">
        <v>107</v>
      </c>
      <c r="F38" s="16" t="s">
        <v>139</v>
      </c>
      <c r="G38" s="37">
        <f>IF(ISBLANK(F38),"_",VLOOKUP(F38,$T$2:$U$14,2,0))</f>
        <v>10</v>
      </c>
      <c r="H38" s="34"/>
      <c r="I38" s="40"/>
      <c r="J38" s="40" t="s">
        <v>114</v>
      </c>
    </row>
    <row r="39" spans="1:10">
      <c r="A39" s="57" t="s">
        <v>183</v>
      </c>
      <c r="B39" s="57" t="s">
        <v>136</v>
      </c>
      <c r="C39" s="57" t="s">
        <v>184</v>
      </c>
      <c r="D39" s="16" t="s">
        <v>119</v>
      </c>
      <c r="E39" s="16" t="s">
        <v>126</v>
      </c>
      <c r="F39" s="16" t="s">
        <v>139</v>
      </c>
      <c r="G39" s="37">
        <f>IF(ISBLANK(F39),"_",VLOOKUP(F39,$T$2:$U$14,2,0))</f>
        <v>10</v>
      </c>
      <c r="H39" s="34">
        <v>46034</v>
      </c>
      <c r="I39" s="40"/>
      <c r="J39" s="40"/>
    </row>
    <row r="40" spans="1:10">
      <c r="A40" s="57" t="s">
        <v>185</v>
      </c>
      <c r="B40" s="57" t="s">
        <v>105</v>
      </c>
      <c r="C40" s="57" t="s">
        <v>118</v>
      </c>
      <c r="D40" s="16" t="s">
        <v>119</v>
      </c>
      <c r="E40" s="16" t="s">
        <v>126</v>
      </c>
      <c r="F40" s="16" t="s">
        <v>139</v>
      </c>
      <c r="G40" s="37">
        <f>IF(ISBLANK(F40),"_",VLOOKUP(F40,$T$2:$U$14,2,0))</f>
        <v>10</v>
      </c>
      <c r="H40" s="34">
        <v>46034</v>
      </c>
      <c r="I40" s="40"/>
      <c r="J40" s="40"/>
    </row>
    <row r="41" spans="1:10">
      <c r="A41" s="57" t="s">
        <v>186</v>
      </c>
      <c r="B41" s="57" t="s">
        <v>148</v>
      </c>
      <c r="C41" s="57" t="s">
        <v>149</v>
      </c>
      <c r="D41" s="16" t="s">
        <v>119</v>
      </c>
      <c r="E41" s="16" t="s">
        <v>126</v>
      </c>
      <c r="F41" s="16" t="s">
        <v>139</v>
      </c>
      <c r="G41" s="37">
        <f>IF(ISBLANK(F41),"_",VLOOKUP(F41,$T$2:$U$14,2,0))</f>
        <v>10</v>
      </c>
      <c r="H41" s="34"/>
      <c r="I41" s="40"/>
      <c r="J41" s="40"/>
    </row>
    <row r="42" spans="1:10">
      <c r="A42" s="57" t="s">
        <v>187</v>
      </c>
      <c r="B42" s="57" t="s">
        <v>105</v>
      </c>
      <c r="C42" s="57" t="s">
        <v>118</v>
      </c>
      <c r="D42" s="16" t="s">
        <v>119</v>
      </c>
      <c r="E42" s="16" t="s">
        <v>126</v>
      </c>
      <c r="F42" s="16" t="s">
        <v>139</v>
      </c>
      <c r="G42" s="37">
        <f>IF(ISBLANK(F42),"_",VLOOKUP(F42,$T$2:$U$14,2,0))</f>
        <v>10</v>
      </c>
      <c r="H42" s="34">
        <v>46036</v>
      </c>
      <c r="I42" s="40"/>
      <c r="J42" s="40"/>
    </row>
    <row r="43" spans="1:10">
      <c r="A43" s="57" t="s">
        <v>188</v>
      </c>
      <c r="B43" s="57" t="s">
        <v>156</v>
      </c>
      <c r="C43" s="57" t="s">
        <v>152</v>
      </c>
      <c r="D43" s="16" t="s">
        <v>119</v>
      </c>
      <c r="E43" s="16" t="s">
        <v>126</v>
      </c>
      <c r="F43" s="16" t="s">
        <v>139</v>
      </c>
      <c r="G43" s="37">
        <f>IF(ISBLANK(F43),"_",VLOOKUP(F43,$T$2:$U$14,2,0))</f>
        <v>10</v>
      </c>
      <c r="H43" s="34">
        <v>46037</v>
      </c>
      <c r="I43" s="40"/>
      <c r="J43" s="40"/>
    </row>
    <row r="44" spans="1:10">
      <c r="A44" s="57" t="s">
        <v>189</v>
      </c>
      <c r="B44" s="57" t="s">
        <v>176</v>
      </c>
      <c r="C44" s="57" t="s">
        <v>129</v>
      </c>
      <c r="D44" s="16" t="s">
        <v>119</v>
      </c>
      <c r="E44" s="16" t="s">
        <v>126</v>
      </c>
      <c r="F44" s="16" t="s">
        <v>141</v>
      </c>
      <c r="G44" s="37">
        <f>IF(ISBLANK(F44),"_",VLOOKUP(F44,$T$2:$U$14,2,0))</f>
        <v>11</v>
      </c>
      <c r="H44" s="34"/>
      <c r="I44" s="40"/>
      <c r="J44" s="40"/>
    </row>
    <row r="45" spans="1:10">
      <c r="A45" s="57" t="s">
        <v>190</v>
      </c>
      <c r="B45" s="57" t="s">
        <v>105</v>
      </c>
      <c r="C45" s="57" t="s">
        <v>106</v>
      </c>
      <c r="D45" s="16" t="s">
        <v>107</v>
      </c>
      <c r="E45" s="16" t="s">
        <v>107</v>
      </c>
      <c r="F45" s="16" t="s">
        <v>143</v>
      </c>
      <c r="G45" s="37">
        <f>IF(ISBLANK(F45),"_",VLOOKUP(F45,$T$2:$U$14,2,0))</f>
        <v>11</v>
      </c>
      <c r="H45" s="34">
        <v>46094</v>
      </c>
      <c r="I45" s="40"/>
      <c r="J45" s="40" t="s">
        <v>143</v>
      </c>
    </row>
    <row r="46" spans="1:10">
      <c r="A46" s="57" t="s">
        <v>191</v>
      </c>
      <c r="B46" s="57" t="s">
        <v>148</v>
      </c>
      <c r="C46" s="57" t="s">
        <v>192</v>
      </c>
      <c r="D46" s="16" t="s">
        <v>119</v>
      </c>
      <c r="E46" s="16" t="s">
        <v>126</v>
      </c>
      <c r="F46" s="16" t="s">
        <v>141</v>
      </c>
      <c r="G46" s="37">
        <f>IF(ISBLANK(F46),"_",VLOOKUP(F46,$T$2:$U$14,2,0))</f>
        <v>11</v>
      </c>
      <c r="H46" s="34">
        <v>46094</v>
      </c>
      <c r="I46" s="40"/>
      <c r="J46" s="40" t="s">
        <v>193</v>
      </c>
    </row>
    <row r="47" spans="1:10">
      <c r="A47" s="57"/>
      <c r="B47" s="57"/>
      <c r="C47" s="57"/>
      <c r="D47" s="16"/>
      <c r="E47" s="16"/>
      <c r="F47" s="16"/>
      <c r="G47" s="37" t="str">
        <f>IF(ISBLANK(F47),"_",VLOOKUP(F47,$T$2:$U$14,2,0))</f>
        <v>_</v>
      </c>
      <c r="H47" s="34"/>
      <c r="I47" s="40"/>
      <c r="J47" s="40"/>
    </row>
    <row r="48" spans="1:10">
      <c r="A48" s="57"/>
      <c r="B48" s="57"/>
      <c r="C48" s="57"/>
      <c r="D48" s="16"/>
      <c r="E48" s="16"/>
      <c r="F48" s="16"/>
      <c r="G48" s="37" t="str">
        <f>IF(ISBLANK(F48),"_",VLOOKUP(F48,$T$2:$U$14,2,0))</f>
        <v>_</v>
      </c>
      <c r="H48" s="34"/>
      <c r="I48" s="40"/>
      <c r="J48" s="40"/>
    </row>
    <row r="49" spans="1:10">
      <c r="A49" s="57"/>
      <c r="B49" s="57"/>
      <c r="C49" s="57"/>
      <c r="D49" s="16"/>
      <c r="E49" s="16"/>
      <c r="F49" s="16"/>
      <c r="G49" s="37" t="str">
        <f>IF(ISBLANK(F49),"_",VLOOKUP(F49,$T$2:$U$14,2,0))</f>
        <v>_</v>
      </c>
      <c r="H49" s="34"/>
      <c r="I49" s="40"/>
      <c r="J49" s="40"/>
    </row>
    <row r="50" spans="1:10">
      <c r="A50" s="57"/>
      <c r="B50" s="57"/>
      <c r="C50" s="57"/>
      <c r="D50" s="16"/>
      <c r="E50" s="16"/>
      <c r="F50" s="16"/>
      <c r="G50" s="37" t="str">
        <f>IF(ISBLANK(F50),"_",VLOOKUP(F50,$T$2:$U$14,2,0))</f>
        <v>_</v>
      </c>
      <c r="H50" s="34"/>
      <c r="I50" s="40"/>
      <c r="J50" s="40"/>
    </row>
    <row r="51" spans="1:10">
      <c r="A51" s="62"/>
      <c r="B51" s="62"/>
      <c r="C51" s="62"/>
      <c r="D51" s="56"/>
      <c r="E51" s="56"/>
      <c r="F51" s="56"/>
      <c r="G51" s="63" t="str">
        <f>IF(ISBLANK(F51),"_",VLOOKUP(F51,$T$2:$U$14,2,0))</f>
        <v>_</v>
      </c>
      <c r="H51" s="39"/>
      <c r="I51" s="60"/>
      <c r="J51" s="60"/>
    </row>
    <row r="52" spans="1:10">
      <c r="H52" s="30"/>
      <c r="I52" s="30"/>
    </row>
  </sheetData>
  <mergeCells count="1">
    <mergeCell ref="M1:O1"/>
  </mergeCells>
  <conditionalFormatting sqref="F2:G51">
    <cfRule type="cellIs" dxfId="25" priority="9" operator="equal">
      <formula>"Done"</formula>
    </cfRule>
  </conditionalFormatting>
  <conditionalFormatting sqref="F2:G51">
    <cfRule type="cellIs" dxfId="24" priority="8" operator="equal">
      <formula>"In Progress (Residency)"</formula>
    </cfRule>
  </conditionalFormatting>
  <conditionalFormatting sqref="F2:G51">
    <cfRule type="cellIs" dxfId="23" priority="7" operator="equal">
      <formula>"Start Soon"</formula>
    </cfRule>
  </conditionalFormatting>
  <conditionalFormatting sqref="F2:G51">
    <cfRule type="cellIs" dxfId="22" priority="6" operator="equal">
      <formula>"Start On Required Time"</formula>
    </cfRule>
  </conditionalFormatting>
  <conditionalFormatting sqref="F2:G51">
    <cfRule type="cellIs" dxfId="21" priority="5" operator="equal">
      <formula>"Start in Parallel"</formula>
    </cfRule>
  </conditionalFormatting>
  <conditionalFormatting sqref="G2:G5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51">
    <cfRule type="cellIs" dxfId="20" priority="3" operator="equal">
      <formula>"Done, Required Validation"</formula>
    </cfRule>
  </conditionalFormatting>
  <conditionalFormatting sqref="F2:F51">
    <cfRule type="cellIs" dxfId="19" priority="2" operator="equal">
      <formula>"Done, Testing other situations"</formula>
    </cfRule>
  </conditionalFormatting>
  <conditionalFormatting sqref="F2:F51">
    <cfRule type="cellIs" dxfId="18" priority="1" operator="equal">
      <formula>"In Progress (PR)"</formula>
    </cfRule>
  </conditionalFormatting>
  <dataValidations count="2">
    <dataValidation allowBlank="1" showInputMessage="1" showErrorMessage="1" sqref="G1:G1048576" xr:uid="{570F670A-FE72-4B80-9C57-0501708E9701}"/>
    <dataValidation type="list" allowBlank="1" showInputMessage="1" showErrorMessage="1" sqref="F2:F51" xr:uid="{CC180A93-F81B-4EDC-BFBA-0AA7D434837D}">
      <formula1>$T$2:$T$14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31DB-B6EF-4B96-8B99-6FB5AC3597B3}">
  <dimension ref="A1:B5"/>
  <sheetViews>
    <sheetView workbookViewId="0">
      <selection activeCell="E9" sqref="E9"/>
    </sheetView>
  </sheetViews>
  <sheetFormatPr defaultRowHeight="15"/>
  <sheetData>
    <row r="1" spans="1:2">
      <c r="A1" t="s">
        <v>194</v>
      </c>
    </row>
    <row r="2" spans="1:2">
      <c r="A2">
        <v>1</v>
      </c>
      <c r="B2" s="75" t="s">
        <v>195</v>
      </c>
    </row>
    <row r="3" spans="1:2">
      <c r="A3">
        <v>2</v>
      </c>
      <c r="B3" s="75" t="s">
        <v>196</v>
      </c>
    </row>
    <row r="4" spans="1:2">
      <c r="A4">
        <v>3</v>
      </c>
      <c r="B4" s="75" t="s">
        <v>197</v>
      </c>
    </row>
    <row r="5" spans="1:2">
      <c r="A5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93F3-E9D8-44B0-AEE7-93625C201FB5}">
  <dimension ref="A1:AF5000"/>
  <sheetViews>
    <sheetView workbookViewId="0">
      <pane ySplit="1" topLeftCell="I3" activePane="bottomLeft" state="frozen"/>
      <selection pane="bottomLeft" activeCell="I3" sqref="I3"/>
    </sheetView>
  </sheetViews>
  <sheetFormatPr defaultRowHeight="15"/>
  <cols>
    <col min="1" max="1" width="29.7109375" customWidth="1"/>
    <col min="2" max="2" width="17.140625" style="32" customWidth="1"/>
    <col min="3" max="3" width="11.28515625" customWidth="1"/>
    <col min="8" max="8" width="15.42578125" customWidth="1"/>
    <col min="9" max="9" width="29" customWidth="1"/>
  </cols>
  <sheetData>
    <row r="1" spans="1:32">
      <c r="A1" t="s">
        <v>33</v>
      </c>
      <c r="B1" s="32" t="s">
        <v>198</v>
      </c>
      <c r="C1" t="s">
        <v>97</v>
      </c>
      <c r="D1" t="s">
        <v>199</v>
      </c>
      <c r="E1" t="s">
        <v>83</v>
      </c>
      <c r="F1" t="s">
        <v>200</v>
      </c>
      <c r="H1" t="s">
        <v>201</v>
      </c>
      <c r="I1">
        <v>1095</v>
      </c>
      <c r="J1">
        <f>I5</f>
        <v>0</v>
      </c>
      <c r="AE1" t="s">
        <v>202</v>
      </c>
    </row>
    <row r="2" spans="1:32">
      <c r="A2" s="30">
        <v>43092</v>
      </c>
      <c r="C2" t="s">
        <v>203</v>
      </c>
      <c r="D2">
        <f>IF(B2=$AB$2,$AC$2,$AC$3)</f>
        <v>0</v>
      </c>
      <c r="E2">
        <f>IF(ISBLANK(C2),0,VLOOKUP(C2,$AE$2:$AF$7,2,0))</f>
        <v>0.5</v>
      </c>
      <c r="F2">
        <f>D2*E2</f>
        <v>0</v>
      </c>
      <c r="H2" t="s">
        <v>204</v>
      </c>
      <c r="I2" s="53">
        <v>47571</v>
      </c>
      <c r="AB2" s="15" t="s">
        <v>199</v>
      </c>
      <c r="AC2" s="15">
        <v>1</v>
      </c>
      <c r="AE2" s="15" t="s">
        <v>203</v>
      </c>
      <c r="AF2" s="15">
        <v>0.5</v>
      </c>
    </row>
    <row r="3" spans="1:32">
      <c r="A3" s="30">
        <f>A2+1</f>
        <v>43093</v>
      </c>
      <c r="C3" t="s">
        <v>203</v>
      </c>
      <c r="D3">
        <f>IF(B3=$AB$2,$AC$2,$AC$3)</f>
        <v>0</v>
      </c>
      <c r="E3">
        <f>IF(ISBLANK(C3),0,VLOOKUP(C3,$AE$2:$AF$7,2,0))</f>
        <v>0.5</v>
      </c>
      <c r="F3">
        <f t="shared" ref="F3:F66" si="0">D3*E3</f>
        <v>0</v>
      </c>
      <c r="H3" t="s">
        <v>205</v>
      </c>
      <c r="I3" s="30">
        <f>I2-(5*365)</f>
        <v>45746</v>
      </c>
      <c r="AB3" s="15" t="s">
        <v>206</v>
      </c>
      <c r="AC3" s="15">
        <v>0</v>
      </c>
      <c r="AE3" s="15" t="s">
        <v>207</v>
      </c>
      <c r="AF3" s="15">
        <v>0.5</v>
      </c>
    </row>
    <row r="4" spans="1:32">
      <c r="A4" s="30">
        <f t="shared" ref="A4:A67" si="1">A3+1</f>
        <v>43094</v>
      </c>
      <c r="C4" t="s">
        <v>203</v>
      </c>
      <c r="D4">
        <f>IF(B4=$AB$2,$AC$2,$AC$3)</f>
        <v>0</v>
      </c>
      <c r="E4">
        <f>IF(ISBLANK(C4),0,VLOOKUP(C4,$AE$2:$AF$7,2,0))</f>
        <v>0.5</v>
      </c>
      <c r="F4">
        <f t="shared" si="0"/>
        <v>0</v>
      </c>
      <c r="H4" t="s">
        <v>30</v>
      </c>
      <c r="I4">
        <f>SUMIFS(F2:F5000,A2:A5000,"&gt;="&amp;I3,A2:A5000,"&lt;="&amp;I2)</f>
        <v>1095</v>
      </c>
      <c r="AE4" s="15" t="s">
        <v>208</v>
      </c>
      <c r="AF4" s="15">
        <v>0.5</v>
      </c>
    </row>
    <row r="5" spans="1:32">
      <c r="A5" s="30">
        <f t="shared" si="1"/>
        <v>43095</v>
      </c>
      <c r="C5" t="s">
        <v>203</v>
      </c>
      <c r="D5">
        <f>IF(B5=$AB$2,$AC$2,$AC$3)</f>
        <v>0</v>
      </c>
      <c r="E5">
        <f>IF(ISBLANK(C5),0,VLOOKUP(C5,$AE$2:$AF$7,2,0))</f>
        <v>0.5</v>
      </c>
      <c r="F5">
        <f t="shared" si="0"/>
        <v>0</v>
      </c>
      <c r="H5" t="s">
        <v>209</v>
      </c>
      <c r="I5">
        <f>I1-I4</f>
        <v>0</v>
      </c>
      <c r="AE5" s="15" t="s">
        <v>210</v>
      </c>
      <c r="AF5" s="15">
        <v>0.5</v>
      </c>
    </row>
    <row r="6" spans="1:32">
      <c r="A6" s="30">
        <f t="shared" si="1"/>
        <v>43096</v>
      </c>
      <c r="C6" t="s">
        <v>203</v>
      </c>
      <c r="D6">
        <f>IF(B6=$AB$2,$AC$2,$AC$3)</f>
        <v>0</v>
      </c>
      <c r="E6">
        <f>IF(ISBLANK(C6),0,VLOOKUP(C6,$AE$2:$AF$7,2,0))</f>
        <v>0.5</v>
      </c>
      <c r="F6">
        <f t="shared" si="0"/>
        <v>0</v>
      </c>
      <c r="AE6" s="15" t="s">
        <v>6</v>
      </c>
      <c r="AF6" s="15">
        <v>1</v>
      </c>
    </row>
    <row r="7" spans="1:32">
      <c r="A7" s="30">
        <f t="shared" si="1"/>
        <v>43097</v>
      </c>
      <c r="C7" t="s">
        <v>203</v>
      </c>
      <c r="D7">
        <f>IF(B7=$AB$2,$AC$2,$AC$3)</f>
        <v>0</v>
      </c>
      <c r="E7">
        <f>IF(ISBLANK(C7),0,VLOOKUP(C7,$AE$2:$AF$7,2,0))</f>
        <v>0.5</v>
      </c>
      <c r="F7">
        <f t="shared" si="0"/>
        <v>0</v>
      </c>
      <c r="AE7" s="15" t="s">
        <v>206</v>
      </c>
      <c r="AF7" s="15">
        <v>0</v>
      </c>
    </row>
    <row r="8" spans="1:32">
      <c r="A8" s="30">
        <f t="shared" si="1"/>
        <v>43098</v>
      </c>
      <c r="C8" t="s">
        <v>203</v>
      </c>
      <c r="D8">
        <f>IF(B8=$AB$2,$AC$2,$AC$3)</f>
        <v>0</v>
      </c>
      <c r="E8">
        <f>IF(ISBLANK(C8),0,VLOOKUP(C8,$AE$2:$AF$7,2,0))</f>
        <v>0.5</v>
      </c>
      <c r="F8">
        <f t="shared" si="0"/>
        <v>0</v>
      </c>
    </row>
    <row r="9" spans="1:32">
      <c r="A9" s="30">
        <f t="shared" si="1"/>
        <v>43099</v>
      </c>
      <c r="C9" t="s">
        <v>203</v>
      </c>
      <c r="D9">
        <f>IF(B9=$AB$2,$AC$2,$AC$3)</f>
        <v>0</v>
      </c>
      <c r="E9">
        <f>IF(ISBLANK(C9),0,VLOOKUP(C9,$AE$2:$AF$7,2,0))</f>
        <v>0.5</v>
      </c>
      <c r="F9">
        <f t="shared" si="0"/>
        <v>0</v>
      </c>
    </row>
    <row r="10" spans="1:32">
      <c r="A10" s="30">
        <f t="shared" si="1"/>
        <v>43100</v>
      </c>
      <c r="C10" t="s">
        <v>203</v>
      </c>
      <c r="D10">
        <f>IF(B10=$AB$2,$AC$2,$AC$3)</f>
        <v>0</v>
      </c>
      <c r="E10">
        <f>IF(ISBLANK(C10),0,VLOOKUP(C10,$AE$2:$AF$7,2,0))</f>
        <v>0.5</v>
      </c>
      <c r="F10">
        <f t="shared" si="0"/>
        <v>0</v>
      </c>
    </row>
    <row r="11" spans="1:32">
      <c r="A11" s="30">
        <f t="shared" si="1"/>
        <v>43101</v>
      </c>
      <c r="C11" t="s">
        <v>203</v>
      </c>
      <c r="D11">
        <f>IF(B11=$AB$2,$AC$2,$AC$3)</f>
        <v>0</v>
      </c>
      <c r="E11">
        <f>IF(ISBLANK(C11),0,VLOOKUP(C11,$AE$2:$AF$7,2,0))</f>
        <v>0.5</v>
      </c>
      <c r="F11">
        <f t="shared" si="0"/>
        <v>0</v>
      </c>
    </row>
    <row r="12" spans="1:32">
      <c r="A12" s="30">
        <f t="shared" si="1"/>
        <v>43102</v>
      </c>
      <c r="C12" t="s">
        <v>203</v>
      </c>
      <c r="D12">
        <f>IF(B12=$AB$2,$AC$2,$AC$3)</f>
        <v>0</v>
      </c>
      <c r="E12">
        <f>IF(ISBLANK(C12),0,VLOOKUP(C12,$AE$2:$AF$7,2,0))</f>
        <v>0.5</v>
      </c>
      <c r="F12">
        <f t="shared" si="0"/>
        <v>0</v>
      </c>
    </row>
    <row r="13" spans="1:32">
      <c r="A13" s="30">
        <f t="shared" si="1"/>
        <v>43103</v>
      </c>
      <c r="C13" t="s">
        <v>203</v>
      </c>
      <c r="D13">
        <f>IF(B13=$AB$2,$AC$2,$AC$3)</f>
        <v>0</v>
      </c>
      <c r="E13">
        <f>IF(ISBLANK(C13),0,VLOOKUP(C13,$AE$2:$AF$7,2,0))</f>
        <v>0.5</v>
      </c>
      <c r="F13">
        <f t="shared" si="0"/>
        <v>0</v>
      </c>
    </row>
    <row r="14" spans="1:32">
      <c r="A14" s="30">
        <f t="shared" si="1"/>
        <v>43104</v>
      </c>
      <c r="C14" t="s">
        <v>203</v>
      </c>
      <c r="D14">
        <f>IF(B14=$AB$2,$AC$2,$AC$3)</f>
        <v>0</v>
      </c>
      <c r="E14">
        <f>IF(ISBLANK(C14),0,VLOOKUP(C14,$AE$2:$AF$7,2,0))</f>
        <v>0.5</v>
      </c>
      <c r="F14">
        <f t="shared" si="0"/>
        <v>0</v>
      </c>
    </row>
    <row r="15" spans="1:32">
      <c r="A15" s="30">
        <f t="shared" si="1"/>
        <v>43105</v>
      </c>
      <c r="C15" t="s">
        <v>203</v>
      </c>
      <c r="D15">
        <f>IF(B15=$AB$2,$AC$2,$AC$3)</f>
        <v>0</v>
      </c>
      <c r="E15">
        <f>IF(ISBLANK(C15),0,VLOOKUP(C15,$AE$2:$AF$7,2,0))</f>
        <v>0.5</v>
      </c>
      <c r="F15">
        <f t="shared" si="0"/>
        <v>0</v>
      </c>
    </row>
    <row r="16" spans="1:32">
      <c r="A16" s="30">
        <f t="shared" si="1"/>
        <v>43106</v>
      </c>
      <c r="C16" t="s">
        <v>203</v>
      </c>
      <c r="D16">
        <f>IF(B16=$AB$2,$AC$2,$AC$3)</f>
        <v>0</v>
      </c>
      <c r="E16">
        <f>IF(ISBLANK(C16),0,VLOOKUP(C16,$AE$2:$AF$7,2,0))</f>
        <v>0.5</v>
      </c>
      <c r="F16">
        <f t="shared" si="0"/>
        <v>0</v>
      </c>
    </row>
    <row r="17" spans="1:6">
      <c r="A17" s="30">
        <f t="shared" si="1"/>
        <v>43107</v>
      </c>
      <c r="C17" t="s">
        <v>203</v>
      </c>
      <c r="D17">
        <f>IF(B17=$AB$2,$AC$2,$AC$3)</f>
        <v>0</v>
      </c>
      <c r="E17">
        <f>IF(ISBLANK(C17),0,VLOOKUP(C17,$AE$2:$AF$7,2,0))</f>
        <v>0.5</v>
      </c>
      <c r="F17">
        <f t="shared" si="0"/>
        <v>0</v>
      </c>
    </row>
    <row r="18" spans="1:6">
      <c r="A18" s="30">
        <f t="shared" si="1"/>
        <v>43108</v>
      </c>
      <c r="C18" t="s">
        <v>203</v>
      </c>
      <c r="D18">
        <f>IF(B18=$AB$2,$AC$2,$AC$3)</f>
        <v>0</v>
      </c>
      <c r="E18">
        <f>IF(ISBLANK(C18),0,VLOOKUP(C18,$AE$2:$AF$7,2,0))</f>
        <v>0.5</v>
      </c>
      <c r="F18">
        <f t="shared" si="0"/>
        <v>0</v>
      </c>
    </row>
    <row r="19" spans="1:6">
      <c r="A19" s="30">
        <f t="shared" si="1"/>
        <v>43109</v>
      </c>
      <c r="C19" t="s">
        <v>203</v>
      </c>
      <c r="D19">
        <f>IF(B19=$AB$2,$AC$2,$AC$3)</f>
        <v>0</v>
      </c>
      <c r="E19">
        <f>IF(ISBLANK(C19),0,VLOOKUP(C19,$AE$2:$AF$7,2,0))</f>
        <v>0.5</v>
      </c>
      <c r="F19">
        <f t="shared" si="0"/>
        <v>0</v>
      </c>
    </row>
    <row r="20" spans="1:6">
      <c r="A20" s="30">
        <f t="shared" si="1"/>
        <v>43110</v>
      </c>
      <c r="C20" t="s">
        <v>203</v>
      </c>
      <c r="D20">
        <f>IF(B20=$AB$2,$AC$2,$AC$3)</f>
        <v>0</v>
      </c>
      <c r="E20">
        <f>IF(ISBLANK(C20),0,VLOOKUP(C20,$AE$2:$AF$7,2,0))</f>
        <v>0.5</v>
      </c>
      <c r="F20">
        <f t="shared" si="0"/>
        <v>0</v>
      </c>
    </row>
    <row r="21" spans="1:6">
      <c r="A21" s="30">
        <f t="shared" si="1"/>
        <v>43111</v>
      </c>
      <c r="C21" t="s">
        <v>203</v>
      </c>
      <c r="D21">
        <f>IF(B21=$AB$2,$AC$2,$AC$3)</f>
        <v>0</v>
      </c>
      <c r="E21">
        <f>IF(ISBLANK(C21),0,VLOOKUP(C21,$AE$2:$AF$7,2,0))</f>
        <v>0.5</v>
      </c>
      <c r="F21">
        <f t="shared" si="0"/>
        <v>0</v>
      </c>
    </row>
    <row r="22" spans="1:6">
      <c r="A22" s="30">
        <f t="shared" si="1"/>
        <v>43112</v>
      </c>
      <c r="C22" t="s">
        <v>203</v>
      </c>
      <c r="D22">
        <f>IF(B22=$AB$2,$AC$2,$AC$3)</f>
        <v>0</v>
      </c>
      <c r="E22">
        <f>IF(ISBLANK(C22),0,VLOOKUP(C22,$AE$2:$AF$7,2,0))</f>
        <v>0.5</v>
      </c>
      <c r="F22">
        <f t="shared" si="0"/>
        <v>0</v>
      </c>
    </row>
    <row r="23" spans="1:6">
      <c r="A23" s="30">
        <f t="shared" si="1"/>
        <v>43113</v>
      </c>
      <c r="C23" t="s">
        <v>203</v>
      </c>
      <c r="D23">
        <f>IF(B23=$AB$2,$AC$2,$AC$3)</f>
        <v>0</v>
      </c>
      <c r="E23">
        <f>IF(ISBLANK(C23),0,VLOOKUP(C23,$AE$2:$AF$7,2,0))</f>
        <v>0.5</v>
      </c>
      <c r="F23">
        <f t="shared" si="0"/>
        <v>0</v>
      </c>
    </row>
    <row r="24" spans="1:6">
      <c r="A24" s="30">
        <f t="shared" si="1"/>
        <v>43114</v>
      </c>
      <c r="C24" t="s">
        <v>203</v>
      </c>
      <c r="D24">
        <f>IF(B24=$AB$2,$AC$2,$AC$3)</f>
        <v>0</v>
      </c>
      <c r="E24">
        <f>IF(ISBLANK(C24),0,VLOOKUP(C24,$AE$2:$AF$7,2,0))</f>
        <v>0.5</v>
      </c>
      <c r="F24">
        <f t="shared" si="0"/>
        <v>0</v>
      </c>
    </row>
    <row r="25" spans="1:6">
      <c r="A25" s="30">
        <f t="shared" si="1"/>
        <v>43115</v>
      </c>
      <c r="C25" t="s">
        <v>203</v>
      </c>
      <c r="D25">
        <f>IF(B25=$AB$2,$AC$2,$AC$3)</f>
        <v>0</v>
      </c>
      <c r="E25">
        <f>IF(ISBLANK(C25),0,VLOOKUP(C25,$AE$2:$AF$7,2,0))</f>
        <v>0.5</v>
      </c>
      <c r="F25">
        <f t="shared" si="0"/>
        <v>0</v>
      </c>
    </row>
    <row r="26" spans="1:6">
      <c r="A26" s="30">
        <f t="shared" si="1"/>
        <v>43116</v>
      </c>
      <c r="C26" t="s">
        <v>203</v>
      </c>
      <c r="D26">
        <f>IF(B26=$AB$2,$AC$2,$AC$3)</f>
        <v>0</v>
      </c>
      <c r="E26">
        <f>IF(ISBLANK(C26),0,VLOOKUP(C26,$AE$2:$AF$7,2,0))</f>
        <v>0.5</v>
      </c>
      <c r="F26">
        <f t="shared" si="0"/>
        <v>0</v>
      </c>
    </row>
    <row r="27" spans="1:6">
      <c r="A27" s="30">
        <f t="shared" si="1"/>
        <v>43117</v>
      </c>
      <c r="C27" t="s">
        <v>203</v>
      </c>
      <c r="D27">
        <f>IF(B27=$AB$2,$AC$2,$AC$3)</f>
        <v>0</v>
      </c>
      <c r="E27">
        <f>IF(ISBLANK(C27),0,VLOOKUP(C27,$AE$2:$AF$7,2,0))</f>
        <v>0.5</v>
      </c>
      <c r="F27">
        <f t="shared" si="0"/>
        <v>0</v>
      </c>
    </row>
    <row r="28" spans="1:6">
      <c r="A28" s="30">
        <f t="shared" si="1"/>
        <v>43118</v>
      </c>
      <c r="C28" t="s">
        <v>203</v>
      </c>
      <c r="D28">
        <f>IF(B28=$AB$2,$AC$2,$AC$3)</f>
        <v>0</v>
      </c>
      <c r="E28">
        <f>IF(ISBLANK(C28),0,VLOOKUP(C28,$AE$2:$AF$7,2,0))</f>
        <v>0.5</v>
      </c>
      <c r="F28">
        <f t="shared" si="0"/>
        <v>0</v>
      </c>
    </row>
    <row r="29" spans="1:6">
      <c r="A29" s="30">
        <f t="shared" si="1"/>
        <v>43119</v>
      </c>
      <c r="C29" t="s">
        <v>203</v>
      </c>
      <c r="D29">
        <f>IF(B29=$AB$2,$AC$2,$AC$3)</f>
        <v>0</v>
      </c>
      <c r="E29">
        <f>IF(ISBLANK(C29),0,VLOOKUP(C29,$AE$2:$AF$7,2,0))</f>
        <v>0.5</v>
      </c>
      <c r="F29">
        <f t="shared" si="0"/>
        <v>0</v>
      </c>
    </row>
    <row r="30" spans="1:6">
      <c r="A30" s="30">
        <f t="shared" si="1"/>
        <v>43120</v>
      </c>
      <c r="C30" t="s">
        <v>203</v>
      </c>
      <c r="D30">
        <f>IF(B30=$AB$2,$AC$2,$AC$3)</f>
        <v>0</v>
      </c>
      <c r="E30">
        <f>IF(ISBLANK(C30),0,VLOOKUP(C30,$AE$2:$AF$7,2,0))</f>
        <v>0.5</v>
      </c>
      <c r="F30">
        <f t="shared" si="0"/>
        <v>0</v>
      </c>
    </row>
    <row r="31" spans="1:6">
      <c r="A31" s="30">
        <f t="shared" si="1"/>
        <v>43121</v>
      </c>
      <c r="C31" t="s">
        <v>203</v>
      </c>
      <c r="D31">
        <f>IF(B31=$AB$2,$AC$2,$AC$3)</f>
        <v>0</v>
      </c>
      <c r="E31">
        <f>IF(ISBLANK(C31),0,VLOOKUP(C31,$AE$2:$AF$7,2,0))</f>
        <v>0.5</v>
      </c>
      <c r="F31">
        <f t="shared" si="0"/>
        <v>0</v>
      </c>
    </row>
    <row r="32" spans="1:6">
      <c r="A32" s="30">
        <f t="shared" si="1"/>
        <v>43122</v>
      </c>
      <c r="C32" t="s">
        <v>203</v>
      </c>
      <c r="D32">
        <f>IF(B32=$AB$2,$AC$2,$AC$3)</f>
        <v>0</v>
      </c>
      <c r="E32">
        <f>IF(ISBLANK(C32),0,VLOOKUP(C32,$AE$2:$AF$7,2,0))</f>
        <v>0.5</v>
      </c>
      <c r="F32">
        <f t="shared" si="0"/>
        <v>0</v>
      </c>
    </row>
    <row r="33" spans="1:6">
      <c r="A33" s="30">
        <f t="shared" si="1"/>
        <v>43123</v>
      </c>
      <c r="C33" t="s">
        <v>203</v>
      </c>
      <c r="D33">
        <f>IF(B33=$AB$2,$AC$2,$AC$3)</f>
        <v>0</v>
      </c>
      <c r="E33">
        <f>IF(ISBLANK(C33),0,VLOOKUP(C33,$AE$2:$AF$7,2,0))</f>
        <v>0.5</v>
      </c>
      <c r="F33">
        <f t="shared" si="0"/>
        <v>0</v>
      </c>
    </row>
    <row r="34" spans="1:6">
      <c r="A34" s="30">
        <f t="shared" si="1"/>
        <v>43124</v>
      </c>
      <c r="C34" t="s">
        <v>203</v>
      </c>
      <c r="D34">
        <f>IF(B34=$AB$2,$AC$2,$AC$3)</f>
        <v>0</v>
      </c>
      <c r="E34">
        <f>IF(ISBLANK(C34),0,VLOOKUP(C34,$AE$2:$AF$7,2,0))</f>
        <v>0.5</v>
      </c>
      <c r="F34">
        <f t="shared" si="0"/>
        <v>0</v>
      </c>
    </row>
    <row r="35" spans="1:6">
      <c r="A35" s="30">
        <f t="shared" si="1"/>
        <v>43125</v>
      </c>
      <c r="C35" t="s">
        <v>203</v>
      </c>
      <c r="D35">
        <f>IF(B35=$AB$2,$AC$2,$AC$3)</f>
        <v>0</v>
      </c>
      <c r="E35">
        <f>IF(ISBLANK(C35),0,VLOOKUP(C35,$AE$2:$AF$7,2,0))</f>
        <v>0.5</v>
      </c>
      <c r="F35">
        <f t="shared" si="0"/>
        <v>0</v>
      </c>
    </row>
    <row r="36" spans="1:6">
      <c r="A36" s="30">
        <f t="shared" si="1"/>
        <v>43126</v>
      </c>
      <c r="C36" t="s">
        <v>203</v>
      </c>
      <c r="D36">
        <f>IF(B36=$AB$2,$AC$2,$AC$3)</f>
        <v>0</v>
      </c>
      <c r="E36">
        <f>IF(ISBLANK(C36),0,VLOOKUP(C36,$AE$2:$AF$7,2,0))</f>
        <v>0.5</v>
      </c>
      <c r="F36">
        <f t="shared" si="0"/>
        <v>0</v>
      </c>
    </row>
    <row r="37" spans="1:6">
      <c r="A37" s="30">
        <f t="shared" si="1"/>
        <v>43127</v>
      </c>
      <c r="C37" t="s">
        <v>203</v>
      </c>
      <c r="D37">
        <f>IF(B37=$AB$2,$AC$2,$AC$3)</f>
        <v>0</v>
      </c>
      <c r="E37">
        <f>IF(ISBLANK(C37),0,VLOOKUP(C37,$AE$2:$AF$7,2,0))</f>
        <v>0.5</v>
      </c>
      <c r="F37">
        <f t="shared" si="0"/>
        <v>0</v>
      </c>
    </row>
    <row r="38" spans="1:6">
      <c r="A38" s="30">
        <f t="shared" si="1"/>
        <v>43128</v>
      </c>
      <c r="C38" t="s">
        <v>203</v>
      </c>
      <c r="D38">
        <f>IF(B38=$AB$2,$AC$2,$AC$3)</f>
        <v>0</v>
      </c>
      <c r="E38">
        <f>IF(ISBLANK(C38),0,VLOOKUP(C38,$AE$2:$AF$7,2,0))</f>
        <v>0.5</v>
      </c>
      <c r="F38">
        <f t="shared" si="0"/>
        <v>0</v>
      </c>
    </row>
    <row r="39" spans="1:6">
      <c r="A39" s="30">
        <f t="shared" si="1"/>
        <v>43129</v>
      </c>
      <c r="C39" t="s">
        <v>203</v>
      </c>
      <c r="D39">
        <f>IF(B39=$AB$2,$AC$2,$AC$3)</f>
        <v>0</v>
      </c>
      <c r="E39">
        <f>IF(ISBLANK(C39),0,VLOOKUP(C39,$AE$2:$AF$7,2,0))</f>
        <v>0.5</v>
      </c>
      <c r="F39">
        <f t="shared" si="0"/>
        <v>0</v>
      </c>
    </row>
    <row r="40" spans="1:6">
      <c r="A40" s="30">
        <f t="shared" si="1"/>
        <v>43130</v>
      </c>
      <c r="C40" t="s">
        <v>203</v>
      </c>
      <c r="D40">
        <f>IF(B40=$AB$2,$AC$2,$AC$3)</f>
        <v>0</v>
      </c>
      <c r="E40">
        <f>IF(ISBLANK(C40),0,VLOOKUP(C40,$AE$2:$AF$7,2,0))</f>
        <v>0.5</v>
      </c>
      <c r="F40">
        <f t="shared" si="0"/>
        <v>0</v>
      </c>
    </row>
    <row r="41" spans="1:6">
      <c r="A41" s="30">
        <f t="shared" si="1"/>
        <v>43131</v>
      </c>
      <c r="C41" t="s">
        <v>203</v>
      </c>
      <c r="D41">
        <f>IF(B41=$AB$2,$AC$2,$AC$3)</f>
        <v>0</v>
      </c>
      <c r="E41">
        <f>IF(ISBLANK(C41),0,VLOOKUP(C41,$AE$2:$AF$7,2,0))</f>
        <v>0.5</v>
      </c>
      <c r="F41">
        <f t="shared" si="0"/>
        <v>0</v>
      </c>
    </row>
    <row r="42" spans="1:6">
      <c r="A42" s="30">
        <f t="shared" si="1"/>
        <v>43132</v>
      </c>
      <c r="C42" t="s">
        <v>203</v>
      </c>
      <c r="D42">
        <f>IF(B42=$AB$2,$AC$2,$AC$3)</f>
        <v>0</v>
      </c>
      <c r="E42">
        <f>IF(ISBLANK(C42),0,VLOOKUP(C42,$AE$2:$AF$7,2,0))</f>
        <v>0.5</v>
      </c>
      <c r="F42">
        <f t="shared" si="0"/>
        <v>0</v>
      </c>
    </row>
    <row r="43" spans="1:6">
      <c r="A43" s="30">
        <f t="shared" si="1"/>
        <v>43133</v>
      </c>
      <c r="C43" t="s">
        <v>203</v>
      </c>
      <c r="D43">
        <f>IF(B43=$AB$2,$AC$2,$AC$3)</f>
        <v>0</v>
      </c>
      <c r="E43">
        <f>IF(ISBLANK(C43),0,VLOOKUP(C43,$AE$2:$AF$7,2,0))</f>
        <v>0.5</v>
      </c>
      <c r="F43">
        <f t="shared" si="0"/>
        <v>0</v>
      </c>
    </row>
    <row r="44" spans="1:6">
      <c r="A44" s="30">
        <f t="shared" si="1"/>
        <v>43134</v>
      </c>
      <c r="C44" t="s">
        <v>203</v>
      </c>
      <c r="D44">
        <f>IF(B44=$AB$2,$AC$2,$AC$3)</f>
        <v>0</v>
      </c>
      <c r="E44">
        <f>IF(ISBLANK(C44),0,VLOOKUP(C44,$AE$2:$AF$7,2,0))</f>
        <v>0.5</v>
      </c>
      <c r="F44">
        <f t="shared" si="0"/>
        <v>0</v>
      </c>
    </row>
    <row r="45" spans="1:6">
      <c r="A45" s="30">
        <f t="shared" si="1"/>
        <v>43135</v>
      </c>
      <c r="C45" t="s">
        <v>203</v>
      </c>
      <c r="D45">
        <f>IF(B45=$AB$2,$AC$2,$AC$3)</f>
        <v>0</v>
      </c>
      <c r="E45">
        <f>IF(ISBLANK(C45),0,VLOOKUP(C45,$AE$2:$AF$7,2,0))</f>
        <v>0.5</v>
      </c>
      <c r="F45">
        <f t="shared" si="0"/>
        <v>0</v>
      </c>
    </row>
    <row r="46" spans="1:6">
      <c r="A46" s="30">
        <f t="shared" si="1"/>
        <v>43136</v>
      </c>
      <c r="C46" t="s">
        <v>203</v>
      </c>
      <c r="D46">
        <f>IF(B46=$AB$2,$AC$2,$AC$3)</f>
        <v>0</v>
      </c>
      <c r="E46">
        <f>IF(ISBLANK(C46),0,VLOOKUP(C46,$AE$2:$AF$7,2,0))</f>
        <v>0.5</v>
      </c>
      <c r="F46">
        <f t="shared" si="0"/>
        <v>0</v>
      </c>
    </row>
    <row r="47" spans="1:6">
      <c r="A47" s="30">
        <f t="shared" si="1"/>
        <v>43137</v>
      </c>
      <c r="C47" t="s">
        <v>203</v>
      </c>
      <c r="D47">
        <f>IF(B47=$AB$2,$AC$2,$AC$3)</f>
        <v>0</v>
      </c>
      <c r="E47">
        <f>IF(ISBLANK(C47),0,VLOOKUP(C47,$AE$2:$AF$7,2,0))</f>
        <v>0.5</v>
      </c>
      <c r="F47">
        <f t="shared" si="0"/>
        <v>0</v>
      </c>
    </row>
    <row r="48" spans="1:6">
      <c r="A48" s="30">
        <f t="shared" si="1"/>
        <v>43138</v>
      </c>
      <c r="C48" t="s">
        <v>203</v>
      </c>
      <c r="D48">
        <f>IF(B48=$AB$2,$AC$2,$AC$3)</f>
        <v>0</v>
      </c>
      <c r="E48">
        <f>IF(ISBLANK(C48),0,VLOOKUP(C48,$AE$2:$AF$7,2,0))</f>
        <v>0.5</v>
      </c>
      <c r="F48">
        <f t="shared" si="0"/>
        <v>0</v>
      </c>
    </row>
    <row r="49" spans="1:6">
      <c r="A49" s="30">
        <f t="shared" si="1"/>
        <v>43139</v>
      </c>
      <c r="C49" t="s">
        <v>203</v>
      </c>
      <c r="D49">
        <f>IF(B49=$AB$2,$AC$2,$AC$3)</f>
        <v>0</v>
      </c>
      <c r="E49">
        <f>IF(ISBLANK(C49),0,VLOOKUP(C49,$AE$2:$AF$7,2,0))</f>
        <v>0.5</v>
      </c>
      <c r="F49">
        <f t="shared" si="0"/>
        <v>0</v>
      </c>
    </row>
    <row r="50" spans="1:6">
      <c r="A50" s="30">
        <f t="shared" si="1"/>
        <v>43140</v>
      </c>
      <c r="C50" t="s">
        <v>203</v>
      </c>
      <c r="D50">
        <f>IF(B50=$AB$2,$AC$2,$AC$3)</f>
        <v>0</v>
      </c>
      <c r="E50">
        <f>IF(ISBLANK(C50),0,VLOOKUP(C50,$AE$2:$AF$7,2,0))</f>
        <v>0.5</v>
      </c>
      <c r="F50">
        <f t="shared" si="0"/>
        <v>0</v>
      </c>
    </row>
    <row r="51" spans="1:6">
      <c r="A51" s="30">
        <f t="shared" si="1"/>
        <v>43141</v>
      </c>
      <c r="C51" t="s">
        <v>203</v>
      </c>
      <c r="D51">
        <f>IF(B51=$AB$2,$AC$2,$AC$3)</f>
        <v>0</v>
      </c>
      <c r="E51">
        <f>IF(ISBLANK(C51),0,VLOOKUP(C51,$AE$2:$AF$7,2,0))</f>
        <v>0.5</v>
      </c>
      <c r="F51">
        <f t="shared" si="0"/>
        <v>0</v>
      </c>
    </row>
    <row r="52" spans="1:6">
      <c r="A52" s="30">
        <f t="shared" si="1"/>
        <v>43142</v>
      </c>
      <c r="C52" t="s">
        <v>203</v>
      </c>
      <c r="D52">
        <f>IF(B52=$AB$2,$AC$2,$AC$3)</f>
        <v>0</v>
      </c>
      <c r="E52">
        <f>IF(ISBLANK(C52),0,VLOOKUP(C52,$AE$2:$AF$7,2,0))</f>
        <v>0.5</v>
      </c>
      <c r="F52">
        <f t="shared" si="0"/>
        <v>0</v>
      </c>
    </row>
    <row r="53" spans="1:6">
      <c r="A53" s="30">
        <f t="shared" si="1"/>
        <v>43143</v>
      </c>
      <c r="C53" t="s">
        <v>203</v>
      </c>
      <c r="D53">
        <f>IF(B53=$AB$2,$AC$2,$AC$3)</f>
        <v>0</v>
      </c>
      <c r="E53">
        <f>IF(ISBLANK(C53),0,VLOOKUP(C53,$AE$2:$AF$7,2,0))</f>
        <v>0.5</v>
      </c>
      <c r="F53">
        <f t="shared" si="0"/>
        <v>0</v>
      </c>
    </row>
    <row r="54" spans="1:6">
      <c r="A54" s="30">
        <f t="shared" si="1"/>
        <v>43144</v>
      </c>
      <c r="C54" t="s">
        <v>203</v>
      </c>
      <c r="D54">
        <f>IF(B54=$AB$2,$AC$2,$AC$3)</f>
        <v>0</v>
      </c>
      <c r="E54">
        <f>IF(ISBLANK(C54),0,VLOOKUP(C54,$AE$2:$AF$7,2,0))</f>
        <v>0.5</v>
      </c>
      <c r="F54">
        <f t="shared" si="0"/>
        <v>0</v>
      </c>
    </row>
    <row r="55" spans="1:6">
      <c r="A55" s="30">
        <f t="shared" si="1"/>
        <v>43145</v>
      </c>
      <c r="C55" t="s">
        <v>203</v>
      </c>
      <c r="D55">
        <f>IF(B55=$AB$2,$AC$2,$AC$3)</f>
        <v>0</v>
      </c>
      <c r="E55">
        <f>IF(ISBLANK(C55),0,VLOOKUP(C55,$AE$2:$AF$7,2,0))</f>
        <v>0.5</v>
      </c>
      <c r="F55">
        <f t="shared" si="0"/>
        <v>0</v>
      </c>
    </row>
    <row r="56" spans="1:6">
      <c r="A56" s="30">
        <f t="shared" si="1"/>
        <v>43146</v>
      </c>
      <c r="C56" t="s">
        <v>203</v>
      </c>
      <c r="D56">
        <f>IF(B56=$AB$2,$AC$2,$AC$3)</f>
        <v>0</v>
      </c>
      <c r="E56">
        <f>IF(ISBLANK(C56),0,VLOOKUP(C56,$AE$2:$AF$7,2,0))</f>
        <v>0.5</v>
      </c>
      <c r="F56">
        <f t="shared" si="0"/>
        <v>0</v>
      </c>
    </row>
    <row r="57" spans="1:6">
      <c r="A57" s="30">
        <f t="shared" si="1"/>
        <v>43147</v>
      </c>
      <c r="C57" t="s">
        <v>203</v>
      </c>
      <c r="D57">
        <f>IF(B57=$AB$2,$AC$2,$AC$3)</f>
        <v>0</v>
      </c>
      <c r="E57">
        <f>IF(ISBLANK(C57),0,VLOOKUP(C57,$AE$2:$AF$7,2,0))</f>
        <v>0.5</v>
      </c>
      <c r="F57">
        <f t="shared" si="0"/>
        <v>0</v>
      </c>
    </row>
    <row r="58" spans="1:6">
      <c r="A58" s="30">
        <f t="shared" si="1"/>
        <v>43148</v>
      </c>
      <c r="C58" t="s">
        <v>203</v>
      </c>
      <c r="D58">
        <f>IF(B58=$AB$2,$AC$2,$AC$3)</f>
        <v>0</v>
      </c>
      <c r="E58">
        <f>IF(ISBLANK(C58),0,VLOOKUP(C58,$AE$2:$AF$7,2,0))</f>
        <v>0.5</v>
      </c>
      <c r="F58">
        <f t="shared" si="0"/>
        <v>0</v>
      </c>
    </row>
    <row r="59" spans="1:6">
      <c r="A59" s="30">
        <f t="shared" si="1"/>
        <v>43149</v>
      </c>
      <c r="C59" t="s">
        <v>203</v>
      </c>
      <c r="D59">
        <f>IF(B59=$AB$2,$AC$2,$AC$3)</f>
        <v>0</v>
      </c>
      <c r="E59">
        <f>IF(ISBLANK(C59),0,VLOOKUP(C59,$AE$2:$AF$7,2,0))</f>
        <v>0.5</v>
      </c>
      <c r="F59">
        <f t="shared" si="0"/>
        <v>0</v>
      </c>
    </row>
    <row r="60" spans="1:6">
      <c r="A60" s="30">
        <f t="shared" si="1"/>
        <v>43150</v>
      </c>
      <c r="C60" t="s">
        <v>203</v>
      </c>
      <c r="D60">
        <f>IF(B60=$AB$2,$AC$2,$AC$3)</f>
        <v>0</v>
      </c>
      <c r="E60">
        <f>IF(ISBLANK(C60),0,VLOOKUP(C60,$AE$2:$AF$7,2,0))</f>
        <v>0.5</v>
      </c>
      <c r="F60">
        <f t="shared" si="0"/>
        <v>0</v>
      </c>
    </row>
    <row r="61" spans="1:6">
      <c r="A61" s="30">
        <f t="shared" si="1"/>
        <v>43151</v>
      </c>
      <c r="C61" t="s">
        <v>203</v>
      </c>
      <c r="D61">
        <f>IF(B61=$AB$2,$AC$2,$AC$3)</f>
        <v>0</v>
      </c>
      <c r="E61">
        <f>IF(ISBLANK(C61),0,VLOOKUP(C61,$AE$2:$AF$7,2,0))</f>
        <v>0.5</v>
      </c>
      <c r="F61">
        <f t="shared" si="0"/>
        <v>0</v>
      </c>
    </row>
    <row r="62" spans="1:6">
      <c r="A62" s="30">
        <f t="shared" si="1"/>
        <v>43152</v>
      </c>
      <c r="C62" t="s">
        <v>203</v>
      </c>
      <c r="D62">
        <f>IF(B62=$AB$2,$AC$2,$AC$3)</f>
        <v>0</v>
      </c>
      <c r="E62">
        <f>IF(ISBLANK(C62),0,VLOOKUP(C62,$AE$2:$AF$7,2,0))</f>
        <v>0.5</v>
      </c>
      <c r="F62">
        <f t="shared" si="0"/>
        <v>0</v>
      </c>
    </row>
    <row r="63" spans="1:6">
      <c r="A63" s="30">
        <f t="shared" si="1"/>
        <v>43153</v>
      </c>
      <c r="C63" t="s">
        <v>203</v>
      </c>
      <c r="D63">
        <f>IF(B63=$AB$2,$AC$2,$AC$3)</f>
        <v>0</v>
      </c>
      <c r="E63">
        <f>IF(ISBLANK(C63),0,VLOOKUP(C63,$AE$2:$AF$7,2,0))</f>
        <v>0.5</v>
      </c>
      <c r="F63">
        <f t="shared" si="0"/>
        <v>0</v>
      </c>
    </row>
    <row r="64" spans="1:6">
      <c r="A64" s="30">
        <f t="shared" si="1"/>
        <v>43154</v>
      </c>
      <c r="C64" t="s">
        <v>203</v>
      </c>
      <c r="D64">
        <f>IF(B64=$AB$2,$AC$2,$AC$3)</f>
        <v>0</v>
      </c>
      <c r="E64">
        <f>IF(ISBLANK(C64),0,VLOOKUP(C64,$AE$2:$AF$7,2,0))</f>
        <v>0.5</v>
      </c>
      <c r="F64">
        <f t="shared" si="0"/>
        <v>0</v>
      </c>
    </row>
    <row r="65" spans="1:6">
      <c r="A65" s="30">
        <f t="shared" si="1"/>
        <v>43155</v>
      </c>
      <c r="C65" t="s">
        <v>203</v>
      </c>
      <c r="D65">
        <f>IF(B65=$AB$2,$AC$2,$AC$3)</f>
        <v>0</v>
      </c>
      <c r="E65">
        <f>IF(ISBLANK(C65),0,VLOOKUP(C65,$AE$2:$AF$7,2,0))</f>
        <v>0.5</v>
      </c>
      <c r="F65">
        <f t="shared" si="0"/>
        <v>0</v>
      </c>
    </row>
    <row r="66" spans="1:6">
      <c r="A66" s="30">
        <f t="shared" si="1"/>
        <v>43156</v>
      </c>
      <c r="C66" t="s">
        <v>203</v>
      </c>
      <c r="D66">
        <f>IF(B66=$AB$2,$AC$2,$AC$3)</f>
        <v>0</v>
      </c>
      <c r="E66">
        <f>IF(ISBLANK(C66),0,VLOOKUP(C66,$AE$2:$AF$7,2,0))</f>
        <v>0.5</v>
      </c>
      <c r="F66">
        <f t="shared" si="0"/>
        <v>0</v>
      </c>
    </row>
    <row r="67" spans="1:6">
      <c r="A67" s="30">
        <f t="shared" si="1"/>
        <v>43157</v>
      </c>
      <c r="C67" t="s">
        <v>203</v>
      </c>
      <c r="D67">
        <f>IF(B67=$AB$2,$AC$2,$AC$3)</f>
        <v>0</v>
      </c>
      <c r="E67">
        <f>IF(ISBLANK(C67),0,VLOOKUP(C67,$AE$2:$AF$7,2,0))</f>
        <v>0.5</v>
      </c>
      <c r="F67">
        <f t="shared" ref="F67:F130" si="2">D67*E67</f>
        <v>0</v>
      </c>
    </row>
    <row r="68" spans="1:6">
      <c r="A68" s="30">
        <f t="shared" ref="A68:A116" si="3">A67+1</f>
        <v>43158</v>
      </c>
      <c r="C68" t="s">
        <v>203</v>
      </c>
      <c r="D68">
        <f>IF(B68=$AB$2,$AC$2,$AC$3)</f>
        <v>0</v>
      </c>
      <c r="E68">
        <f>IF(ISBLANK(C68),0,VLOOKUP(C68,$AE$2:$AF$7,2,0))</f>
        <v>0.5</v>
      </c>
      <c r="F68">
        <f t="shared" si="2"/>
        <v>0</v>
      </c>
    </row>
    <row r="69" spans="1:6">
      <c r="A69" s="30">
        <f t="shared" si="3"/>
        <v>43159</v>
      </c>
      <c r="C69" t="s">
        <v>203</v>
      </c>
      <c r="D69">
        <f>IF(B69=$AB$2,$AC$2,$AC$3)</f>
        <v>0</v>
      </c>
      <c r="E69">
        <f>IF(ISBLANK(C69),0,VLOOKUP(C69,$AE$2:$AF$7,2,0))</f>
        <v>0.5</v>
      </c>
      <c r="F69">
        <f t="shared" si="2"/>
        <v>0</v>
      </c>
    </row>
    <row r="70" spans="1:6">
      <c r="A70" s="30">
        <f t="shared" si="3"/>
        <v>43160</v>
      </c>
      <c r="C70" t="s">
        <v>203</v>
      </c>
      <c r="D70">
        <f>IF(B70=$AB$2,$AC$2,$AC$3)</f>
        <v>0</v>
      </c>
      <c r="E70">
        <f>IF(ISBLANK(C70),0,VLOOKUP(C70,$AE$2:$AF$7,2,0))</f>
        <v>0.5</v>
      </c>
      <c r="F70">
        <f t="shared" si="2"/>
        <v>0</v>
      </c>
    </row>
    <row r="71" spans="1:6">
      <c r="A71" s="30">
        <f t="shared" si="3"/>
        <v>43161</v>
      </c>
      <c r="C71" t="s">
        <v>203</v>
      </c>
      <c r="D71">
        <f>IF(B71=$AB$2,$AC$2,$AC$3)</f>
        <v>0</v>
      </c>
      <c r="E71">
        <f>IF(ISBLANK(C71),0,VLOOKUP(C71,$AE$2:$AF$7,2,0))</f>
        <v>0.5</v>
      </c>
      <c r="F71">
        <f t="shared" si="2"/>
        <v>0</v>
      </c>
    </row>
    <row r="72" spans="1:6">
      <c r="A72" s="30">
        <f t="shared" si="3"/>
        <v>43162</v>
      </c>
      <c r="C72" t="s">
        <v>203</v>
      </c>
      <c r="D72">
        <f>IF(B72=$AB$2,$AC$2,$AC$3)</f>
        <v>0</v>
      </c>
      <c r="E72">
        <f>IF(ISBLANK(C72),0,VLOOKUP(C72,$AE$2:$AF$7,2,0))</f>
        <v>0.5</v>
      </c>
      <c r="F72">
        <f t="shared" si="2"/>
        <v>0</v>
      </c>
    </row>
    <row r="73" spans="1:6">
      <c r="A73" s="30">
        <f t="shared" si="3"/>
        <v>43163</v>
      </c>
      <c r="C73" t="s">
        <v>203</v>
      </c>
      <c r="D73">
        <f>IF(B73=$AB$2,$AC$2,$AC$3)</f>
        <v>0</v>
      </c>
      <c r="E73">
        <f>IF(ISBLANK(C73),0,VLOOKUP(C73,$AE$2:$AF$7,2,0))</f>
        <v>0.5</v>
      </c>
      <c r="F73">
        <f t="shared" si="2"/>
        <v>0</v>
      </c>
    </row>
    <row r="74" spans="1:6">
      <c r="A74" s="30">
        <f t="shared" si="3"/>
        <v>43164</v>
      </c>
      <c r="C74" t="s">
        <v>203</v>
      </c>
      <c r="D74">
        <f>IF(B74=$AB$2,$AC$2,$AC$3)</f>
        <v>0</v>
      </c>
      <c r="E74">
        <f>IF(ISBLANK(C74),0,VLOOKUP(C74,$AE$2:$AF$7,2,0))</f>
        <v>0.5</v>
      </c>
      <c r="F74">
        <f t="shared" si="2"/>
        <v>0</v>
      </c>
    </row>
    <row r="75" spans="1:6">
      <c r="A75" s="30">
        <f t="shared" si="3"/>
        <v>43165</v>
      </c>
      <c r="C75" t="s">
        <v>203</v>
      </c>
      <c r="D75">
        <f>IF(B75=$AB$2,$AC$2,$AC$3)</f>
        <v>0</v>
      </c>
      <c r="E75">
        <f>IF(ISBLANK(C75),0,VLOOKUP(C75,$AE$2:$AF$7,2,0))</f>
        <v>0.5</v>
      </c>
      <c r="F75">
        <f t="shared" si="2"/>
        <v>0</v>
      </c>
    </row>
    <row r="76" spans="1:6">
      <c r="A76" s="30">
        <f t="shared" si="3"/>
        <v>43166</v>
      </c>
      <c r="C76" t="s">
        <v>203</v>
      </c>
      <c r="D76">
        <f>IF(B76=$AB$2,$AC$2,$AC$3)</f>
        <v>0</v>
      </c>
      <c r="E76">
        <f>IF(ISBLANK(C76),0,VLOOKUP(C76,$AE$2:$AF$7,2,0))</f>
        <v>0.5</v>
      </c>
      <c r="F76">
        <f t="shared" si="2"/>
        <v>0</v>
      </c>
    </row>
    <row r="77" spans="1:6">
      <c r="A77" s="30">
        <f t="shared" si="3"/>
        <v>43167</v>
      </c>
      <c r="C77" t="s">
        <v>203</v>
      </c>
      <c r="D77">
        <f>IF(B77=$AB$2,$AC$2,$AC$3)</f>
        <v>0</v>
      </c>
      <c r="E77">
        <f>IF(ISBLANK(C77),0,VLOOKUP(C77,$AE$2:$AF$7,2,0))</f>
        <v>0.5</v>
      </c>
      <c r="F77">
        <f t="shared" si="2"/>
        <v>0</v>
      </c>
    </row>
    <row r="78" spans="1:6">
      <c r="A78" s="30">
        <f t="shared" si="3"/>
        <v>43168</v>
      </c>
      <c r="C78" t="s">
        <v>203</v>
      </c>
      <c r="D78">
        <f>IF(B78=$AB$2,$AC$2,$AC$3)</f>
        <v>0</v>
      </c>
      <c r="E78">
        <f>IF(ISBLANK(C78),0,VLOOKUP(C78,$AE$2:$AF$7,2,0))</f>
        <v>0.5</v>
      </c>
      <c r="F78">
        <f t="shared" si="2"/>
        <v>0</v>
      </c>
    </row>
    <row r="79" spans="1:6">
      <c r="A79" s="30">
        <f t="shared" si="3"/>
        <v>43169</v>
      </c>
      <c r="C79" t="s">
        <v>203</v>
      </c>
      <c r="D79">
        <f>IF(B79=$AB$2,$AC$2,$AC$3)</f>
        <v>0</v>
      </c>
      <c r="E79">
        <f>IF(ISBLANK(C79),0,VLOOKUP(C79,$AE$2:$AF$7,2,0))</f>
        <v>0.5</v>
      </c>
      <c r="F79">
        <f t="shared" si="2"/>
        <v>0</v>
      </c>
    </row>
    <row r="80" spans="1:6">
      <c r="A80" s="30">
        <f t="shared" si="3"/>
        <v>43170</v>
      </c>
      <c r="C80" t="s">
        <v>203</v>
      </c>
      <c r="D80">
        <f>IF(B80=$AB$2,$AC$2,$AC$3)</f>
        <v>0</v>
      </c>
      <c r="E80">
        <f>IF(ISBLANK(C80),0,VLOOKUP(C80,$AE$2:$AF$7,2,0))</f>
        <v>0.5</v>
      </c>
      <c r="F80">
        <f t="shared" si="2"/>
        <v>0</v>
      </c>
    </row>
    <row r="81" spans="1:6">
      <c r="A81" s="30">
        <f t="shared" si="3"/>
        <v>43171</v>
      </c>
      <c r="C81" t="s">
        <v>203</v>
      </c>
      <c r="D81">
        <f>IF(B81=$AB$2,$AC$2,$AC$3)</f>
        <v>0</v>
      </c>
      <c r="E81">
        <f>IF(ISBLANK(C81),0,VLOOKUP(C81,$AE$2:$AF$7,2,0))</f>
        <v>0.5</v>
      </c>
      <c r="F81">
        <f t="shared" si="2"/>
        <v>0</v>
      </c>
    </row>
    <row r="82" spans="1:6">
      <c r="A82" s="30">
        <f t="shared" si="3"/>
        <v>43172</v>
      </c>
      <c r="C82" t="s">
        <v>203</v>
      </c>
      <c r="D82">
        <f>IF(B82=$AB$2,$AC$2,$AC$3)</f>
        <v>0</v>
      </c>
      <c r="E82">
        <f>IF(ISBLANK(C82),0,VLOOKUP(C82,$AE$2:$AF$7,2,0))</f>
        <v>0.5</v>
      </c>
      <c r="F82">
        <f t="shared" si="2"/>
        <v>0</v>
      </c>
    </row>
    <row r="83" spans="1:6">
      <c r="A83" s="30">
        <f t="shared" si="3"/>
        <v>43173</v>
      </c>
      <c r="C83" t="s">
        <v>203</v>
      </c>
      <c r="D83">
        <f>IF(B83=$AB$2,$AC$2,$AC$3)</f>
        <v>0</v>
      </c>
      <c r="E83">
        <f>IF(ISBLANK(C83),0,VLOOKUP(C83,$AE$2:$AF$7,2,0))</f>
        <v>0.5</v>
      </c>
      <c r="F83">
        <f t="shared" si="2"/>
        <v>0</v>
      </c>
    </row>
    <row r="84" spans="1:6">
      <c r="A84" s="30">
        <f t="shared" si="3"/>
        <v>43174</v>
      </c>
      <c r="C84" t="s">
        <v>203</v>
      </c>
      <c r="D84">
        <f>IF(B84=$AB$2,$AC$2,$AC$3)</f>
        <v>0</v>
      </c>
      <c r="E84">
        <f>IF(ISBLANK(C84),0,VLOOKUP(C84,$AE$2:$AF$7,2,0))</f>
        <v>0.5</v>
      </c>
      <c r="F84">
        <f t="shared" si="2"/>
        <v>0</v>
      </c>
    </row>
    <row r="85" spans="1:6">
      <c r="A85" s="30">
        <f t="shared" si="3"/>
        <v>43175</v>
      </c>
      <c r="C85" t="s">
        <v>203</v>
      </c>
      <c r="D85">
        <f>IF(B85=$AB$2,$AC$2,$AC$3)</f>
        <v>0</v>
      </c>
      <c r="E85">
        <f>IF(ISBLANK(C85),0,VLOOKUP(C85,$AE$2:$AF$7,2,0))</f>
        <v>0.5</v>
      </c>
      <c r="F85">
        <f t="shared" si="2"/>
        <v>0</v>
      </c>
    </row>
    <row r="86" spans="1:6">
      <c r="A86" s="30">
        <f t="shared" si="3"/>
        <v>43176</v>
      </c>
      <c r="C86" t="s">
        <v>203</v>
      </c>
      <c r="D86">
        <f>IF(B86=$AB$2,$AC$2,$AC$3)</f>
        <v>0</v>
      </c>
      <c r="E86">
        <f>IF(ISBLANK(C86),0,VLOOKUP(C86,$AE$2:$AF$7,2,0))</f>
        <v>0.5</v>
      </c>
      <c r="F86">
        <f t="shared" si="2"/>
        <v>0</v>
      </c>
    </row>
    <row r="87" spans="1:6">
      <c r="A87" s="30">
        <f t="shared" si="3"/>
        <v>43177</v>
      </c>
      <c r="C87" t="s">
        <v>203</v>
      </c>
      <c r="D87">
        <f>IF(B87=$AB$2,$AC$2,$AC$3)</f>
        <v>0</v>
      </c>
      <c r="E87">
        <f>IF(ISBLANK(C87),0,VLOOKUP(C87,$AE$2:$AF$7,2,0))</f>
        <v>0.5</v>
      </c>
      <c r="F87">
        <f t="shared" si="2"/>
        <v>0</v>
      </c>
    </row>
    <row r="88" spans="1:6">
      <c r="A88" s="30">
        <f t="shared" si="3"/>
        <v>43178</v>
      </c>
      <c r="C88" t="s">
        <v>203</v>
      </c>
      <c r="D88">
        <f>IF(B88=$AB$2,$AC$2,$AC$3)</f>
        <v>0</v>
      </c>
      <c r="E88">
        <f>IF(ISBLANK(C88),0,VLOOKUP(C88,$AE$2:$AF$7,2,0))</f>
        <v>0.5</v>
      </c>
      <c r="F88">
        <f t="shared" si="2"/>
        <v>0</v>
      </c>
    </row>
    <row r="89" spans="1:6">
      <c r="A89" s="30">
        <f t="shared" si="3"/>
        <v>43179</v>
      </c>
      <c r="C89" t="s">
        <v>203</v>
      </c>
      <c r="D89">
        <f>IF(B89=$AB$2,$AC$2,$AC$3)</f>
        <v>0</v>
      </c>
      <c r="E89">
        <f>IF(ISBLANK(C89),0,VLOOKUP(C89,$AE$2:$AF$7,2,0))</f>
        <v>0.5</v>
      </c>
      <c r="F89">
        <f t="shared" si="2"/>
        <v>0</v>
      </c>
    </row>
    <row r="90" spans="1:6">
      <c r="A90" s="30">
        <f t="shared" si="3"/>
        <v>43180</v>
      </c>
      <c r="C90" t="s">
        <v>203</v>
      </c>
      <c r="D90">
        <f>IF(B90=$AB$2,$AC$2,$AC$3)</f>
        <v>0</v>
      </c>
      <c r="E90">
        <f>IF(ISBLANK(C90),0,VLOOKUP(C90,$AE$2:$AF$7,2,0))</f>
        <v>0.5</v>
      </c>
      <c r="F90">
        <f t="shared" si="2"/>
        <v>0</v>
      </c>
    </row>
    <row r="91" spans="1:6">
      <c r="A91" s="30">
        <f t="shared" si="3"/>
        <v>43181</v>
      </c>
      <c r="C91" t="s">
        <v>203</v>
      </c>
      <c r="D91">
        <f>IF(B91=$AB$2,$AC$2,$AC$3)</f>
        <v>0</v>
      </c>
      <c r="E91">
        <f>IF(ISBLANK(C91),0,VLOOKUP(C91,$AE$2:$AF$7,2,0))</f>
        <v>0.5</v>
      </c>
      <c r="F91">
        <f t="shared" si="2"/>
        <v>0</v>
      </c>
    </row>
    <row r="92" spans="1:6">
      <c r="A92" s="30">
        <f t="shared" si="3"/>
        <v>43182</v>
      </c>
      <c r="C92" t="s">
        <v>203</v>
      </c>
      <c r="D92">
        <f>IF(B92=$AB$2,$AC$2,$AC$3)</f>
        <v>0</v>
      </c>
      <c r="E92">
        <f>IF(ISBLANK(C92),0,VLOOKUP(C92,$AE$2:$AF$7,2,0))</f>
        <v>0.5</v>
      </c>
      <c r="F92">
        <f t="shared" si="2"/>
        <v>0</v>
      </c>
    </row>
    <row r="93" spans="1:6">
      <c r="A93" s="30">
        <f t="shared" si="3"/>
        <v>43183</v>
      </c>
      <c r="C93" t="s">
        <v>203</v>
      </c>
      <c r="D93">
        <f>IF(B93=$AB$2,$AC$2,$AC$3)</f>
        <v>0</v>
      </c>
      <c r="E93">
        <f>IF(ISBLANK(C93),0,VLOOKUP(C93,$AE$2:$AF$7,2,0))</f>
        <v>0.5</v>
      </c>
      <c r="F93">
        <f t="shared" si="2"/>
        <v>0</v>
      </c>
    </row>
    <row r="94" spans="1:6">
      <c r="A94" s="30">
        <f t="shared" si="3"/>
        <v>43184</v>
      </c>
      <c r="C94" t="s">
        <v>203</v>
      </c>
      <c r="D94">
        <f>IF(B94=$AB$2,$AC$2,$AC$3)</f>
        <v>0</v>
      </c>
      <c r="E94">
        <f>IF(ISBLANK(C94),0,VLOOKUP(C94,$AE$2:$AF$7,2,0))</f>
        <v>0.5</v>
      </c>
      <c r="F94">
        <f t="shared" si="2"/>
        <v>0</v>
      </c>
    </row>
    <row r="95" spans="1:6">
      <c r="A95" s="30">
        <f t="shared" si="3"/>
        <v>43185</v>
      </c>
      <c r="C95" t="s">
        <v>203</v>
      </c>
      <c r="D95">
        <f>IF(B95=$AB$2,$AC$2,$AC$3)</f>
        <v>0</v>
      </c>
      <c r="E95">
        <f>IF(ISBLANK(C95),0,VLOOKUP(C95,$AE$2:$AF$7,2,0))</f>
        <v>0.5</v>
      </c>
      <c r="F95">
        <f t="shared" si="2"/>
        <v>0</v>
      </c>
    </row>
    <row r="96" spans="1:6">
      <c r="A96" s="30">
        <f t="shared" si="3"/>
        <v>43186</v>
      </c>
      <c r="C96" t="s">
        <v>203</v>
      </c>
      <c r="D96">
        <f>IF(B96=$AB$2,$AC$2,$AC$3)</f>
        <v>0</v>
      </c>
      <c r="E96">
        <f>IF(ISBLANK(C96),0,VLOOKUP(C96,$AE$2:$AF$7,2,0))</f>
        <v>0.5</v>
      </c>
      <c r="F96">
        <f t="shared" si="2"/>
        <v>0</v>
      </c>
    </row>
    <row r="97" spans="1:6">
      <c r="A97" s="30">
        <f t="shared" si="3"/>
        <v>43187</v>
      </c>
      <c r="C97" t="s">
        <v>203</v>
      </c>
      <c r="D97">
        <f>IF(B97=$AB$2,$AC$2,$AC$3)</f>
        <v>0</v>
      </c>
      <c r="E97">
        <f>IF(ISBLANK(C97),0,VLOOKUP(C97,$AE$2:$AF$7,2,0))</f>
        <v>0.5</v>
      </c>
      <c r="F97">
        <f t="shared" si="2"/>
        <v>0</v>
      </c>
    </row>
    <row r="98" spans="1:6">
      <c r="A98" s="30">
        <f t="shared" si="3"/>
        <v>43188</v>
      </c>
      <c r="C98" t="s">
        <v>203</v>
      </c>
      <c r="D98">
        <f>IF(B98=$AB$2,$AC$2,$AC$3)</f>
        <v>0</v>
      </c>
      <c r="E98">
        <f>IF(ISBLANK(C98),0,VLOOKUP(C98,$AE$2:$AF$7,2,0))</f>
        <v>0.5</v>
      </c>
      <c r="F98">
        <f t="shared" si="2"/>
        <v>0</v>
      </c>
    </row>
    <row r="99" spans="1:6">
      <c r="A99" s="30">
        <f t="shared" si="3"/>
        <v>43189</v>
      </c>
      <c r="C99" t="s">
        <v>203</v>
      </c>
      <c r="D99">
        <f>IF(B99=$AB$2,$AC$2,$AC$3)</f>
        <v>0</v>
      </c>
      <c r="E99">
        <f>IF(ISBLANK(C99),0,VLOOKUP(C99,$AE$2:$AF$7,2,0))</f>
        <v>0.5</v>
      </c>
      <c r="F99">
        <f t="shared" si="2"/>
        <v>0</v>
      </c>
    </row>
    <row r="100" spans="1:6">
      <c r="A100" s="30">
        <f t="shared" si="3"/>
        <v>43190</v>
      </c>
      <c r="C100" t="s">
        <v>203</v>
      </c>
      <c r="D100">
        <f>IF(B100=$AB$2,$AC$2,$AC$3)</f>
        <v>0</v>
      </c>
      <c r="E100">
        <f>IF(ISBLANK(C100),0,VLOOKUP(C100,$AE$2:$AF$7,2,0))</f>
        <v>0.5</v>
      </c>
      <c r="F100">
        <f t="shared" si="2"/>
        <v>0</v>
      </c>
    </row>
    <row r="101" spans="1:6">
      <c r="A101" s="30">
        <f t="shared" si="3"/>
        <v>43191</v>
      </c>
      <c r="C101" t="s">
        <v>203</v>
      </c>
      <c r="D101">
        <f>IF(B101=$AB$2,$AC$2,$AC$3)</f>
        <v>0</v>
      </c>
      <c r="E101">
        <f>IF(ISBLANK(C101),0,VLOOKUP(C101,$AE$2:$AF$7,2,0))</f>
        <v>0.5</v>
      </c>
      <c r="F101">
        <f t="shared" si="2"/>
        <v>0</v>
      </c>
    </row>
    <row r="102" spans="1:6">
      <c r="A102" s="30">
        <f t="shared" si="3"/>
        <v>43192</v>
      </c>
      <c r="C102" t="s">
        <v>203</v>
      </c>
      <c r="D102">
        <f>IF(B102=$AB$2,$AC$2,$AC$3)</f>
        <v>0</v>
      </c>
      <c r="E102">
        <f>IF(ISBLANK(C102),0,VLOOKUP(C102,$AE$2:$AF$7,2,0))</f>
        <v>0.5</v>
      </c>
      <c r="F102">
        <f t="shared" si="2"/>
        <v>0</v>
      </c>
    </row>
    <row r="103" spans="1:6">
      <c r="A103" s="30">
        <f t="shared" si="3"/>
        <v>43193</v>
      </c>
      <c r="C103" t="s">
        <v>203</v>
      </c>
      <c r="D103">
        <f>IF(B103=$AB$2,$AC$2,$AC$3)</f>
        <v>0</v>
      </c>
      <c r="E103">
        <f>IF(ISBLANK(C103),0,VLOOKUP(C103,$AE$2:$AF$7,2,0))</f>
        <v>0.5</v>
      </c>
      <c r="F103">
        <f t="shared" si="2"/>
        <v>0</v>
      </c>
    </row>
    <row r="104" spans="1:6">
      <c r="A104" s="30">
        <f t="shared" si="3"/>
        <v>43194</v>
      </c>
      <c r="C104" t="s">
        <v>203</v>
      </c>
      <c r="D104">
        <f>IF(B104=$AB$2,$AC$2,$AC$3)</f>
        <v>0</v>
      </c>
      <c r="E104">
        <f>IF(ISBLANK(C104),0,VLOOKUP(C104,$AE$2:$AF$7,2,0))</f>
        <v>0.5</v>
      </c>
      <c r="F104">
        <f t="shared" si="2"/>
        <v>0</v>
      </c>
    </row>
    <row r="105" spans="1:6">
      <c r="A105" s="30">
        <f t="shared" si="3"/>
        <v>43195</v>
      </c>
      <c r="C105" t="s">
        <v>203</v>
      </c>
      <c r="D105">
        <f>IF(B105=$AB$2,$AC$2,$AC$3)</f>
        <v>0</v>
      </c>
      <c r="E105">
        <f>IF(ISBLANK(C105),0,VLOOKUP(C105,$AE$2:$AF$7,2,0))</f>
        <v>0.5</v>
      </c>
      <c r="F105">
        <f t="shared" si="2"/>
        <v>0</v>
      </c>
    </row>
    <row r="106" spans="1:6">
      <c r="A106" s="30">
        <f t="shared" si="3"/>
        <v>43196</v>
      </c>
      <c r="C106" t="s">
        <v>203</v>
      </c>
      <c r="D106">
        <f>IF(B106=$AB$2,$AC$2,$AC$3)</f>
        <v>0</v>
      </c>
      <c r="E106">
        <f>IF(ISBLANK(C106),0,VLOOKUP(C106,$AE$2:$AF$7,2,0))</f>
        <v>0.5</v>
      </c>
      <c r="F106">
        <f t="shared" si="2"/>
        <v>0</v>
      </c>
    </row>
    <row r="107" spans="1:6">
      <c r="A107" s="30">
        <f t="shared" si="3"/>
        <v>43197</v>
      </c>
      <c r="C107" t="s">
        <v>203</v>
      </c>
      <c r="D107">
        <f>IF(B107=$AB$2,$AC$2,$AC$3)</f>
        <v>0</v>
      </c>
      <c r="E107">
        <f>IF(ISBLANK(C107),0,VLOOKUP(C107,$AE$2:$AF$7,2,0))</f>
        <v>0.5</v>
      </c>
      <c r="F107">
        <f t="shared" si="2"/>
        <v>0</v>
      </c>
    </row>
    <row r="108" spans="1:6">
      <c r="A108" s="30">
        <f t="shared" si="3"/>
        <v>43198</v>
      </c>
      <c r="C108" t="s">
        <v>203</v>
      </c>
      <c r="D108">
        <f>IF(B108=$AB$2,$AC$2,$AC$3)</f>
        <v>0</v>
      </c>
      <c r="E108">
        <f>IF(ISBLANK(C108),0,VLOOKUP(C108,$AE$2:$AF$7,2,0))</f>
        <v>0.5</v>
      </c>
      <c r="F108">
        <f t="shared" si="2"/>
        <v>0</v>
      </c>
    </row>
    <row r="109" spans="1:6">
      <c r="A109" s="30">
        <f t="shared" si="3"/>
        <v>43199</v>
      </c>
      <c r="C109" t="s">
        <v>203</v>
      </c>
      <c r="D109">
        <f>IF(B109=$AB$2,$AC$2,$AC$3)</f>
        <v>0</v>
      </c>
      <c r="E109">
        <f>IF(ISBLANK(C109),0,VLOOKUP(C109,$AE$2:$AF$7,2,0))</f>
        <v>0.5</v>
      </c>
      <c r="F109">
        <f t="shared" si="2"/>
        <v>0</v>
      </c>
    </row>
    <row r="110" spans="1:6">
      <c r="A110" s="30">
        <f t="shared" si="3"/>
        <v>43200</v>
      </c>
      <c r="C110" t="s">
        <v>203</v>
      </c>
      <c r="D110">
        <f>IF(B110=$AB$2,$AC$2,$AC$3)</f>
        <v>0</v>
      </c>
      <c r="E110">
        <f>IF(ISBLANK(C110),0,VLOOKUP(C110,$AE$2:$AF$7,2,0))</f>
        <v>0.5</v>
      </c>
      <c r="F110">
        <f t="shared" si="2"/>
        <v>0</v>
      </c>
    </row>
    <row r="111" spans="1:6">
      <c r="A111" s="30">
        <f t="shared" si="3"/>
        <v>43201</v>
      </c>
      <c r="C111" t="s">
        <v>203</v>
      </c>
      <c r="D111">
        <f>IF(B111=$AB$2,$AC$2,$AC$3)</f>
        <v>0</v>
      </c>
      <c r="E111">
        <f>IF(ISBLANK(C111),0,VLOOKUP(C111,$AE$2:$AF$7,2,0))</f>
        <v>0.5</v>
      </c>
      <c r="F111">
        <f t="shared" si="2"/>
        <v>0</v>
      </c>
    </row>
    <row r="112" spans="1:6">
      <c r="A112" s="30">
        <f t="shared" si="3"/>
        <v>43202</v>
      </c>
      <c r="C112" t="s">
        <v>203</v>
      </c>
      <c r="D112">
        <f>IF(B112=$AB$2,$AC$2,$AC$3)</f>
        <v>0</v>
      </c>
      <c r="E112">
        <f>IF(ISBLANK(C112),0,VLOOKUP(C112,$AE$2:$AF$7,2,0))</f>
        <v>0.5</v>
      </c>
      <c r="F112">
        <f t="shared" si="2"/>
        <v>0</v>
      </c>
    </row>
    <row r="113" spans="1:6">
      <c r="A113" s="30">
        <f t="shared" si="3"/>
        <v>43203</v>
      </c>
      <c r="C113" t="s">
        <v>203</v>
      </c>
      <c r="D113">
        <f>IF(B113=$AB$2,$AC$2,$AC$3)</f>
        <v>0</v>
      </c>
      <c r="E113">
        <f>IF(ISBLANK(C113),0,VLOOKUP(C113,$AE$2:$AF$7,2,0))</f>
        <v>0.5</v>
      </c>
      <c r="F113">
        <f t="shared" si="2"/>
        <v>0</v>
      </c>
    </row>
    <row r="114" spans="1:6">
      <c r="A114" s="30">
        <f t="shared" si="3"/>
        <v>43204</v>
      </c>
      <c r="C114" t="s">
        <v>203</v>
      </c>
      <c r="D114">
        <f>IF(B114=$AB$2,$AC$2,$AC$3)</f>
        <v>0</v>
      </c>
      <c r="E114">
        <f>IF(ISBLANK(C114),0,VLOOKUP(C114,$AE$2:$AF$7,2,0))</f>
        <v>0.5</v>
      </c>
      <c r="F114">
        <f t="shared" si="2"/>
        <v>0</v>
      </c>
    </row>
    <row r="115" spans="1:6">
      <c r="A115" s="30">
        <f t="shared" si="3"/>
        <v>43205</v>
      </c>
      <c r="C115" t="s">
        <v>203</v>
      </c>
      <c r="D115">
        <f>IF(B115=$AB$2,$AC$2,$AC$3)</f>
        <v>0</v>
      </c>
      <c r="E115">
        <f>IF(ISBLANK(C115),0,VLOOKUP(C115,$AE$2:$AF$7,2,0))</f>
        <v>0.5</v>
      </c>
      <c r="F115">
        <f t="shared" si="2"/>
        <v>0</v>
      </c>
    </row>
    <row r="116" spans="1:6">
      <c r="A116" s="30">
        <f t="shared" si="3"/>
        <v>43206</v>
      </c>
      <c r="C116" t="s">
        <v>203</v>
      </c>
      <c r="D116">
        <f>IF(B116=$AB$2,$AC$2,$AC$3)</f>
        <v>0</v>
      </c>
      <c r="E116">
        <f>IF(ISBLANK(C116),0,VLOOKUP(C116,$AE$2:$AF$7,2,0))</f>
        <v>0.5</v>
      </c>
      <c r="F116">
        <f t="shared" si="2"/>
        <v>0</v>
      </c>
    </row>
    <row r="117" spans="1:6">
      <c r="A117" s="30">
        <f>A116+1</f>
        <v>43207</v>
      </c>
      <c r="C117" t="s">
        <v>203</v>
      </c>
      <c r="D117">
        <f>IF(B117=$AB$2,$AC$2,$AC$3)</f>
        <v>0</v>
      </c>
      <c r="E117">
        <f>IF(ISBLANK(C117),0,VLOOKUP(C117,$AE$2:$AF$7,2,0))</f>
        <v>0.5</v>
      </c>
      <c r="F117">
        <f t="shared" si="2"/>
        <v>0</v>
      </c>
    </row>
    <row r="118" spans="1:6">
      <c r="A118" s="30">
        <f t="shared" ref="A118:A181" si="4">A117+1</f>
        <v>43208</v>
      </c>
      <c r="C118" t="s">
        <v>203</v>
      </c>
      <c r="D118">
        <f>IF(B118=$AB$2,$AC$2,$AC$3)</f>
        <v>0</v>
      </c>
      <c r="E118">
        <f>IF(ISBLANK(C118),0,VLOOKUP(C118,$AE$2:$AF$7,2,0))</f>
        <v>0.5</v>
      </c>
      <c r="F118">
        <f t="shared" si="2"/>
        <v>0</v>
      </c>
    </row>
    <row r="119" spans="1:6">
      <c r="A119" s="30">
        <f t="shared" si="4"/>
        <v>43209</v>
      </c>
      <c r="C119" t="s">
        <v>203</v>
      </c>
      <c r="D119">
        <f>IF(B119=$AB$2,$AC$2,$AC$3)</f>
        <v>0</v>
      </c>
      <c r="E119">
        <f>IF(ISBLANK(C119),0,VLOOKUP(C119,$AE$2:$AF$7,2,0))</f>
        <v>0.5</v>
      </c>
      <c r="F119">
        <f t="shared" si="2"/>
        <v>0</v>
      </c>
    </row>
    <row r="120" spans="1:6">
      <c r="A120" s="30">
        <f t="shared" si="4"/>
        <v>43210</v>
      </c>
      <c r="C120" t="s">
        <v>203</v>
      </c>
      <c r="D120">
        <f>IF(B120=$AB$2,$AC$2,$AC$3)</f>
        <v>0</v>
      </c>
      <c r="E120">
        <f>IF(ISBLANK(C120),0,VLOOKUP(C120,$AE$2:$AF$7,2,0))</f>
        <v>0.5</v>
      </c>
      <c r="F120">
        <f t="shared" si="2"/>
        <v>0</v>
      </c>
    </row>
    <row r="121" spans="1:6">
      <c r="A121" s="30">
        <f t="shared" si="4"/>
        <v>43211</v>
      </c>
      <c r="C121" t="s">
        <v>203</v>
      </c>
      <c r="D121">
        <f>IF(B121=$AB$2,$AC$2,$AC$3)</f>
        <v>0</v>
      </c>
      <c r="E121">
        <f>IF(ISBLANK(C121),0,VLOOKUP(C121,$AE$2:$AF$7,2,0))</f>
        <v>0.5</v>
      </c>
      <c r="F121">
        <f t="shared" si="2"/>
        <v>0</v>
      </c>
    </row>
    <row r="122" spans="1:6">
      <c r="A122" s="30">
        <f t="shared" si="4"/>
        <v>43212</v>
      </c>
      <c r="C122" t="s">
        <v>203</v>
      </c>
      <c r="D122">
        <f>IF(B122=$AB$2,$AC$2,$AC$3)</f>
        <v>0</v>
      </c>
      <c r="E122">
        <f>IF(ISBLANK(C122),0,VLOOKUP(C122,$AE$2:$AF$7,2,0))</f>
        <v>0.5</v>
      </c>
      <c r="F122">
        <f t="shared" si="2"/>
        <v>0</v>
      </c>
    </row>
    <row r="123" spans="1:6">
      <c r="A123" s="30">
        <f t="shared" si="4"/>
        <v>43213</v>
      </c>
      <c r="C123" t="s">
        <v>203</v>
      </c>
      <c r="D123">
        <f>IF(B123=$AB$2,$AC$2,$AC$3)</f>
        <v>0</v>
      </c>
      <c r="E123">
        <f>IF(ISBLANK(C123),0,VLOOKUP(C123,$AE$2:$AF$7,2,0))</f>
        <v>0.5</v>
      </c>
      <c r="F123">
        <f t="shared" si="2"/>
        <v>0</v>
      </c>
    </row>
    <row r="124" spans="1:6">
      <c r="A124" s="30">
        <f t="shared" si="4"/>
        <v>43214</v>
      </c>
      <c r="C124" t="s">
        <v>203</v>
      </c>
      <c r="D124">
        <f>IF(B124=$AB$2,$AC$2,$AC$3)</f>
        <v>0</v>
      </c>
      <c r="E124">
        <f>IF(ISBLANK(C124),0,VLOOKUP(C124,$AE$2:$AF$7,2,0))</f>
        <v>0.5</v>
      </c>
      <c r="F124">
        <f t="shared" si="2"/>
        <v>0</v>
      </c>
    </row>
    <row r="125" spans="1:6">
      <c r="A125" s="30">
        <f t="shared" si="4"/>
        <v>43215</v>
      </c>
      <c r="C125" t="s">
        <v>203</v>
      </c>
      <c r="D125">
        <f>IF(B125=$AB$2,$AC$2,$AC$3)</f>
        <v>0</v>
      </c>
      <c r="E125">
        <f>IF(ISBLANK(C125),0,VLOOKUP(C125,$AE$2:$AF$7,2,0))</f>
        <v>0.5</v>
      </c>
      <c r="F125">
        <f t="shared" si="2"/>
        <v>0</v>
      </c>
    </row>
    <row r="126" spans="1:6">
      <c r="A126" s="30">
        <f t="shared" si="4"/>
        <v>43216</v>
      </c>
      <c r="C126" t="s">
        <v>203</v>
      </c>
      <c r="D126">
        <f>IF(B126=$AB$2,$AC$2,$AC$3)</f>
        <v>0</v>
      </c>
      <c r="E126">
        <f>IF(ISBLANK(C126),0,VLOOKUP(C126,$AE$2:$AF$7,2,0))</f>
        <v>0.5</v>
      </c>
      <c r="F126">
        <f t="shared" si="2"/>
        <v>0</v>
      </c>
    </row>
    <row r="127" spans="1:6">
      <c r="A127" s="30">
        <f t="shared" si="4"/>
        <v>43217</v>
      </c>
      <c r="C127" t="s">
        <v>203</v>
      </c>
      <c r="D127">
        <f>IF(B127=$AB$2,$AC$2,$AC$3)</f>
        <v>0</v>
      </c>
      <c r="E127">
        <f>IF(ISBLANK(C127),0,VLOOKUP(C127,$AE$2:$AF$7,2,0))</f>
        <v>0.5</v>
      </c>
      <c r="F127">
        <f t="shared" si="2"/>
        <v>0</v>
      </c>
    </row>
    <row r="128" spans="1:6">
      <c r="A128" s="30">
        <f t="shared" si="4"/>
        <v>43218</v>
      </c>
      <c r="C128" t="s">
        <v>203</v>
      </c>
      <c r="D128">
        <f>IF(B128=$AB$2,$AC$2,$AC$3)</f>
        <v>0</v>
      </c>
      <c r="E128">
        <f>IF(ISBLANK(C128),0,VLOOKUP(C128,$AE$2:$AF$7,2,0))</f>
        <v>0.5</v>
      </c>
      <c r="F128">
        <f t="shared" si="2"/>
        <v>0</v>
      </c>
    </row>
    <row r="129" spans="1:6">
      <c r="A129" s="30">
        <f t="shared" si="4"/>
        <v>43219</v>
      </c>
      <c r="C129" t="s">
        <v>203</v>
      </c>
      <c r="D129">
        <f>IF(B129=$AB$2,$AC$2,$AC$3)</f>
        <v>0</v>
      </c>
      <c r="E129">
        <f>IF(ISBLANK(C129),0,VLOOKUP(C129,$AE$2:$AF$7,2,0))</f>
        <v>0.5</v>
      </c>
      <c r="F129">
        <f t="shared" si="2"/>
        <v>0</v>
      </c>
    </row>
    <row r="130" spans="1:6">
      <c r="A130" s="30">
        <f t="shared" si="4"/>
        <v>43220</v>
      </c>
      <c r="C130" t="s">
        <v>203</v>
      </c>
      <c r="D130">
        <f>IF(B130=$AB$2,$AC$2,$AC$3)</f>
        <v>0</v>
      </c>
      <c r="E130">
        <f>IF(ISBLANK(C130),0,VLOOKUP(C130,$AE$2:$AF$7,2,0))</f>
        <v>0.5</v>
      </c>
      <c r="F130">
        <f t="shared" si="2"/>
        <v>0</v>
      </c>
    </row>
    <row r="131" spans="1:6">
      <c r="A131" s="30">
        <f t="shared" si="4"/>
        <v>43221</v>
      </c>
      <c r="C131" t="s">
        <v>203</v>
      </c>
      <c r="D131">
        <f>IF(B131=$AB$2,$AC$2,$AC$3)</f>
        <v>0</v>
      </c>
      <c r="E131">
        <f>IF(ISBLANK(C131),0,VLOOKUP(C131,$AE$2:$AF$7,2,0))</f>
        <v>0.5</v>
      </c>
      <c r="F131">
        <f t="shared" ref="F131:F194" si="5">D131*E131</f>
        <v>0</v>
      </c>
    </row>
    <row r="132" spans="1:6">
      <c r="A132" s="30">
        <f t="shared" si="4"/>
        <v>43222</v>
      </c>
      <c r="C132" t="s">
        <v>203</v>
      </c>
      <c r="D132">
        <f>IF(B132=$AB$2,$AC$2,$AC$3)</f>
        <v>0</v>
      </c>
      <c r="E132">
        <f>IF(ISBLANK(C132),0,VLOOKUP(C132,$AE$2:$AF$7,2,0))</f>
        <v>0.5</v>
      </c>
      <c r="F132">
        <f t="shared" si="5"/>
        <v>0</v>
      </c>
    </row>
    <row r="133" spans="1:6">
      <c r="A133" s="30">
        <f t="shared" si="4"/>
        <v>43223</v>
      </c>
      <c r="C133" t="s">
        <v>203</v>
      </c>
      <c r="D133">
        <f>IF(B133=$AB$2,$AC$2,$AC$3)</f>
        <v>0</v>
      </c>
      <c r="E133">
        <f>IF(ISBLANK(C133),0,VLOOKUP(C133,$AE$2:$AF$7,2,0))</f>
        <v>0.5</v>
      </c>
      <c r="F133">
        <f t="shared" si="5"/>
        <v>0</v>
      </c>
    </row>
    <row r="134" spans="1:6">
      <c r="A134" s="30">
        <f t="shared" si="4"/>
        <v>43224</v>
      </c>
      <c r="C134" t="s">
        <v>203</v>
      </c>
      <c r="D134">
        <f>IF(B134=$AB$2,$AC$2,$AC$3)</f>
        <v>0</v>
      </c>
      <c r="E134">
        <f>IF(ISBLANK(C134),0,VLOOKUP(C134,$AE$2:$AF$7,2,0))</f>
        <v>0.5</v>
      </c>
      <c r="F134">
        <f t="shared" si="5"/>
        <v>0</v>
      </c>
    </row>
    <row r="135" spans="1:6">
      <c r="A135" s="30">
        <f t="shared" si="4"/>
        <v>43225</v>
      </c>
      <c r="C135" t="s">
        <v>203</v>
      </c>
      <c r="D135">
        <f>IF(B135=$AB$2,$AC$2,$AC$3)</f>
        <v>0</v>
      </c>
      <c r="E135">
        <f>IF(ISBLANK(C135),0,VLOOKUP(C135,$AE$2:$AF$7,2,0))</f>
        <v>0.5</v>
      </c>
      <c r="F135">
        <f t="shared" si="5"/>
        <v>0</v>
      </c>
    </row>
    <row r="136" spans="1:6">
      <c r="A136" s="30">
        <f t="shared" si="4"/>
        <v>43226</v>
      </c>
      <c r="C136" t="s">
        <v>203</v>
      </c>
      <c r="D136">
        <f>IF(B136=$AB$2,$AC$2,$AC$3)</f>
        <v>0</v>
      </c>
      <c r="E136">
        <f>IF(ISBLANK(C136),0,VLOOKUP(C136,$AE$2:$AF$7,2,0))</f>
        <v>0.5</v>
      </c>
      <c r="F136">
        <f t="shared" si="5"/>
        <v>0</v>
      </c>
    </row>
    <row r="137" spans="1:6">
      <c r="A137" s="30">
        <f t="shared" si="4"/>
        <v>43227</v>
      </c>
      <c r="C137" t="s">
        <v>203</v>
      </c>
      <c r="D137">
        <f>IF(B137=$AB$2,$AC$2,$AC$3)</f>
        <v>0</v>
      </c>
      <c r="E137">
        <f>IF(ISBLANK(C137),0,VLOOKUP(C137,$AE$2:$AF$7,2,0))</f>
        <v>0.5</v>
      </c>
      <c r="F137">
        <f t="shared" si="5"/>
        <v>0</v>
      </c>
    </row>
    <row r="138" spans="1:6">
      <c r="A138" s="30">
        <f t="shared" si="4"/>
        <v>43228</v>
      </c>
      <c r="C138" t="s">
        <v>203</v>
      </c>
      <c r="D138">
        <f>IF(B138=$AB$2,$AC$2,$AC$3)</f>
        <v>0</v>
      </c>
      <c r="E138">
        <f>IF(ISBLANK(C138),0,VLOOKUP(C138,$AE$2:$AF$7,2,0))</f>
        <v>0.5</v>
      </c>
      <c r="F138">
        <f t="shared" si="5"/>
        <v>0</v>
      </c>
    </row>
    <row r="139" spans="1:6">
      <c r="A139" s="30">
        <f t="shared" si="4"/>
        <v>43229</v>
      </c>
      <c r="C139" t="s">
        <v>203</v>
      </c>
      <c r="D139">
        <f>IF(B139=$AB$2,$AC$2,$AC$3)</f>
        <v>0</v>
      </c>
      <c r="E139">
        <f>IF(ISBLANK(C139),0,VLOOKUP(C139,$AE$2:$AF$7,2,0))</f>
        <v>0.5</v>
      </c>
      <c r="F139">
        <f t="shared" si="5"/>
        <v>0</v>
      </c>
    </row>
    <row r="140" spans="1:6">
      <c r="A140" s="30">
        <f t="shared" si="4"/>
        <v>43230</v>
      </c>
      <c r="C140" t="s">
        <v>203</v>
      </c>
      <c r="D140">
        <f>IF(B140=$AB$2,$AC$2,$AC$3)</f>
        <v>0</v>
      </c>
      <c r="E140">
        <f>IF(ISBLANK(C140),0,VLOOKUP(C140,$AE$2:$AF$7,2,0))</f>
        <v>0.5</v>
      </c>
      <c r="F140">
        <f t="shared" si="5"/>
        <v>0</v>
      </c>
    </row>
    <row r="141" spans="1:6">
      <c r="A141" s="30">
        <f t="shared" si="4"/>
        <v>43231</v>
      </c>
      <c r="C141" t="s">
        <v>203</v>
      </c>
      <c r="D141">
        <f>IF(B141=$AB$2,$AC$2,$AC$3)</f>
        <v>0</v>
      </c>
      <c r="E141">
        <f>IF(ISBLANK(C141),0,VLOOKUP(C141,$AE$2:$AF$7,2,0))</f>
        <v>0.5</v>
      </c>
      <c r="F141">
        <f t="shared" si="5"/>
        <v>0</v>
      </c>
    </row>
    <row r="142" spans="1:6">
      <c r="A142" s="30">
        <f t="shared" si="4"/>
        <v>43232</v>
      </c>
      <c r="C142" t="s">
        <v>203</v>
      </c>
      <c r="D142">
        <f>IF(B142=$AB$2,$AC$2,$AC$3)</f>
        <v>0</v>
      </c>
      <c r="E142">
        <f>IF(ISBLANK(C142),0,VLOOKUP(C142,$AE$2:$AF$7,2,0))</f>
        <v>0.5</v>
      </c>
      <c r="F142">
        <f t="shared" si="5"/>
        <v>0</v>
      </c>
    </row>
    <row r="143" spans="1:6">
      <c r="A143" s="30">
        <f t="shared" si="4"/>
        <v>43233</v>
      </c>
      <c r="C143" t="s">
        <v>203</v>
      </c>
      <c r="D143">
        <f>IF(B143=$AB$2,$AC$2,$AC$3)</f>
        <v>0</v>
      </c>
      <c r="E143">
        <f>IF(ISBLANK(C143),0,VLOOKUP(C143,$AE$2:$AF$7,2,0))</f>
        <v>0.5</v>
      </c>
      <c r="F143">
        <f t="shared" si="5"/>
        <v>0</v>
      </c>
    </row>
    <row r="144" spans="1:6">
      <c r="A144" s="30">
        <f t="shared" si="4"/>
        <v>43234</v>
      </c>
      <c r="C144" t="s">
        <v>203</v>
      </c>
      <c r="D144">
        <f>IF(B144=$AB$2,$AC$2,$AC$3)</f>
        <v>0</v>
      </c>
      <c r="E144">
        <f>IF(ISBLANK(C144),0,VLOOKUP(C144,$AE$2:$AF$7,2,0))</f>
        <v>0.5</v>
      </c>
      <c r="F144">
        <f t="shared" si="5"/>
        <v>0</v>
      </c>
    </row>
    <row r="145" spans="1:6">
      <c r="A145" s="30">
        <f t="shared" si="4"/>
        <v>43235</v>
      </c>
      <c r="C145" t="s">
        <v>203</v>
      </c>
      <c r="D145">
        <f>IF(B145=$AB$2,$AC$2,$AC$3)</f>
        <v>0</v>
      </c>
      <c r="E145">
        <f>IF(ISBLANK(C145),0,VLOOKUP(C145,$AE$2:$AF$7,2,0))</f>
        <v>0.5</v>
      </c>
      <c r="F145">
        <f t="shared" si="5"/>
        <v>0</v>
      </c>
    </row>
    <row r="146" spans="1:6">
      <c r="A146" s="30">
        <f t="shared" si="4"/>
        <v>43236</v>
      </c>
      <c r="C146" t="s">
        <v>203</v>
      </c>
      <c r="D146">
        <f>IF(B146=$AB$2,$AC$2,$AC$3)</f>
        <v>0</v>
      </c>
      <c r="E146">
        <f>IF(ISBLANK(C146),0,VLOOKUP(C146,$AE$2:$AF$7,2,0))</f>
        <v>0.5</v>
      </c>
      <c r="F146">
        <f t="shared" si="5"/>
        <v>0</v>
      </c>
    </row>
    <row r="147" spans="1:6">
      <c r="A147" s="30">
        <f t="shared" si="4"/>
        <v>43237</v>
      </c>
      <c r="C147" t="s">
        <v>203</v>
      </c>
      <c r="D147">
        <f>IF(B147=$AB$2,$AC$2,$AC$3)</f>
        <v>0</v>
      </c>
      <c r="E147">
        <f>IF(ISBLANK(C147),0,VLOOKUP(C147,$AE$2:$AF$7,2,0))</f>
        <v>0.5</v>
      </c>
      <c r="F147">
        <f t="shared" si="5"/>
        <v>0</v>
      </c>
    </row>
    <row r="148" spans="1:6">
      <c r="A148" s="30">
        <f t="shared" si="4"/>
        <v>43238</v>
      </c>
      <c r="C148" t="s">
        <v>203</v>
      </c>
      <c r="D148">
        <f>IF(B148=$AB$2,$AC$2,$AC$3)</f>
        <v>0</v>
      </c>
      <c r="E148">
        <f>IF(ISBLANK(C148),0,VLOOKUP(C148,$AE$2:$AF$7,2,0))</f>
        <v>0.5</v>
      </c>
      <c r="F148">
        <f t="shared" si="5"/>
        <v>0</v>
      </c>
    </row>
    <row r="149" spans="1:6">
      <c r="A149" s="30">
        <f t="shared" si="4"/>
        <v>43239</v>
      </c>
      <c r="C149" t="s">
        <v>203</v>
      </c>
      <c r="D149">
        <f>IF(B149=$AB$2,$AC$2,$AC$3)</f>
        <v>0</v>
      </c>
      <c r="E149">
        <f>IF(ISBLANK(C149),0,VLOOKUP(C149,$AE$2:$AF$7,2,0))</f>
        <v>0.5</v>
      </c>
      <c r="F149">
        <f t="shared" si="5"/>
        <v>0</v>
      </c>
    </row>
    <row r="150" spans="1:6">
      <c r="A150" s="30">
        <f t="shared" si="4"/>
        <v>43240</v>
      </c>
      <c r="C150" t="s">
        <v>203</v>
      </c>
      <c r="D150">
        <f>IF(B150=$AB$2,$AC$2,$AC$3)</f>
        <v>0</v>
      </c>
      <c r="E150">
        <f>IF(ISBLANK(C150),0,VLOOKUP(C150,$AE$2:$AF$7,2,0))</f>
        <v>0.5</v>
      </c>
      <c r="F150">
        <f t="shared" si="5"/>
        <v>0</v>
      </c>
    </row>
    <row r="151" spans="1:6">
      <c r="A151" s="30">
        <f t="shared" si="4"/>
        <v>43241</v>
      </c>
      <c r="C151" t="s">
        <v>203</v>
      </c>
      <c r="D151">
        <f>IF(B151=$AB$2,$AC$2,$AC$3)</f>
        <v>0</v>
      </c>
      <c r="E151">
        <f>IF(ISBLANK(C151),0,VLOOKUP(C151,$AE$2:$AF$7,2,0))</f>
        <v>0.5</v>
      </c>
      <c r="F151">
        <f t="shared" si="5"/>
        <v>0</v>
      </c>
    </row>
    <row r="152" spans="1:6">
      <c r="A152" s="30">
        <f t="shared" si="4"/>
        <v>43242</v>
      </c>
      <c r="C152" t="s">
        <v>203</v>
      </c>
      <c r="D152">
        <f>IF(B152=$AB$2,$AC$2,$AC$3)</f>
        <v>0</v>
      </c>
      <c r="E152">
        <f>IF(ISBLANK(C152),0,VLOOKUP(C152,$AE$2:$AF$7,2,0))</f>
        <v>0.5</v>
      </c>
      <c r="F152">
        <f t="shared" si="5"/>
        <v>0</v>
      </c>
    </row>
    <row r="153" spans="1:6">
      <c r="A153" s="30">
        <f t="shared" si="4"/>
        <v>43243</v>
      </c>
      <c r="C153" t="s">
        <v>203</v>
      </c>
      <c r="D153">
        <f>IF(B153=$AB$2,$AC$2,$AC$3)</f>
        <v>0</v>
      </c>
      <c r="E153">
        <f>IF(ISBLANK(C153),0,VLOOKUP(C153,$AE$2:$AF$7,2,0))</f>
        <v>0.5</v>
      </c>
      <c r="F153">
        <f t="shared" si="5"/>
        <v>0</v>
      </c>
    </row>
    <row r="154" spans="1:6">
      <c r="A154" s="30">
        <f t="shared" si="4"/>
        <v>43244</v>
      </c>
      <c r="C154" t="s">
        <v>203</v>
      </c>
      <c r="D154">
        <f>IF(B154=$AB$2,$AC$2,$AC$3)</f>
        <v>0</v>
      </c>
      <c r="E154">
        <f>IF(ISBLANK(C154),0,VLOOKUP(C154,$AE$2:$AF$7,2,0))</f>
        <v>0.5</v>
      </c>
      <c r="F154">
        <f t="shared" si="5"/>
        <v>0</v>
      </c>
    </row>
    <row r="155" spans="1:6">
      <c r="A155" s="30">
        <f t="shared" si="4"/>
        <v>43245</v>
      </c>
      <c r="C155" t="s">
        <v>203</v>
      </c>
      <c r="D155">
        <f>IF(B155=$AB$2,$AC$2,$AC$3)</f>
        <v>0</v>
      </c>
      <c r="E155">
        <f>IF(ISBLANK(C155),0,VLOOKUP(C155,$AE$2:$AF$7,2,0))</f>
        <v>0.5</v>
      </c>
      <c r="F155">
        <f t="shared" si="5"/>
        <v>0</v>
      </c>
    </row>
    <row r="156" spans="1:6">
      <c r="A156" s="30">
        <f t="shared" si="4"/>
        <v>43246</v>
      </c>
      <c r="C156" t="s">
        <v>203</v>
      </c>
      <c r="D156">
        <f>IF(B156=$AB$2,$AC$2,$AC$3)</f>
        <v>0</v>
      </c>
      <c r="E156">
        <f>IF(ISBLANK(C156),0,VLOOKUP(C156,$AE$2:$AF$7,2,0))</f>
        <v>0.5</v>
      </c>
      <c r="F156">
        <f t="shared" si="5"/>
        <v>0</v>
      </c>
    </row>
    <row r="157" spans="1:6">
      <c r="A157" s="30">
        <f t="shared" si="4"/>
        <v>43247</v>
      </c>
      <c r="C157" t="s">
        <v>203</v>
      </c>
      <c r="D157">
        <f>IF(B157=$AB$2,$AC$2,$AC$3)</f>
        <v>0</v>
      </c>
      <c r="E157">
        <f>IF(ISBLANK(C157),0,VLOOKUP(C157,$AE$2:$AF$7,2,0))</f>
        <v>0.5</v>
      </c>
      <c r="F157">
        <f t="shared" si="5"/>
        <v>0</v>
      </c>
    </row>
    <row r="158" spans="1:6">
      <c r="A158" s="30">
        <f t="shared" si="4"/>
        <v>43248</v>
      </c>
      <c r="C158" t="s">
        <v>203</v>
      </c>
      <c r="D158">
        <f>IF(B158=$AB$2,$AC$2,$AC$3)</f>
        <v>0</v>
      </c>
      <c r="E158">
        <f>IF(ISBLANK(C158),0,VLOOKUP(C158,$AE$2:$AF$7,2,0))</f>
        <v>0.5</v>
      </c>
      <c r="F158">
        <f t="shared" si="5"/>
        <v>0</v>
      </c>
    </row>
    <row r="159" spans="1:6">
      <c r="A159" s="30">
        <f t="shared" si="4"/>
        <v>43249</v>
      </c>
      <c r="C159" t="s">
        <v>203</v>
      </c>
      <c r="D159">
        <f>IF(B159=$AB$2,$AC$2,$AC$3)</f>
        <v>0</v>
      </c>
      <c r="E159">
        <f>IF(ISBLANK(C159),0,VLOOKUP(C159,$AE$2:$AF$7,2,0))</f>
        <v>0.5</v>
      </c>
      <c r="F159">
        <f t="shared" si="5"/>
        <v>0</v>
      </c>
    </row>
    <row r="160" spans="1:6">
      <c r="A160" s="30">
        <f t="shared" si="4"/>
        <v>43250</v>
      </c>
      <c r="C160" t="s">
        <v>203</v>
      </c>
      <c r="D160">
        <f>IF(B160=$AB$2,$AC$2,$AC$3)</f>
        <v>0</v>
      </c>
      <c r="E160">
        <f>IF(ISBLANK(C160),0,VLOOKUP(C160,$AE$2:$AF$7,2,0))</f>
        <v>0.5</v>
      </c>
      <c r="F160">
        <f t="shared" si="5"/>
        <v>0</v>
      </c>
    </row>
    <row r="161" spans="1:6">
      <c r="A161" s="30">
        <f t="shared" si="4"/>
        <v>43251</v>
      </c>
      <c r="C161" t="s">
        <v>203</v>
      </c>
      <c r="D161">
        <f>IF(B161=$AB$2,$AC$2,$AC$3)</f>
        <v>0</v>
      </c>
      <c r="E161">
        <f>IF(ISBLANK(C161),0,VLOOKUP(C161,$AE$2:$AF$7,2,0))</f>
        <v>0.5</v>
      </c>
      <c r="F161">
        <f t="shared" si="5"/>
        <v>0</v>
      </c>
    </row>
    <row r="162" spans="1:6">
      <c r="A162" s="30">
        <f t="shared" si="4"/>
        <v>43252</v>
      </c>
      <c r="C162" t="s">
        <v>203</v>
      </c>
      <c r="D162">
        <f>IF(B162=$AB$2,$AC$2,$AC$3)</f>
        <v>0</v>
      </c>
      <c r="E162">
        <f>IF(ISBLANK(C162),0,VLOOKUP(C162,$AE$2:$AF$7,2,0))</f>
        <v>0.5</v>
      </c>
      <c r="F162">
        <f t="shared" si="5"/>
        <v>0</v>
      </c>
    </row>
    <row r="163" spans="1:6">
      <c r="A163" s="30">
        <f t="shared" si="4"/>
        <v>43253</v>
      </c>
      <c r="C163" t="s">
        <v>203</v>
      </c>
      <c r="D163">
        <f>IF(B163=$AB$2,$AC$2,$AC$3)</f>
        <v>0</v>
      </c>
      <c r="E163">
        <f>IF(ISBLANK(C163),0,VLOOKUP(C163,$AE$2:$AF$7,2,0))</f>
        <v>0.5</v>
      </c>
      <c r="F163">
        <f t="shared" si="5"/>
        <v>0</v>
      </c>
    </row>
    <row r="164" spans="1:6">
      <c r="A164" s="30">
        <f t="shared" si="4"/>
        <v>43254</v>
      </c>
      <c r="C164" t="s">
        <v>203</v>
      </c>
      <c r="D164">
        <f>IF(B164=$AB$2,$AC$2,$AC$3)</f>
        <v>0</v>
      </c>
      <c r="E164">
        <f>IF(ISBLANK(C164),0,VLOOKUP(C164,$AE$2:$AF$7,2,0))</f>
        <v>0.5</v>
      </c>
      <c r="F164">
        <f t="shared" si="5"/>
        <v>0</v>
      </c>
    </row>
    <row r="165" spans="1:6">
      <c r="A165" s="30">
        <f t="shared" si="4"/>
        <v>43255</v>
      </c>
      <c r="C165" t="s">
        <v>203</v>
      </c>
      <c r="D165">
        <f>IF(B165=$AB$2,$AC$2,$AC$3)</f>
        <v>0</v>
      </c>
      <c r="E165">
        <f>IF(ISBLANK(C165),0,VLOOKUP(C165,$AE$2:$AF$7,2,0))</f>
        <v>0.5</v>
      </c>
      <c r="F165">
        <f t="shared" si="5"/>
        <v>0</v>
      </c>
    </row>
    <row r="166" spans="1:6">
      <c r="A166" s="30">
        <f t="shared" si="4"/>
        <v>43256</v>
      </c>
      <c r="C166" t="s">
        <v>203</v>
      </c>
      <c r="D166">
        <f>IF(B166=$AB$2,$AC$2,$AC$3)</f>
        <v>0</v>
      </c>
      <c r="E166">
        <f>IF(ISBLANK(C166),0,VLOOKUP(C166,$AE$2:$AF$7,2,0))</f>
        <v>0.5</v>
      </c>
      <c r="F166">
        <f t="shared" si="5"/>
        <v>0</v>
      </c>
    </row>
    <row r="167" spans="1:6">
      <c r="A167" s="30">
        <f t="shared" si="4"/>
        <v>43257</v>
      </c>
      <c r="C167" t="s">
        <v>203</v>
      </c>
      <c r="D167">
        <f>IF(B167=$AB$2,$AC$2,$AC$3)</f>
        <v>0</v>
      </c>
      <c r="E167">
        <f>IF(ISBLANK(C167),0,VLOOKUP(C167,$AE$2:$AF$7,2,0))</f>
        <v>0.5</v>
      </c>
      <c r="F167">
        <f t="shared" si="5"/>
        <v>0</v>
      </c>
    </row>
    <row r="168" spans="1:6">
      <c r="A168" s="30">
        <f t="shared" si="4"/>
        <v>43258</v>
      </c>
      <c r="C168" t="s">
        <v>203</v>
      </c>
      <c r="D168">
        <f>IF(B168=$AB$2,$AC$2,$AC$3)</f>
        <v>0</v>
      </c>
      <c r="E168">
        <f>IF(ISBLANK(C168),0,VLOOKUP(C168,$AE$2:$AF$7,2,0))</f>
        <v>0.5</v>
      </c>
      <c r="F168">
        <f t="shared" si="5"/>
        <v>0</v>
      </c>
    </row>
    <row r="169" spans="1:6">
      <c r="A169" s="30">
        <f t="shared" si="4"/>
        <v>43259</v>
      </c>
      <c r="C169" t="s">
        <v>203</v>
      </c>
      <c r="D169">
        <f>IF(B169=$AB$2,$AC$2,$AC$3)</f>
        <v>0</v>
      </c>
      <c r="E169">
        <f>IF(ISBLANK(C169),0,VLOOKUP(C169,$AE$2:$AF$7,2,0))</f>
        <v>0.5</v>
      </c>
      <c r="F169">
        <f t="shared" si="5"/>
        <v>0</v>
      </c>
    </row>
    <row r="170" spans="1:6">
      <c r="A170" s="30">
        <f t="shared" si="4"/>
        <v>43260</v>
      </c>
      <c r="C170" t="s">
        <v>203</v>
      </c>
      <c r="D170">
        <f>IF(B170=$AB$2,$AC$2,$AC$3)</f>
        <v>0</v>
      </c>
      <c r="E170">
        <f>IF(ISBLANK(C170),0,VLOOKUP(C170,$AE$2:$AF$7,2,0))</f>
        <v>0.5</v>
      </c>
      <c r="F170">
        <f t="shared" si="5"/>
        <v>0</v>
      </c>
    </row>
    <row r="171" spans="1:6">
      <c r="A171" s="30">
        <f t="shared" si="4"/>
        <v>43261</v>
      </c>
      <c r="C171" t="s">
        <v>203</v>
      </c>
      <c r="D171">
        <f>IF(B171=$AB$2,$AC$2,$AC$3)</f>
        <v>0</v>
      </c>
      <c r="E171">
        <f>IF(ISBLANK(C171),0,VLOOKUP(C171,$AE$2:$AF$7,2,0))</f>
        <v>0.5</v>
      </c>
      <c r="F171">
        <f t="shared" si="5"/>
        <v>0</v>
      </c>
    </row>
    <row r="172" spans="1:6">
      <c r="A172" s="30">
        <f t="shared" si="4"/>
        <v>43262</v>
      </c>
      <c r="C172" t="s">
        <v>203</v>
      </c>
      <c r="D172">
        <f>IF(B172=$AB$2,$AC$2,$AC$3)</f>
        <v>0</v>
      </c>
      <c r="E172">
        <f>IF(ISBLANK(C172),0,VLOOKUP(C172,$AE$2:$AF$7,2,0))</f>
        <v>0.5</v>
      </c>
      <c r="F172">
        <f t="shared" si="5"/>
        <v>0</v>
      </c>
    </row>
    <row r="173" spans="1:6">
      <c r="A173" s="30">
        <f t="shared" si="4"/>
        <v>43263</v>
      </c>
      <c r="C173" t="s">
        <v>203</v>
      </c>
      <c r="D173">
        <f>IF(B173=$AB$2,$AC$2,$AC$3)</f>
        <v>0</v>
      </c>
      <c r="E173">
        <f>IF(ISBLANK(C173),0,VLOOKUP(C173,$AE$2:$AF$7,2,0))</f>
        <v>0.5</v>
      </c>
      <c r="F173">
        <f t="shared" si="5"/>
        <v>0</v>
      </c>
    </row>
    <row r="174" spans="1:6">
      <c r="A174" s="30">
        <f t="shared" si="4"/>
        <v>43264</v>
      </c>
      <c r="C174" t="s">
        <v>203</v>
      </c>
      <c r="D174">
        <f>IF(B174=$AB$2,$AC$2,$AC$3)</f>
        <v>0</v>
      </c>
      <c r="E174">
        <f>IF(ISBLANK(C174),0,VLOOKUP(C174,$AE$2:$AF$7,2,0))</f>
        <v>0.5</v>
      </c>
      <c r="F174">
        <f t="shared" si="5"/>
        <v>0</v>
      </c>
    </row>
    <row r="175" spans="1:6">
      <c r="A175" s="30">
        <f t="shared" si="4"/>
        <v>43265</v>
      </c>
      <c r="C175" t="s">
        <v>203</v>
      </c>
      <c r="D175">
        <f>IF(B175=$AB$2,$AC$2,$AC$3)</f>
        <v>0</v>
      </c>
      <c r="E175">
        <f>IF(ISBLANK(C175),0,VLOOKUP(C175,$AE$2:$AF$7,2,0))</f>
        <v>0.5</v>
      </c>
      <c r="F175">
        <f t="shared" si="5"/>
        <v>0</v>
      </c>
    </row>
    <row r="176" spans="1:6">
      <c r="A176" s="30">
        <f t="shared" si="4"/>
        <v>43266</v>
      </c>
      <c r="C176" t="s">
        <v>203</v>
      </c>
      <c r="D176">
        <f>IF(B176=$AB$2,$AC$2,$AC$3)</f>
        <v>0</v>
      </c>
      <c r="E176">
        <f>IF(ISBLANK(C176),0,VLOOKUP(C176,$AE$2:$AF$7,2,0))</f>
        <v>0.5</v>
      </c>
      <c r="F176">
        <f t="shared" si="5"/>
        <v>0</v>
      </c>
    </row>
    <row r="177" spans="1:6">
      <c r="A177" s="30">
        <f t="shared" si="4"/>
        <v>43267</v>
      </c>
      <c r="C177" t="s">
        <v>203</v>
      </c>
      <c r="D177">
        <f>IF(B177=$AB$2,$AC$2,$AC$3)</f>
        <v>0</v>
      </c>
      <c r="E177">
        <f>IF(ISBLANK(C177),0,VLOOKUP(C177,$AE$2:$AF$7,2,0))</f>
        <v>0.5</v>
      </c>
      <c r="F177">
        <f t="shared" si="5"/>
        <v>0</v>
      </c>
    </row>
    <row r="178" spans="1:6">
      <c r="A178" s="30">
        <f t="shared" si="4"/>
        <v>43268</v>
      </c>
      <c r="C178" t="s">
        <v>203</v>
      </c>
      <c r="D178">
        <f>IF(B178=$AB$2,$AC$2,$AC$3)</f>
        <v>0</v>
      </c>
      <c r="E178">
        <f>IF(ISBLANK(C178),0,VLOOKUP(C178,$AE$2:$AF$7,2,0))</f>
        <v>0.5</v>
      </c>
      <c r="F178">
        <f t="shared" si="5"/>
        <v>0</v>
      </c>
    </row>
    <row r="179" spans="1:6">
      <c r="A179" s="30">
        <f t="shared" si="4"/>
        <v>43269</v>
      </c>
      <c r="C179" t="s">
        <v>203</v>
      </c>
      <c r="D179">
        <f>IF(B179=$AB$2,$AC$2,$AC$3)</f>
        <v>0</v>
      </c>
      <c r="E179">
        <f>IF(ISBLANK(C179),0,VLOOKUP(C179,$AE$2:$AF$7,2,0))</f>
        <v>0.5</v>
      </c>
      <c r="F179">
        <f t="shared" si="5"/>
        <v>0</v>
      </c>
    </row>
    <row r="180" spans="1:6">
      <c r="A180" s="30">
        <f t="shared" si="4"/>
        <v>43270</v>
      </c>
      <c r="C180" t="s">
        <v>203</v>
      </c>
      <c r="D180">
        <f>IF(B180=$AB$2,$AC$2,$AC$3)</f>
        <v>0</v>
      </c>
      <c r="E180">
        <f>IF(ISBLANK(C180),0,VLOOKUP(C180,$AE$2:$AF$7,2,0))</f>
        <v>0.5</v>
      </c>
      <c r="F180">
        <f t="shared" si="5"/>
        <v>0</v>
      </c>
    </row>
    <row r="181" spans="1:6">
      <c r="A181" s="30">
        <f t="shared" si="4"/>
        <v>43271</v>
      </c>
      <c r="C181" t="s">
        <v>203</v>
      </c>
      <c r="D181">
        <f>IF(B181=$AB$2,$AC$2,$AC$3)</f>
        <v>0</v>
      </c>
      <c r="E181">
        <f>IF(ISBLANK(C181),0,VLOOKUP(C181,$AE$2:$AF$7,2,0))</f>
        <v>0.5</v>
      </c>
      <c r="F181">
        <f t="shared" si="5"/>
        <v>0</v>
      </c>
    </row>
    <row r="182" spans="1:6">
      <c r="A182" s="30">
        <f t="shared" ref="A182:A230" si="6">A181+1</f>
        <v>43272</v>
      </c>
      <c r="C182" t="s">
        <v>203</v>
      </c>
      <c r="D182">
        <f>IF(B182=$AB$2,$AC$2,$AC$3)</f>
        <v>0</v>
      </c>
      <c r="E182">
        <f>IF(ISBLANK(C182),0,VLOOKUP(C182,$AE$2:$AF$7,2,0))</f>
        <v>0.5</v>
      </c>
      <c r="F182">
        <f t="shared" si="5"/>
        <v>0</v>
      </c>
    </row>
    <row r="183" spans="1:6">
      <c r="A183" s="30">
        <f t="shared" si="6"/>
        <v>43273</v>
      </c>
      <c r="C183" t="s">
        <v>203</v>
      </c>
      <c r="D183">
        <f>IF(B183=$AB$2,$AC$2,$AC$3)</f>
        <v>0</v>
      </c>
      <c r="E183">
        <f>IF(ISBLANK(C183),0,VLOOKUP(C183,$AE$2:$AF$7,2,0))</f>
        <v>0.5</v>
      </c>
      <c r="F183">
        <f t="shared" si="5"/>
        <v>0</v>
      </c>
    </row>
    <row r="184" spans="1:6">
      <c r="A184" s="30">
        <f t="shared" si="6"/>
        <v>43274</v>
      </c>
      <c r="C184" t="s">
        <v>203</v>
      </c>
      <c r="D184">
        <f>IF(B184=$AB$2,$AC$2,$AC$3)</f>
        <v>0</v>
      </c>
      <c r="E184">
        <f>IF(ISBLANK(C184),0,VLOOKUP(C184,$AE$2:$AF$7,2,0))</f>
        <v>0.5</v>
      </c>
      <c r="F184">
        <f t="shared" si="5"/>
        <v>0</v>
      </c>
    </row>
    <row r="185" spans="1:6">
      <c r="A185" s="30">
        <f t="shared" si="6"/>
        <v>43275</v>
      </c>
      <c r="C185" t="s">
        <v>203</v>
      </c>
      <c r="D185">
        <f>IF(B185=$AB$2,$AC$2,$AC$3)</f>
        <v>0</v>
      </c>
      <c r="E185">
        <f>IF(ISBLANK(C185),0,VLOOKUP(C185,$AE$2:$AF$7,2,0))</f>
        <v>0.5</v>
      </c>
      <c r="F185">
        <f t="shared" si="5"/>
        <v>0</v>
      </c>
    </row>
    <row r="186" spans="1:6">
      <c r="A186" s="30">
        <f t="shared" si="6"/>
        <v>43276</v>
      </c>
      <c r="C186" t="s">
        <v>203</v>
      </c>
      <c r="D186">
        <f>IF(B186=$AB$2,$AC$2,$AC$3)</f>
        <v>0</v>
      </c>
      <c r="E186">
        <f>IF(ISBLANK(C186),0,VLOOKUP(C186,$AE$2:$AF$7,2,0))</f>
        <v>0.5</v>
      </c>
      <c r="F186">
        <f t="shared" si="5"/>
        <v>0</v>
      </c>
    </row>
    <row r="187" spans="1:6">
      <c r="A187" s="30">
        <f t="shared" si="6"/>
        <v>43277</v>
      </c>
      <c r="C187" t="s">
        <v>203</v>
      </c>
      <c r="D187">
        <f>IF(B187=$AB$2,$AC$2,$AC$3)</f>
        <v>0</v>
      </c>
      <c r="E187">
        <f>IF(ISBLANK(C187),0,VLOOKUP(C187,$AE$2:$AF$7,2,0))</f>
        <v>0.5</v>
      </c>
      <c r="F187">
        <f t="shared" si="5"/>
        <v>0</v>
      </c>
    </row>
    <row r="188" spans="1:6">
      <c r="A188" s="30">
        <f t="shared" si="6"/>
        <v>43278</v>
      </c>
      <c r="C188" t="s">
        <v>203</v>
      </c>
      <c r="D188">
        <f>IF(B188=$AB$2,$AC$2,$AC$3)</f>
        <v>0</v>
      </c>
      <c r="E188">
        <f>IF(ISBLANK(C188),0,VLOOKUP(C188,$AE$2:$AF$7,2,0))</f>
        <v>0.5</v>
      </c>
      <c r="F188">
        <f t="shared" si="5"/>
        <v>0</v>
      </c>
    </row>
    <row r="189" spans="1:6">
      <c r="A189" s="30">
        <f t="shared" si="6"/>
        <v>43279</v>
      </c>
      <c r="C189" t="s">
        <v>203</v>
      </c>
      <c r="D189">
        <f>IF(B189=$AB$2,$AC$2,$AC$3)</f>
        <v>0</v>
      </c>
      <c r="E189">
        <f>IF(ISBLANK(C189),0,VLOOKUP(C189,$AE$2:$AF$7,2,0))</f>
        <v>0.5</v>
      </c>
      <c r="F189">
        <f t="shared" si="5"/>
        <v>0</v>
      </c>
    </row>
    <row r="190" spans="1:6">
      <c r="A190" s="30">
        <f t="shared" si="6"/>
        <v>43280</v>
      </c>
      <c r="C190" t="s">
        <v>203</v>
      </c>
      <c r="D190">
        <f>IF(B190=$AB$2,$AC$2,$AC$3)</f>
        <v>0</v>
      </c>
      <c r="E190">
        <f>IF(ISBLANK(C190),0,VLOOKUP(C190,$AE$2:$AF$7,2,0))</f>
        <v>0.5</v>
      </c>
      <c r="F190">
        <f t="shared" si="5"/>
        <v>0</v>
      </c>
    </row>
    <row r="191" spans="1:6">
      <c r="A191" s="30">
        <f t="shared" si="6"/>
        <v>43281</v>
      </c>
      <c r="C191" t="s">
        <v>203</v>
      </c>
      <c r="D191">
        <f>IF(B191=$AB$2,$AC$2,$AC$3)</f>
        <v>0</v>
      </c>
      <c r="E191">
        <f>IF(ISBLANK(C191),0,VLOOKUP(C191,$AE$2:$AF$7,2,0))</f>
        <v>0.5</v>
      </c>
      <c r="F191">
        <f t="shared" si="5"/>
        <v>0</v>
      </c>
    </row>
    <row r="192" spans="1:6">
      <c r="A192" s="30">
        <f t="shared" si="6"/>
        <v>43282</v>
      </c>
      <c r="C192" t="s">
        <v>203</v>
      </c>
      <c r="D192">
        <f>IF(B192=$AB$2,$AC$2,$AC$3)</f>
        <v>0</v>
      </c>
      <c r="E192">
        <f>IF(ISBLANK(C192),0,VLOOKUP(C192,$AE$2:$AF$7,2,0))</f>
        <v>0.5</v>
      </c>
      <c r="F192">
        <f t="shared" si="5"/>
        <v>0</v>
      </c>
    </row>
    <row r="193" spans="1:6">
      <c r="A193" s="30">
        <f t="shared" si="6"/>
        <v>43283</v>
      </c>
      <c r="C193" t="s">
        <v>203</v>
      </c>
      <c r="D193">
        <f>IF(B193=$AB$2,$AC$2,$AC$3)</f>
        <v>0</v>
      </c>
      <c r="E193">
        <f>IF(ISBLANK(C193),0,VLOOKUP(C193,$AE$2:$AF$7,2,0))</f>
        <v>0.5</v>
      </c>
      <c r="F193">
        <f t="shared" si="5"/>
        <v>0</v>
      </c>
    </row>
    <row r="194" spans="1:6">
      <c r="A194" s="30">
        <f t="shared" si="6"/>
        <v>43284</v>
      </c>
      <c r="C194" t="s">
        <v>203</v>
      </c>
      <c r="D194">
        <f>IF(B194=$AB$2,$AC$2,$AC$3)</f>
        <v>0</v>
      </c>
      <c r="E194">
        <f>IF(ISBLANK(C194),0,VLOOKUP(C194,$AE$2:$AF$7,2,0))</f>
        <v>0.5</v>
      </c>
      <c r="F194">
        <f t="shared" si="5"/>
        <v>0</v>
      </c>
    </row>
    <row r="195" spans="1:6">
      <c r="A195" s="30">
        <f t="shared" si="6"/>
        <v>43285</v>
      </c>
      <c r="C195" t="s">
        <v>203</v>
      </c>
      <c r="D195">
        <f>IF(B195=$AB$2,$AC$2,$AC$3)</f>
        <v>0</v>
      </c>
      <c r="E195">
        <f>IF(ISBLANK(C195),0,VLOOKUP(C195,$AE$2:$AF$7,2,0))</f>
        <v>0.5</v>
      </c>
      <c r="F195">
        <f t="shared" ref="F195:F258" si="7">D195*E195</f>
        <v>0</v>
      </c>
    </row>
    <row r="196" spans="1:6">
      <c r="A196" s="30">
        <f t="shared" si="6"/>
        <v>43286</v>
      </c>
      <c r="C196" t="s">
        <v>203</v>
      </c>
      <c r="D196">
        <f>IF(B196=$AB$2,$AC$2,$AC$3)</f>
        <v>0</v>
      </c>
      <c r="E196">
        <f>IF(ISBLANK(C196),0,VLOOKUP(C196,$AE$2:$AF$7,2,0))</f>
        <v>0.5</v>
      </c>
      <c r="F196">
        <f t="shared" si="7"/>
        <v>0</v>
      </c>
    </row>
    <row r="197" spans="1:6">
      <c r="A197" s="30">
        <f t="shared" si="6"/>
        <v>43287</v>
      </c>
      <c r="C197" t="s">
        <v>203</v>
      </c>
      <c r="D197">
        <f>IF(B197=$AB$2,$AC$2,$AC$3)</f>
        <v>0</v>
      </c>
      <c r="E197">
        <f>IF(ISBLANK(C197),0,VLOOKUP(C197,$AE$2:$AF$7,2,0))</f>
        <v>0.5</v>
      </c>
      <c r="F197">
        <f t="shared" si="7"/>
        <v>0</v>
      </c>
    </row>
    <row r="198" spans="1:6">
      <c r="A198" s="30">
        <f t="shared" si="6"/>
        <v>43288</v>
      </c>
      <c r="C198" t="s">
        <v>203</v>
      </c>
      <c r="D198">
        <f>IF(B198=$AB$2,$AC$2,$AC$3)</f>
        <v>0</v>
      </c>
      <c r="E198">
        <f>IF(ISBLANK(C198),0,VLOOKUP(C198,$AE$2:$AF$7,2,0))</f>
        <v>0.5</v>
      </c>
      <c r="F198">
        <f t="shared" si="7"/>
        <v>0</v>
      </c>
    </row>
    <row r="199" spans="1:6">
      <c r="A199" s="30">
        <f t="shared" si="6"/>
        <v>43289</v>
      </c>
      <c r="C199" t="s">
        <v>203</v>
      </c>
      <c r="D199">
        <f>IF(B199=$AB$2,$AC$2,$AC$3)</f>
        <v>0</v>
      </c>
      <c r="E199">
        <f>IF(ISBLANK(C199),0,VLOOKUP(C199,$AE$2:$AF$7,2,0))</f>
        <v>0.5</v>
      </c>
      <c r="F199">
        <f t="shared" si="7"/>
        <v>0</v>
      </c>
    </row>
    <row r="200" spans="1:6">
      <c r="A200" s="30">
        <f t="shared" si="6"/>
        <v>43290</v>
      </c>
      <c r="C200" t="s">
        <v>203</v>
      </c>
      <c r="D200">
        <f>IF(B200=$AB$2,$AC$2,$AC$3)</f>
        <v>0</v>
      </c>
      <c r="E200">
        <f>IF(ISBLANK(C200),0,VLOOKUP(C200,$AE$2:$AF$7,2,0))</f>
        <v>0.5</v>
      </c>
      <c r="F200">
        <f t="shared" si="7"/>
        <v>0</v>
      </c>
    </row>
    <row r="201" spans="1:6">
      <c r="A201" s="30">
        <f t="shared" si="6"/>
        <v>43291</v>
      </c>
      <c r="C201" t="s">
        <v>203</v>
      </c>
      <c r="D201">
        <f>IF(B201=$AB$2,$AC$2,$AC$3)</f>
        <v>0</v>
      </c>
      <c r="E201">
        <f>IF(ISBLANK(C201),0,VLOOKUP(C201,$AE$2:$AF$7,2,0))</f>
        <v>0.5</v>
      </c>
      <c r="F201">
        <f t="shared" si="7"/>
        <v>0</v>
      </c>
    </row>
    <row r="202" spans="1:6">
      <c r="A202" s="30">
        <f t="shared" si="6"/>
        <v>43292</v>
      </c>
      <c r="C202" t="s">
        <v>203</v>
      </c>
      <c r="D202">
        <f>IF(B202=$AB$2,$AC$2,$AC$3)</f>
        <v>0</v>
      </c>
      <c r="E202">
        <f>IF(ISBLANK(C202),0,VLOOKUP(C202,$AE$2:$AF$7,2,0))</f>
        <v>0.5</v>
      </c>
      <c r="F202">
        <f t="shared" si="7"/>
        <v>0</v>
      </c>
    </row>
    <row r="203" spans="1:6">
      <c r="A203" s="30">
        <f t="shared" si="6"/>
        <v>43293</v>
      </c>
      <c r="C203" t="s">
        <v>203</v>
      </c>
      <c r="D203">
        <f>IF(B203=$AB$2,$AC$2,$AC$3)</f>
        <v>0</v>
      </c>
      <c r="E203">
        <f>IF(ISBLANK(C203),0,VLOOKUP(C203,$AE$2:$AF$7,2,0))</f>
        <v>0.5</v>
      </c>
      <c r="F203">
        <f t="shared" si="7"/>
        <v>0</v>
      </c>
    </row>
    <row r="204" spans="1:6">
      <c r="A204" s="30">
        <f t="shared" si="6"/>
        <v>43294</v>
      </c>
      <c r="C204" t="s">
        <v>203</v>
      </c>
      <c r="D204">
        <f>IF(B204=$AB$2,$AC$2,$AC$3)</f>
        <v>0</v>
      </c>
      <c r="E204">
        <f>IF(ISBLANK(C204),0,VLOOKUP(C204,$AE$2:$AF$7,2,0))</f>
        <v>0.5</v>
      </c>
      <c r="F204">
        <f t="shared" si="7"/>
        <v>0</v>
      </c>
    </row>
    <row r="205" spans="1:6">
      <c r="A205" s="30">
        <f t="shared" si="6"/>
        <v>43295</v>
      </c>
      <c r="C205" t="s">
        <v>203</v>
      </c>
      <c r="D205">
        <f>IF(B205=$AB$2,$AC$2,$AC$3)</f>
        <v>0</v>
      </c>
      <c r="E205">
        <f>IF(ISBLANK(C205),0,VLOOKUP(C205,$AE$2:$AF$7,2,0))</f>
        <v>0.5</v>
      </c>
      <c r="F205">
        <f t="shared" si="7"/>
        <v>0</v>
      </c>
    </row>
    <row r="206" spans="1:6">
      <c r="A206" s="30">
        <f t="shared" si="6"/>
        <v>43296</v>
      </c>
      <c r="C206" t="s">
        <v>203</v>
      </c>
      <c r="D206">
        <f>IF(B206=$AB$2,$AC$2,$AC$3)</f>
        <v>0</v>
      </c>
      <c r="E206">
        <f>IF(ISBLANK(C206),0,VLOOKUP(C206,$AE$2:$AF$7,2,0))</f>
        <v>0.5</v>
      </c>
      <c r="F206">
        <f t="shared" si="7"/>
        <v>0</v>
      </c>
    </row>
    <row r="207" spans="1:6">
      <c r="A207" s="30">
        <f t="shared" si="6"/>
        <v>43297</v>
      </c>
      <c r="C207" t="s">
        <v>203</v>
      </c>
      <c r="D207">
        <f>IF(B207=$AB$2,$AC$2,$AC$3)</f>
        <v>0</v>
      </c>
      <c r="E207">
        <f>IF(ISBLANK(C207),0,VLOOKUP(C207,$AE$2:$AF$7,2,0))</f>
        <v>0.5</v>
      </c>
      <c r="F207">
        <f t="shared" si="7"/>
        <v>0</v>
      </c>
    </row>
    <row r="208" spans="1:6">
      <c r="A208" s="30">
        <f t="shared" si="6"/>
        <v>43298</v>
      </c>
      <c r="C208" t="s">
        <v>203</v>
      </c>
      <c r="D208">
        <f>IF(B208=$AB$2,$AC$2,$AC$3)</f>
        <v>0</v>
      </c>
      <c r="E208">
        <f>IF(ISBLANK(C208),0,VLOOKUP(C208,$AE$2:$AF$7,2,0))</f>
        <v>0.5</v>
      </c>
      <c r="F208">
        <f t="shared" si="7"/>
        <v>0</v>
      </c>
    </row>
    <row r="209" spans="1:6">
      <c r="A209" s="30">
        <f t="shared" si="6"/>
        <v>43299</v>
      </c>
      <c r="C209" t="s">
        <v>203</v>
      </c>
      <c r="D209">
        <f>IF(B209=$AB$2,$AC$2,$AC$3)</f>
        <v>0</v>
      </c>
      <c r="E209">
        <f>IF(ISBLANK(C209),0,VLOOKUP(C209,$AE$2:$AF$7,2,0))</f>
        <v>0.5</v>
      </c>
      <c r="F209">
        <f t="shared" si="7"/>
        <v>0</v>
      </c>
    </row>
    <row r="210" spans="1:6">
      <c r="A210" s="30">
        <f t="shared" si="6"/>
        <v>43300</v>
      </c>
      <c r="C210" t="s">
        <v>203</v>
      </c>
      <c r="D210">
        <f>IF(B210=$AB$2,$AC$2,$AC$3)</f>
        <v>0</v>
      </c>
      <c r="E210">
        <f>IF(ISBLANK(C210),0,VLOOKUP(C210,$AE$2:$AF$7,2,0))</f>
        <v>0.5</v>
      </c>
      <c r="F210">
        <f t="shared" si="7"/>
        <v>0</v>
      </c>
    </row>
    <row r="211" spans="1:6">
      <c r="A211" s="30">
        <f t="shared" si="6"/>
        <v>43301</v>
      </c>
      <c r="C211" t="s">
        <v>203</v>
      </c>
      <c r="D211">
        <f>IF(B211=$AB$2,$AC$2,$AC$3)</f>
        <v>0</v>
      </c>
      <c r="E211">
        <f>IF(ISBLANK(C211),0,VLOOKUP(C211,$AE$2:$AF$7,2,0))</f>
        <v>0.5</v>
      </c>
      <c r="F211">
        <f t="shared" si="7"/>
        <v>0</v>
      </c>
    </row>
    <row r="212" spans="1:6">
      <c r="A212" s="30">
        <f t="shared" si="6"/>
        <v>43302</v>
      </c>
      <c r="C212" t="s">
        <v>203</v>
      </c>
      <c r="D212">
        <f>IF(B212=$AB$2,$AC$2,$AC$3)</f>
        <v>0</v>
      </c>
      <c r="E212">
        <f>IF(ISBLANK(C212),0,VLOOKUP(C212,$AE$2:$AF$7,2,0))</f>
        <v>0.5</v>
      </c>
      <c r="F212">
        <f t="shared" si="7"/>
        <v>0</v>
      </c>
    </row>
    <row r="213" spans="1:6">
      <c r="A213" s="30">
        <f t="shared" si="6"/>
        <v>43303</v>
      </c>
      <c r="C213" t="s">
        <v>203</v>
      </c>
      <c r="D213">
        <f>IF(B213=$AB$2,$AC$2,$AC$3)</f>
        <v>0</v>
      </c>
      <c r="E213">
        <f>IF(ISBLANK(C213),0,VLOOKUP(C213,$AE$2:$AF$7,2,0))</f>
        <v>0.5</v>
      </c>
      <c r="F213">
        <f t="shared" si="7"/>
        <v>0</v>
      </c>
    </row>
    <row r="214" spans="1:6">
      <c r="A214" s="30">
        <f t="shared" si="6"/>
        <v>43304</v>
      </c>
      <c r="C214" t="s">
        <v>203</v>
      </c>
      <c r="D214">
        <f>IF(B214=$AB$2,$AC$2,$AC$3)</f>
        <v>0</v>
      </c>
      <c r="E214">
        <f>IF(ISBLANK(C214),0,VLOOKUP(C214,$AE$2:$AF$7,2,0))</f>
        <v>0.5</v>
      </c>
      <c r="F214">
        <f t="shared" si="7"/>
        <v>0</v>
      </c>
    </row>
    <row r="215" spans="1:6">
      <c r="A215" s="30">
        <f t="shared" si="6"/>
        <v>43305</v>
      </c>
      <c r="C215" t="s">
        <v>203</v>
      </c>
      <c r="D215">
        <f>IF(B215=$AB$2,$AC$2,$AC$3)</f>
        <v>0</v>
      </c>
      <c r="E215">
        <f>IF(ISBLANK(C215),0,VLOOKUP(C215,$AE$2:$AF$7,2,0))</f>
        <v>0.5</v>
      </c>
      <c r="F215">
        <f t="shared" si="7"/>
        <v>0</v>
      </c>
    </row>
    <row r="216" spans="1:6">
      <c r="A216" s="30">
        <f t="shared" si="6"/>
        <v>43306</v>
      </c>
      <c r="C216" t="s">
        <v>203</v>
      </c>
      <c r="D216">
        <f>IF(B216=$AB$2,$AC$2,$AC$3)</f>
        <v>0</v>
      </c>
      <c r="E216">
        <f>IF(ISBLANK(C216),0,VLOOKUP(C216,$AE$2:$AF$7,2,0))</f>
        <v>0.5</v>
      </c>
      <c r="F216">
        <f t="shared" si="7"/>
        <v>0</v>
      </c>
    </row>
    <row r="217" spans="1:6">
      <c r="A217" s="30">
        <f t="shared" si="6"/>
        <v>43307</v>
      </c>
      <c r="C217" t="s">
        <v>203</v>
      </c>
      <c r="D217">
        <f>IF(B217=$AB$2,$AC$2,$AC$3)</f>
        <v>0</v>
      </c>
      <c r="E217">
        <f>IF(ISBLANK(C217),0,VLOOKUP(C217,$AE$2:$AF$7,2,0))</f>
        <v>0.5</v>
      </c>
      <c r="F217">
        <f t="shared" si="7"/>
        <v>0</v>
      </c>
    </row>
    <row r="218" spans="1:6">
      <c r="A218" s="30">
        <f t="shared" si="6"/>
        <v>43308</v>
      </c>
      <c r="C218" t="s">
        <v>203</v>
      </c>
      <c r="D218">
        <f>IF(B218=$AB$2,$AC$2,$AC$3)</f>
        <v>0</v>
      </c>
      <c r="E218">
        <f>IF(ISBLANK(C218),0,VLOOKUP(C218,$AE$2:$AF$7,2,0))</f>
        <v>0.5</v>
      </c>
      <c r="F218">
        <f t="shared" si="7"/>
        <v>0</v>
      </c>
    </row>
    <row r="219" spans="1:6">
      <c r="A219" s="30">
        <f t="shared" si="6"/>
        <v>43309</v>
      </c>
      <c r="C219" t="s">
        <v>203</v>
      </c>
      <c r="D219">
        <f>IF(B219=$AB$2,$AC$2,$AC$3)</f>
        <v>0</v>
      </c>
      <c r="E219">
        <f>IF(ISBLANK(C219),0,VLOOKUP(C219,$AE$2:$AF$7,2,0))</f>
        <v>0.5</v>
      </c>
      <c r="F219">
        <f t="shared" si="7"/>
        <v>0</v>
      </c>
    </row>
    <row r="220" spans="1:6">
      <c r="A220" s="30">
        <f t="shared" si="6"/>
        <v>43310</v>
      </c>
      <c r="C220" t="s">
        <v>203</v>
      </c>
      <c r="D220">
        <f>IF(B220=$AB$2,$AC$2,$AC$3)</f>
        <v>0</v>
      </c>
      <c r="E220">
        <f>IF(ISBLANK(C220),0,VLOOKUP(C220,$AE$2:$AF$7,2,0))</f>
        <v>0.5</v>
      </c>
      <c r="F220">
        <f t="shared" si="7"/>
        <v>0</v>
      </c>
    </row>
    <row r="221" spans="1:6">
      <c r="A221" s="30">
        <f t="shared" si="6"/>
        <v>43311</v>
      </c>
      <c r="C221" t="s">
        <v>203</v>
      </c>
      <c r="D221">
        <f>IF(B221=$AB$2,$AC$2,$AC$3)</f>
        <v>0</v>
      </c>
      <c r="E221">
        <f>IF(ISBLANK(C221),0,VLOOKUP(C221,$AE$2:$AF$7,2,0))</f>
        <v>0.5</v>
      </c>
      <c r="F221">
        <f t="shared" si="7"/>
        <v>0</v>
      </c>
    </row>
    <row r="222" spans="1:6">
      <c r="A222" s="30">
        <f t="shared" si="6"/>
        <v>43312</v>
      </c>
      <c r="C222" t="s">
        <v>203</v>
      </c>
      <c r="D222">
        <f>IF(B222=$AB$2,$AC$2,$AC$3)</f>
        <v>0</v>
      </c>
      <c r="E222">
        <f>IF(ISBLANK(C222),0,VLOOKUP(C222,$AE$2:$AF$7,2,0))</f>
        <v>0.5</v>
      </c>
      <c r="F222">
        <f t="shared" si="7"/>
        <v>0</v>
      </c>
    </row>
    <row r="223" spans="1:6">
      <c r="A223" s="30">
        <f t="shared" si="6"/>
        <v>43313</v>
      </c>
      <c r="C223" t="s">
        <v>203</v>
      </c>
      <c r="D223">
        <f>IF(B223=$AB$2,$AC$2,$AC$3)</f>
        <v>0</v>
      </c>
      <c r="E223">
        <f>IF(ISBLANK(C223),0,VLOOKUP(C223,$AE$2:$AF$7,2,0))</f>
        <v>0.5</v>
      </c>
      <c r="F223">
        <f t="shared" si="7"/>
        <v>0</v>
      </c>
    </row>
    <row r="224" spans="1:6">
      <c r="A224" s="30">
        <f t="shared" si="6"/>
        <v>43314</v>
      </c>
      <c r="C224" t="s">
        <v>203</v>
      </c>
      <c r="D224">
        <f>IF(B224=$AB$2,$AC$2,$AC$3)</f>
        <v>0</v>
      </c>
      <c r="E224">
        <f>IF(ISBLANK(C224),0,VLOOKUP(C224,$AE$2:$AF$7,2,0))</f>
        <v>0.5</v>
      </c>
      <c r="F224">
        <f t="shared" si="7"/>
        <v>0</v>
      </c>
    </row>
    <row r="225" spans="1:6">
      <c r="A225" s="30">
        <f t="shared" si="6"/>
        <v>43315</v>
      </c>
      <c r="C225" t="s">
        <v>203</v>
      </c>
      <c r="D225">
        <f>IF(B225=$AB$2,$AC$2,$AC$3)</f>
        <v>0</v>
      </c>
      <c r="E225">
        <f>IF(ISBLANK(C225),0,VLOOKUP(C225,$AE$2:$AF$7,2,0))</f>
        <v>0.5</v>
      </c>
      <c r="F225">
        <f t="shared" si="7"/>
        <v>0</v>
      </c>
    </row>
    <row r="226" spans="1:6">
      <c r="A226" s="30">
        <f t="shared" si="6"/>
        <v>43316</v>
      </c>
      <c r="C226" t="s">
        <v>203</v>
      </c>
      <c r="D226">
        <f>IF(B226=$AB$2,$AC$2,$AC$3)</f>
        <v>0</v>
      </c>
      <c r="E226">
        <f>IF(ISBLANK(C226),0,VLOOKUP(C226,$AE$2:$AF$7,2,0))</f>
        <v>0.5</v>
      </c>
      <c r="F226">
        <f t="shared" si="7"/>
        <v>0</v>
      </c>
    </row>
    <row r="227" spans="1:6">
      <c r="A227" s="30">
        <f t="shared" si="6"/>
        <v>43317</v>
      </c>
      <c r="C227" t="s">
        <v>203</v>
      </c>
      <c r="D227">
        <f>IF(B227=$AB$2,$AC$2,$AC$3)</f>
        <v>0</v>
      </c>
      <c r="E227">
        <f>IF(ISBLANK(C227),0,VLOOKUP(C227,$AE$2:$AF$7,2,0))</f>
        <v>0.5</v>
      </c>
      <c r="F227">
        <f t="shared" si="7"/>
        <v>0</v>
      </c>
    </row>
    <row r="228" spans="1:6">
      <c r="A228" s="30">
        <f t="shared" si="6"/>
        <v>43318</v>
      </c>
      <c r="C228" t="s">
        <v>203</v>
      </c>
      <c r="D228">
        <f>IF(B228=$AB$2,$AC$2,$AC$3)</f>
        <v>0</v>
      </c>
      <c r="E228">
        <f>IF(ISBLANK(C228),0,VLOOKUP(C228,$AE$2:$AF$7,2,0))</f>
        <v>0.5</v>
      </c>
      <c r="F228">
        <f t="shared" si="7"/>
        <v>0</v>
      </c>
    </row>
    <row r="229" spans="1:6">
      <c r="A229" s="30">
        <f t="shared" si="6"/>
        <v>43319</v>
      </c>
      <c r="C229" t="s">
        <v>203</v>
      </c>
      <c r="D229">
        <f>IF(B229=$AB$2,$AC$2,$AC$3)</f>
        <v>0</v>
      </c>
      <c r="E229">
        <f>IF(ISBLANK(C229),0,VLOOKUP(C229,$AE$2:$AF$7,2,0))</f>
        <v>0.5</v>
      </c>
      <c r="F229">
        <f t="shared" si="7"/>
        <v>0</v>
      </c>
    </row>
    <row r="230" spans="1:6">
      <c r="A230" s="30">
        <f t="shared" si="6"/>
        <v>43320</v>
      </c>
      <c r="C230" t="s">
        <v>203</v>
      </c>
      <c r="D230">
        <f>IF(B230=$AB$2,$AC$2,$AC$3)</f>
        <v>0</v>
      </c>
      <c r="E230">
        <f>IF(ISBLANK(C230),0,VLOOKUP(C230,$AE$2:$AF$7,2,0))</f>
        <v>0.5</v>
      </c>
      <c r="F230">
        <f t="shared" si="7"/>
        <v>0</v>
      </c>
    </row>
    <row r="231" spans="1:6">
      <c r="A231" s="30">
        <f>A230+1</f>
        <v>43321</v>
      </c>
      <c r="C231" t="s">
        <v>203</v>
      </c>
      <c r="D231">
        <f>IF(B231=$AB$2,$AC$2,$AC$3)</f>
        <v>0</v>
      </c>
      <c r="E231">
        <f>IF(ISBLANK(C231),0,VLOOKUP(C231,$AE$2:$AF$7,2,0))</f>
        <v>0.5</v>
      </c>
      <c r="F231">
        <f t="shared" si="7"/>
        <v>0</v>
      </c>
    </row>
    <row r="232" spans="1:6">
      <c r="A232" s="30">
        <f t="shared" ref="A232:A295" si="8">A231+1</f>
        <v>43322</v>
      </c>
      <c r="C232" t="s">
        <v>203</v>
      </c>
      <c r="D232">
        <f>IF(B232=$AB$2,$AC$2,$AC$3)</f>
        <v>0</v>
      </c>
      <c r="E232">
        <f>IF(ISBLANK(C232),0,VLOOKUP(C232,$AE$2:$AF$7,2,0))</f>
        <v>0.5</v>
      </c>
      <c r="F232">
        <f t="shared" si="7"/>
        <v>0</v>
      </c>
    </row>
    <row r="233" spans="1:6">
      <c r="A233" s="30">
        <f t="shared" si="8"/>
        <v>43323</v>
      </c>
      <c r="C233" t="s">
        <v>203</v>
      </c>
      <c r="D233">
        <f>IF(B233=$AB$2,$AC$2,$AC$3)</f>
        <v>0</v>
      </c>
      <c r="E233">
        <f>IF(ISBLANK(C233),0,VLOOKUP(C233,$AE$2:$AF$7,2,0))</f>
        <v>0.5</v>
      </c>
      <c r="F233">
        <f t="shared" si="7"/>
        <v>0</v>
      </c>
    </row>
    <row r="234" spans="1:6">
      <c r="A234" s="30">
        <f t="shared" si="8"/>
        <v>43324</v>
      </c>
      <c r="C234" t="s">
        <v>203</v>
      </c>
      <c r="D234">
        <f>IF(B234=$AB$2,$AC$2,$AC$3)</f>
        <v>0</v>
      </c>
      <c r="E234">
        <f>IF(ISBLANK(C234),0,VLOOKUP(C234,$AE$2:$AF$7,2,0))</f>
        <v>0.5</v>
      </c>
      <c r="F234">
        <f t="shared" si="7"/>
        <v>0</v>
      </c>
    </row>
    <row r="235" spans="1:6">
      <c r="A235" s="30">
        <f t="shared" si="8"/>
        <v>43325</v>
      </c>
      <c r="C235" t="s">
        <v>203</v>
      </c>
      <c r="D235">
        <f>IF(B235=$AB$2,$AC$2,$AC$3)</f>
        <v>0</v>
      </c>
      <c r="E235">
        <f>IF(ISBLANK(C235),0,VLOOKUP(C235,$AE$2:$AF$7,2,0))</f>
        <v>0.5</v>
      </c>
      <c r="F235">
        <f t="shared" si="7"/>
        <v>0</v>
      </c>
    </row>
    <row r="236" spans="1:6">
      <c r="A236" s="30">
        <f t="shared" si="8"/>
        <v>43326</v>
      </c>
      <c r="C236" t="s">
        <v>203</v>
      </c>
      <c r="D236">
        <f>IF(B236=$AB$2,$AC$2,$AC$3)</f>
        <v>0</v>
      </c>
      <c r="E236">
        <f>IF(ISBLANK(C236),0,VLOOKUP(C236,$AE$2:$AF$7,2,0))</f>
        <v>0.5</v>
      </c>
      <c r="F236">
        <f t="shared" si="7"/>
        <v>0</v>
      </c>
    </row>
    <row r="237" spans="1:6">
      <c r="A237" s="30">
        <f t="shared" si="8"/>
        <v>43327</v>
      </c>
      <c r="C237" t="s">
        <v>203</v>
      </c>
      <c r="D237">
        <f>IF(B237=$AB$2,$AC$2,$AC$3)</f>
        <v>0</v>
      </c>
      <c r="E237">
        <f>IF(ISBLANK(C237),0,VLOOKUP(C237,$AE$2:$AF$7,2,0))</f>
        <v>0.5</v>
      </c>
      <c r="F237">
        <f t="shared" si="7"/>
        <v>0</v>
      </c>
    </row>
    <row r="238" spans="1:6">
      <c r="A238" s="30">
        <f t="shared" si="8"/>
        <v>43328</v>
      </c>
      <c r="C238" t="s">
        <v>203</v>
      </c>
      <c r="D238">
        <f>IF(B238=$AB$2,$AC$2,$AC$3)</f>
        <v>0</v>
      </c>
      <c r="E238">
        <f>IF(ISBLANK(C238),0,VLOOKUP(C238,$AE$2:$AF$7,2,0))</f>
        <v>0.5</v>
      </c>
      <c r="F238">
        <f t="shared" si="7"/>
        <v>0</v>
      </c>
    </row>
    <row r="239" spans="1:6">
      <c r="A239" s="30">
        <f t="shared" si="8"/>
        <v>43329</v>
      </c>
      <c r="C239" t="s">
        <v>203</v>
      </c>
      <c r="D239">
        <f>IF(B239=$AB$2,$AC$2,$AC$3)</f>
        <v>0</v>
      </c>
      <c r="E239">
        <f>IF(ISBLANK(C239),0,VLOOKUP(C239,$AE$2:$AF$7,2,0))</f>
        <v>0.5</v>
      </c>
      <c r="F239">
        <f t="shared" si="7"/>
        <v>0</v>
      </c>
    </row>
    <row r="240" spans="1:6">
      <c r="A240" s="30">
        <f t="shared" si="8"/>
        <v>43330</v>
      </c>
      <c r="C240" t="s">
        <v>203</v>
      </c>
      <c r="D240">
        <f>IF(B240=$AB$2,$AC$2,$AC$3)</f>
        <v>0</v>
      </c>
      <c r="E240">
        <f>IF(ISBLANK(C240),0,VLOOKUP(C240,$AE$2:$AF$7,2,0))</f>
        <v>0.5</v>
      </c>
      <c r="F240">
        <f t="shared" si="7"/>
        <v>0</v>
      </c>
    </row>
    <row r="241" spans="1:6">
      <c r="A241" s="30">
        <f t="shared" si="8"/>
        <v>43331</v>
      </c>
      <c r="C241" t="s">
        <v>203</v>
      </c>
      <c r="D241">
        <f>IF(B241=$AB$2,$AC$2,$AC$3)</f>
        <v>0</v>
      </c>
      <c r="E241">
        <f>IF(ISBLANK(C241),0,VLOOKUP(C241,$AE$2:$AF$7,2,0))</f>
        <v>0.5</v>
      </c>
      <c r="F241">
        <f t="shared" si="7"/>
        <v>0</v>
      </c>
    </row>
    <row r="242" spans="1:6">
      <c r="A242" s="30">
        <f t="shared" si="8"/>
        <v>43332</v>
      </c>
      <c r="C242" t="s">
        <v>203</v>
      </c>
      <c r="D242">
        <f>IF(B242=$AB$2,$AC$2,$AC$3)</f>
        <v>0</v>
      </c>
      <c r="E242">
        <f>IF(ISBLANK(C242),0,VLOOKUP(C242,$AE$2:$AF$7,2,0))</f>
        <v>0.5</v>
      </c>
      <c r="F242">
        <f t="shared" si="7"/>
        <v>0</v>
      </c>
    </row>
    <row r="243" spans="1:6">
      <c r="A243" s="30">
        <f t="shared" si="8"/>
        <v>43333</v>
      </c>
      <c r="C243" t="s">
        <v>203</v>
      </c>
      <c r="D243">
        <f>IF(B243=$AB$2,$AC$2,$AC$3)</f>
        <v>0</v>
      </c>
      <c r="E243">
        <f>IF(ISBLANK(C243),0,VLOOKUP(C243,$AE$2:$AF$7,2,0))</f>
        <v>0.5</v>
      </c>
      <c r="F243">
        <f t="shared" si="7"/>
        <v>0</v>
      </c>
    </row>
    <row r="244" spans="1:6">
      <c r="A244" s="30">
        <f t="shared" si="8"/>
        <v>43334</v>
      </c>
      <c r="C244" t="s">
        <v>203</v>
      </c>
      <c r="D244">
        <f>IF(B244=$AB$2,$AC$2,$AC$3)</f>
        <v>0</v>
      </c>
      <c r="E244">
        <f>IF(ISBLANK(C244),0,VLOOKUP(C244,$AE$2:$AF$7,2,0))</f>
        <v>0.5</v>
      </c>
      <c r="F244">
        <f t="shared" si="7"/>
        <v>0</v>
      </c>
    </row>
    <row r="245" spans="1:6">
      <c r="A245" s="30">
        <f t="shared" si="8"/>
        <v>43335</v>
      </c>
      <c r="C245" t="s">
        <v>203</v>
      </c>
      <c r="D245">
        <f>IF(B245=$AB$2,$AC$2,$AC$3)</f>
        <v>0</v>
      </c>
      <c r="E245">
        <f>IF(ISBLANK(C245),0,VLOOKUP(C245,$AE$2:$AF$7,2,0))</f>
        <v>0.5</v>
      </c>
      <c r="F245">
        <f t="shared" si="7"/>
        <v>0</v>
      </c>
    </row>
    <row r="246" spans="1:6">
      <c r="A246" s="30">
        <f t="shared" si="8"/>
        <v>43336</v>
      </c>
      <c r="C246" t="s">
        <v>203</v>
      </c>
      <c r="D246">
        <f>IF(B246=$AB$2,$AC$2,$AC$3)</f>
        <v>0</v>
      </c>
      <c r="E246">
        <f>IF(ISBLANK(C246),0,VLOOKUP(C246,$AE$2:$AF$7,2,0))</f>
        <v>0.5</v>
      </c>
      <c r="F246">
        <f t="shared" si="7"/>
        <v>0</v>
      </c>
    </row>
    <row r="247" spans="1:6">
      <c r="A247" s="30">
        <f t="shared" si="8"/>
        <v>43337</v>
      </c>
      <c r="C247" t="s">
        <v>203</v>
      </c>
      <c r="D247">
        <f>IF(B247=$AB$2,$AC$2,$AC$3)</f>
        <v>0</v>
      </c>
      <c r="E247">
        <f>IF(ISBLANK(C247),0,VLOOKUP(C247,$AE$2:$AF$7,2,0))</f>
        <v>0.5</v>
      </c>
      <c r="F247">
        <f t="shared" si="7"/>
        <v>0</v>
      </c>
    </row>
    <row r="248" spans="1:6">
      <c r="A248" s="30">
        <f t="shared" si="8"/>
        <v>43338</v>
      </c>
      <c r="C248" t="s">
        <v>203</v>
      </c>
      <c r="D248">
        <f>IF(B248=$AB$2,$AC$2,$AC$3)</f>
        <v>0</v>
      </c>
      <c r="E248">
        <f>IF(ISBLANK(C248),0,VLOOKUP(C248,$AE$2:$AF$7,2,0))</f>
        <v>0.5</v>
      </c>
      <c r="F248">
        <f t="shared" si="7"/>
        <v>0</v>
      </c>
    </row>
    <row r="249" spans="1:6">
      <c r="A249" s="30">
        <f t="shared" si="8"/>
        <v>43339</v>
      </c>
      <c r="C249" t="s">
        <v>203</v>
      </c>
      <c r="D249">
        <f>IF(B249=$AB$2,$AC$2,$AC$3)</f>
        <v>0</v>
      </c>
      <c r="E249">
        <f>IF(ISBLANK(C249),0,VLOOKUP(C249,$AE$2:$AF$7,2,0))</f>
        <v>0.5</v>
      </c>
      <c r="F249">
        <f t="shared" si="7"/>
        <v>0</v>
      </c>
    </row>
    <row r="250" spans="1:6">
      <c r="A250" s="30">
        <f t="shared" si="8"/>
        <v>43340</v>
      </c>
      <c r="C250" t="s">
        <v>203</v>
      </c>
      <c r="D250">
        <f>IF(B250=$AB$2,$AC$2,$AC$3)</f>
        <v>0</v>
      </c>
      <c r="E250">
        <f>IF(ISBLANK(C250),0,VLOOKUP(C250,$AE$2:$AF$7,2,0))</f>
        <v>0.5</v>
      </c>
      <c r="F250">
        <f t="shared" si="7"/>
        <v>0</v>
      </c>
    </row>
    <row r="251" spans="1:6">
      <c r="A251" s="30">
        <f t="shared" si="8"/>
        <v>43341</v>
      </c>
      <c r="C251" t="s">
        <v>203</v>
      </c>
      <c r="D251">
        <f>IF(B251=$AB$2,$AC$2,$AC$3)</f>
        <v>0</v>
      </c>
      <c r="E251">
        <f>IF(ISBLANK(C251),0,VLOOKUP(C251,$AE$2:$AF$7,2,0))</f>
        <v>0.5</v>
      </c>
      <c r="F251">
        <f t="shared" si="7"/>
        <v>0</v>
      </c>
    </row>
    <row r="252" spans="1:6">
      <c r="A252" s="30">
        <f t="shared" si="8"/>
        <v>43342</v>
      </c>
      <c r="C252" t="s">
        <v>203</v>
      </c>
      <c r="D252">
        <f>IF(B252=$AB$2,$AC$2,$AC$3)</f>
        <v>0</v>
      </c>
      <c r="E252">
        <f>IF(ISBLANK(C252),0,VLOOKUP(C252,$AE$2:$AF$7,2,0))</f>
        <v>0.5</v>
      </c>
      <c r="F252">
        <f t="shared" si="7"/>
        <v>0</v>
      </c>
    </row>
    <row r="253" spans="1:6">
      <c r="A253" s="30">
        <f t="shared" si="8"/>
        <v>43343</v>
      </c>
      <c r="C253" t="s">
        <v>203</v>
      </c>
      <c r="D253">
        <f>IF(B253=$AB$2,$AC$2,$AC$3)</f>
        <v>0</v>
      </c>
      <c r="E253">
        <f>IF(ISBLANK(C253),0,VLOOKUP(C253,$AE$2:$AF$7,2,0))</f>
        <v>0.5</v>
      </c>
      <c r="F253">
        <f t="shared" si="7"/>
        <v>0</v>
      </c>
    </row>
    <row r="254" spans="1:6">
      <c r="A254" s="30">
        <f t="shared" si="8"/>
        <v>43344</v>
      </c>
      <c r="C254" t="s">
        <v>203</v>
      </c>
      <c r="D254">
        <f>IF(B254=$AB$2,$AC$2,$AC$3)</f>
        <v>0</v>
      </c>
      <c r="E254">
        <f>IF(ISBLANK(C254),0,VLOOKUP(C254,$AE$2:$AF$7,2,0))</f>
        <v>0.5</v>
      </c>
      <c r="F254">
        <f t="shared" si="7"/>
        <v>0</v>
      </c>
    </row>
    <row r="255" spans="1:6">
      <c r="A255" s="30">
        <f t="shared" si="8"/>
        <v>43345</v>
      </c>
      <c r="C255" t="s">
        <v>203</v>
      </c>
      <c r="D255">
        <f>IF(B255=$AB$2,$AC$2,$AC$3)</f>
        <v>0</v>
      </c>
      <c r="E255">
        <f>IF(ISBLANK(C255),0,VLOOKUP(C255,$AE$2:$AF$7,2,0))</f>
        <v>0.5</v>
      </c>
      <c r="F255">
        <f t="shared" si="7"/>
        <v>0</v>
      </c>
    </row>
    <row r="256" spans="1:6">
      <c r="A256" s="30">
        <f t="shared" si="8"/>
        <v>43346</v>
      </c>
      <c r="C256" t="s">
        <v>203</v>
      </c>
      <c r="D256">
        <f>IF(B256=$AB$2,$AC$2,$AC$3)</f>
        <v>0</v>
      </c>
      <c r="E256">
        <f>IF(ISBLANK(C256),0,VLOOKUP(C256,$AE$2:$AF$7,2,0))</f>
        <v>0.5</v>
      </c>
      <c r="F256">
        <f t="shared" si="7"/>
        <v>0</v>
      </c>
    </row>
    <row r="257" spans="1:6">
      <c r="A257" s="30">
        <f t="shared" si="8"/>
        <v>43347</v>
      </c>
      <c r="C257" t="s">
        <v>203</v>
      </c>
      <c r="D257">
        <f>IF(B257=$AB$2,$AC$2,$AC$3)</f>
        <v>0</v>
      </c>
      <c r="E257">
        <f>IF(ISBLANK(C257),0,VLOOKUP(C257,$AE$2:$AF$7,2,0))</f>
        <v>0.5</v>
      </c>
      <c r="F257">
        <f t="shared" si="7"/>
        <v>0</v>
      </c>
    </row>
    <row r="258" spans="1:6">
      <c r="A258" s="30">
        <f t="shared" si="8"/>
        <v>43348</v>
      </c>
      <c r="C258" t="s">
        <v>203</v>
      </c>
      <c r="D258">
        <f>IF(B258=$AB$2,$AC$2,$AC$3)</f>
        <v>0</v>
      </c>
      <c r="E258">
        <f>IF(ISBLANK(C258),0,VLOOKUP(C258,$AE$2:$AF$7,2,0))</f>
        <v>0.5</v>
      </c>
      <c r="F258">
        <f t="shared" si="7"/>
        <v>0</v>
      </c>
    </row>
    <row r="259" spans="1:6">
      <c r="A259" s="30">
        <f t="shared" si="8"/>
        <v>43349</v>
      </c>
      <c r="C259" t="s">
        <v>203</v>
      </c>
      <c r="D259">
        <f>IF(B259=$AB$2,$AC$2,$AC$3)</f>
        <v>0</v>
      </c>
      <c r="E259">
        <f>IF(ISBLANK(C259),0,VLOOKUP(C259,$AE$2:$AF$7,2,0))</f>
        <v>0.5</v>
      </c>
      <c r="F259">
        <f t="shared" ref="F259:F322" si="9">D259*E259</f>
        <v>0</v>
      </c>
    </row>
    <row r="260" spans="1:6">
      <c r="A260" s="30">
        <f t="shared" si="8"/>
        <v>43350</v>
      </c>
      <c r="C260" t="s">
        <v>203</v>
      </c>
      <c r="D260">
        <f>IF(B260=$AB$2,$AC$2,$AC$3)</f>
        <v>0</v>
      </c>
      <c r="E260">
        <f>IF(ISBLANK(C260),0,VLOOKUP(C260,$AE$2:$AF$7,2,0))</f>
        <v>0.5</v>
      </c>
      <c r="F260">
        <f t="shared" si="9"/>
        <v>0</v>
      </c>
    </row>
    <row r="261" spans="1:6">
      <c r="A261" s="30">
        <f t="shared" si="8"/>
        <v>43351</v>
      </c>
      <c r="C261" t="s">
        <v>203</v>
      </c>
      <c r="D261">
        <f>IF(B261=$AB$2,$AC$2,$AC$3)</f>
        <v>0</v>
      </c>
      <c r="E261">
        <f>IF(ISBLANK(C261),0,VLOOKUP(C261,$AE$2:$AF$7,2,0))</f>
        <v>0.5</v>
      </c>
      <c r="F261">
        <f t="shared" si="9"/>
        <v>0</v>
      </c>
    </row>
    <row r="262" spans="1:6">
      <c r="A262" s="30">
        <f t="shared" si="8"/>
        <v>43352</v>
      </c>
      <c r="C262" t="s">
        <v>203</v>
      </c>
      <c r="D262">
        <f>IF(B262=$AB$2,$AC$2,$AC$3)</f>
        <v>0</v>
      </c>
      <c r="E262">
        <f>IF(ISBLANK(C262),0,VLOOKUP(C262,$AE$2:$AF$7,2,0))</f>
        <v>0.5</v>
      </c>
      <c r="F262">
        <f t="shared" si="9"/>
        <v>0</v>
      </c>
    </row>
    <row r="263" spans="1:6">
      <c r="A263" s="30">
        <f t="shared" si="8"/>
        <v>43353</v>
      </c>
      <c r="C263" t="s">
        <v>203</v>
      </c>
      <c r="D263">
        <f>IF(B263=$AB$2,$AC$2,$AC$3)</f>
        <v>0</v>
      </c>
      <c r="E263">
        <f>IF(ISBLANK(C263),0,VLOOKUP(C263,$AE$2:$AF$7,2,0))</f>
        <v>0.5</v>
      </c>
      <c r="F263">
        <f t="shared" si="9"/>
        <v>0</v>
      </c>
    </row>
    <row r="264" spans="1:6">
      <c r="A264" s="30">
        <f t="shared" si="8"/>
        <v>43354</v>
      </c>
      <c r="C264" t="s">
        <v>203</v>
      </c>
      <c r="D264">
        <f>IF(B264=$AB$2,$AC$2,$AC$3)</f>
        <v>0</v>
      </c>
      <c r="E264">
        <f>IF(ISBLANK(C264),0,VLOOKUP(C264,$AE$2:$AF$7,2,0))</f>
        <v>0.5</v>
      </c>
      <c r="F264">
        <f t="shared" si="9"/>
        <v>0</v>
      </c>
    </row>
    <row r="265" spans="1:6">
      <c r="A265" s="30">
        <f t="shared" si="8"/>
        <v>43355</v>
      </c>
      <c r="C265" t="s">
        <v>203</v>
      </c>
      <c r="D265">
        <f>IF(B265=$AB$2,$AC$2,$AC$3)</f>
        <v>0</v>
      </c>
      <c r="E265">
        <f>IF(ISBLANK(C265),0,VLOOKUP(C265,$AE$2:$AF$7,2,0))</f>
        <v>0.5</v>
      </c>
      <c r="F265">
        <f t="shared" si="9"/>
        <v>0</v>
      </c>
    </row>
    <row r="266" spans="1:6">
      <c r="A266" s="30">
        <f t="shared" si="8"/>
        <v>43356</v>
      </c>
      <c r="C266" t="s">
        <v>203</v>
      </c>
      <c r="D266">
        <f>IF(B266=$AB$2,$AC$2,$AC$3)</f>
        <v>0</v>
      </c>
      <c r="E266">
        <f>IF(ISBLANK(C266),0,VLOOKUP(C266,$AE$2:$AF$7,2,0))</f>
        <v>0.5</v>
      </c>
      <c r="F266">
        <f t="shared" si="9"/>
        <v>0</v>
      </c>
    </row>
    <row r="267" spans="1:6">
      <c r="A267" s="30">
        <f t="shared" si="8"/>
        <v>43357</v>
      </c>
      <c r="C267" t="s">
        <v>203</v>
      </c>
      <c r="D267">
        <f>IF(B267=$AB$2,$AC$2,$AC$3)</f>
        <v>0</v>
      </c>
      <c r="E267">
        <f>IF(ISBLANK(C267),0,VLOOKUP(C267,$AE$2:$AF$7,2,0))</f>
        <v>0.5</v>
      </c>
      <c r="F267">
        <f t="shared" si="9"/>
        <v>0</v>
      </c>
    </row>
    <row r="268" spans="1:6">
      <c r="A268" s="30">
        <f t="shared" si="8"/>
        <v>43358</v>
      </c>
      <c r="C268" t="s">
        <v>203</v>
      </c>
      <c r="D268">
        <f>IF(B268=$AB$2,$AC$2,$AC$3)</f>
        <v>0</v>
      </c>
      <c r="E268">
        <f>IF(ISBLANK(C268),0,VLOOKUP(C268,$AE$2:$AF$7,2,0))</f>
        <v>0.5</v>
      </c>
      <c r="F268">
        <f t="shared" si="9"/>
        <v>0</v>
      </c>
    </row>
    <row r="269" spans="1:6">
      <c r="A269" s="30">
        <f t="shared" si="8"/>
        <v>43359</v>
      </c>
      <c r="C269" t="s">
        <v>203</v>
      </c>
      <c r="D269">
        <f>IF(B269=$AB$2,$AC$2,$AC$3)</f>
        <v>0</v>
      </c>
      <c r="E269">
        <f>IF(ISBLANK(C269),0,VLOOKUP(C269,$AE$2:$AF$7,2,0))</f>
        <v>0.5</v>
      </c>
      <c r="F269">
        <f t="shared" si="9"/>
        <v>0</v>
      </c>
    </row>
    <row r="270" spans="1:6">
      <c r="A270" s="30">
        <f t="shared" si="8"/>
        <v>43360</v>
      </c>
      <c r="C270" t="s">
        <v>203</v>
      </c>
      <c r="D270">
        <f>IF(B270=$AB$2,$AC$2,$AC$3)</f>
        <v>0</v>
      </c>
      <c r="E270">
        <f>IF(ISBLANK(C270),0,VLOOKUP(C270,$AE$2:$AF$7,2,0))</f>
        <v>0.5</v>
      </c>
      <c r="F270">
        <f t="shared" si="9"/>
        <v>0</v>
      </c>
    </row>
    <row r="271" spans="1:6">
      <c r="A271" s="30">
        <f t="shared" si="8"/>
        <v>43361</v>
      </c>
      <c r="C271" t="s">
        <v>203</v>
      </c>
      <c r="D271">
        <f>IF(B271=$AB$2,$AC$2,$AC$3)</f>
        <v>0</v>
      </c>
      <c r="E271">
        <f>IF(ISBLANK(C271),0,VLOOKUP(C271,$AE$2:$AF$7,2,0))</f>
        <v>0.5</v>
      </c>
      <c r="F271">
        <f t="shared" si="9"/>
        <v>0</v>
      </c>
    </row>
    <row r="272" spans="1:6">
      <c r="A272" s="30">
        <f t="shared" si="8"/>
        <v>43362</v>
      </c>
      <c r="C272" t="s">
        <v>203</v>
      </c>
      <c r="D272">
        <f>IF(B272=$AB$2,$AC$2,$AC$3)</f>
        <v>0</v>
      </c>
      <c r="E272">
        <f>IF(ISBLANK(C272),0,VLOOKUP(C272,$AE$2:$AF$7,2,0))</f>
        <v>0.5</v>
      </c>
      <c r="F272">
        <f t="shared" si="9"/>
        <v>0</v>
      </c>
    </row>
    <row r="273" spans="1:6">
      <c r="A273" s="30">
        <f t="shared" si="8"/>
        <v>43363</v>
      </c>
      <c r="C273" t="s">
        <v>203</v>
      </c>
      <c r="D273">
        <f>IF(B273=$AB$2,$AC$2,$AC$3)</f>
        <v>0</v>
      </c>
      <c r="E273">
        <f>IF(ISBLANK(C273),0,VLOOKUP(C273,$AE$2:$AF$7,2,0))</f>
        <v>0.5</v>
      </c>
      <c r="F273">
        <f t="shared" si="9"/>
        <v>0</v>
      </c>
    </row>
    <row r="274" spans="1:6">
      <c r="A274" s="30">
        <f t="shared" si="8"/>
        <v>43364</v>
      </c>
      <c r="C274" t="s">
        <v>203</v>
      </c>
      <c r="D274">
        <f>IF(B274=$AB$2,$AC$2,$AC$3)</f>
        <v>0</v>
      </c>
      <c r="E274">
        <f>IF(ISBLANK(C274),0,VLOOKUP(C274,$AE$2:$AF$7,2,0))</f>
        <v>0.5</v>
      </c>
      <c r="F274">
        <f t="shared" si="9"/>
        <v>0</v>
      </c>
    </row>
    <row r="275" spans="1:6">
      <c r="A275" s="30">
        <f t="shared" si="8"/>
        <v>43365</v>
      </c>
      <c r="C275" t="s">
        <v>203</v>
      </c>
      <c r="D275">
        <f>IF(B275=$AB$2,$AC$2,$AC$3)</f>
        <v>0</v>
      </c>
      <c r="E275">
        <f>IF(ISBLANK(C275),0,VLOOKUP(C275,$AE$2:$AF$7,2,0))</f>
        <v>0.5</v>
      </c>
      <c r="F275">
        <f t="shared" si="9"/>
        <v>0</v>
      </c>
    </row>
    <row r="276" spans="1:6">
      <c r="A276" s="30">
        <f t="shared" si="8"/>
        <v>43366</v>
      </c>
      <c r="C276" t="s">
        <v>203</v>
      </c>
      <c r="D276">
        <f>IF(B276=$AB$2,$AC$2,$AC$3)</f>
        <v>0</v>
      </c>
      <c r="E276">
        <f>IF(ISBLANK(C276),0,VLOOKUP(C276,$AE$2:$AF$7,2,0))</f>
        <v>0.5</v>
      </c>
      <c r="F276">
        <f t="shared" si="9"/>
        <v>0</v>
      </c>
    </row>
    <row r="277" spans="1:6">
      <c r="A277" s="30">
        <f t="shared" si="8"/>
        <v>43367</v>
      </c>
      <c r="C277" t="s">
        <v>203</v>
      </c>
      <c r="D277">
        <f>IF(B277=$AB$2,$AC$2,$AC$3)</f>
        <v>0</v>
      </c>
      <c r="E277">
        <f>IF(ISBLANK(C277),0,VLOOKUP(C277,$AE$2:$AF$7,2,0))</f>
        <v>0.5</v>
      </c>
      <c r="F277">
        <f t="shared" si="9"/>
        <v>0</v>
      </c>
    </row>
    <row r="278" spans="1:6">
      <c r="A278" s="30">
        <f t="shared" si="8"/>
        <v>43368</v>
      </c>
      <c r="C278" t="s">
        <v>203</v>
      </c>
      <c r="D278">
        <f>IF(B278=$AB$2,$AC$2,$AC$3)</f>
        <v>0</v>
      </c>
      <c r="E278">
        <f>IF(ISBLANK(C278),0,VLOOKUP(C278,$AE$2:$AF$7,2,0))</f>
        <v>0.5</v>
      </c>
      <c r="F278">
        <f t="shared" si="9"/>
        <v>0</v>
      </c>
    </row>
    <row r="279" spans="1:6">
      <c r="A279" s="30">
        <f t="shared" si="8"/>
        <v>43369</v>
      </c>
      <c r="C279" t="s">
        <v>203</v>
      </c>
      <c r="D279">
        <f>IF(B279=$AB$2,$AC$2,$AC$3)</f>
        <v>0</v>
      </c>
      <c r="E279">
        <f>IF(ISBLANK(C279),0,VLOOKUP(C279,$AE$2:$AF$7,2,0))</f>
        <v>0.5</v>
      </c>
      <c r="F279">
        <f t="shared" si="9"/>
        <v>0</v>
      </c>
    </row>
    <row r="280" spans="1:6">
      <c r="A280" s="30">
        <f t="shared" si="8"/>
        <v>43370</v>
      </c>
      <c r="C280" t="s">
        <v>203</v>
      </c>
      <c r="D280">
        <f>IF(B280=$AB$2,$AC$2,$AC$3)</f>
        <v>0</v>
      </c>
      <c r="E280">
        <f>IF(ISBLANK(C280),0,VLOOKUP(C280,$AE$2:$AF$7,2,0))</f>
        <v>0.5</v>
      </c>
      <c r="F280">
        <f t="shared" si="9"/>
        <v>0</v>
      </c>
    </row>
    <row r="281" spans="1:6">
      <c r="A281" s="30">
        <f t="shared" si="8"/>
        <v>43371</v>
      </c>
      <c r="C281" t="s">
        <v>203</v>
      </c>
      <c r="D281">
        <f>IF(B281=$AB$2,$AC$2,$AC$3)</f>
        <v>0</v>
      </c>
      <c r="E281">
        <f>IF(ISBLANK(C281),0,VLOOKUP(C281,$AE$2:$AF$7,2,0))</f>
        <v>0.5</v>
      </c>
      <c r="F281">
        <f t="shared" si="9"/>
        <v>0</v>
      </c>
    </row>
    <row r="282" spans="1:6">
      <c r="A282" s="30">
        <f t="shared" si="8"/>
        <v>43372</v>
      </c>
      <c r="C282" t="s">
        <v>203</v>
      </c>
      <c r="D282">
        <f>IF(B282=$AB$2,$AC$2,$AC$3)</f>
        <v>0</v>
      </c>
      <c r="E282">
        <f>IF(ISBLANK(C282),0,VLOOKUP(C282,$AE$2:$AF$7,2,0))</f>
        <v>0.5</v>
      </c>
      <c r="F282">
        <f t="shared" si="9"/>
        <v>0</v>
      </c>
    </row>
    <row r="283" spans="1:6">
      <c r="A283" s="30">
        <f t="shared" si="8"/>
        <v>43373</v>
      </c>
      <c r="C283" t="s">
        <v>203</v>
      </c>
      <c r="D283">
        <f>IF(B283=$AB$2,$AC$2,$AC$3)</f>
        <v>0</v>
      </c>
      <c r="E283">
        <f>IF(ISBLANK(C283),0,VLOOKUP(C283,$AE$2:$AF$7,2,0))</f>
        <v>0.5</v>
      </c>
      <c r="F283">
        <f t="shared" si="9"/>
        <v>0</v>
      </c>
    </row>
    <row r="284" spans="1:6">
      <c r="A284" s="30">
        <f t="shared" si="8"/>
        <v>43374</v>
      </c>
      <c r="C284" t="s">
        <v>203</v>
      </c>
      <c r="D284">
        <f>IF(B284=$AB$2,$AC$2,$AC$3)</f>
        <v>0</v>
      </c>
      <c r="E284">
        <f>IF(ISBLANK(C284),0,VLOOKUP(C284,$AE$2:$AF$7,2,0))</f>
        <v>0.5</v>
      </c>
      <c r="F284">
        <f t="shared" si="9"/>
        <v>0</v>
      </c>
    </row>
    <row r="285" spans="1:6">
      <c r="A285" s="30">
        <f t="shared" si="8"/>
        <v>43375</v>
      </c>
      <c r="C285" t="s">
        <v>203</v>
      </c>
      <c r="D285">
        <f>IF(B285=$AB$2,$AC$2,$AC$3)</f>
        <v>0</v>
      </c>
      <c r="E285">
        <f>IF(ISBLANK(C285),0,VLOOKUP(C285,$AE$2:$AF$7,2,0))</f>
        <v>0.5</v>
      </c>
      <c r="F285">
        <f t="shared" si="9"/>
        <v>0</v>
      </c>
    </row>
    <row r="286" spans="1:6">
      <c r="A286" s="30">
        <f t="shared" si="8"/>
        <v>43376</v>
      </c>
      <c r="C286" t="s">
        <v>203</v>
      </c>
      <c r="D286">
        <f>IF(B286=$AB$2,$AC$2,$AC$3)</f>
        <v>0</v>
      </c>
      <c r="E286">
        <f>IF(ISBLANK(C286),0,VLOOKUP(C286,$AE$2:$AF$7,2,0))</f>
        <v>0.5</v>
      </c>
      <c r="F286">
        <f t="shared" si="9"/>
        <v>0</v>
      </c>
    </row>
    <row r="287" spans="1:6">
      <c r="A287" s="30">
        <f t="shared" si="8"/>
        <v>43377</v>
      </c>
      <c r="C287" t="s">
        <v>203</v>
      </c>
      <c r="D287">
        <f>IF(B287=$AB$2,$AC$2,$AC$3)</f>
        <v>0</v>
      </c>
      <c r="E287">
        <f>IF(ISBLANK(C287),0,VLOOKUP(C287,$AE$2:$AF$7,2,0))</f>
        <v>0.5</v>
      </c>
      <c r="F287">
        <f t="shared" si="9"/>
        <v>0</v>
      </c>
    </row>
    <row r="288" spans="1:6">
      <c r="A288" s="30">
        <f t="shared" si="8"/>
        <v>43378</v>
      </c>
      <c r="C288" t="s">
        <v>203</v>
      </c>
      <c r="D288">
        <f>IF(B288=$AB$2,$AC$2,$AC$3)</f>
        <v>0</v>
      </c>
      <c r="E288">
        <f>IF(ISBLANK(C288),0,VLOOKUP(C288,$AE$2:$AF$7,2,0))</f>
        <v>0.5</v>
      </c>
      <c r="F288">
        <f t="shared" si="9"/>
        <v>0</v>
      </c>
    </row>
    <row r="289" spans="1:6">
      <c r="A289" s="30">
        <f t="shared" si="8"/>
        <v>43379</v>
      </c>
      <c r="C289" t="s">
        <v>203</v>
      </c>
      <c r="D289">
        <f>IF(B289=$AB$2,$AC$2,$AC$3)</f>
        <v>0</v>
      </c>
      <c r="E289">
        <f>IF(ISBLANK(C289),0,VLOOKUP(C289,$AE$2:$AF$7,2,0))</f>
        <v>0.5</v>
      </c>
      <c r="F289">
        <f t="shared" si="9"/>
        <v>0</v>
      </c>
    </row>
    <row r="290" spans="1:6">
      <c r="A290" s="30">
        <f t="shared" si="8"/>
        <v>43380</v>
      </c>
      <c r="C290" t="s">
        <v>203</v>
      </c>
      <c r="D290">
        <f>IF(B290=$AB$2,$AC$2,$AC$3)</f>
        <v>0</v>
      </c>
      <c r="E290">
        <f>IF(ISBLANK(C290),0,VLOOKUP(C290,$AE$2:$AF$7,2,0))</f>
        <v>0.5</v>
      </c>
      <c r="F290">
        <f t="shared" si="9"/>
        <v>0</v>
      </c>
    </row>
    <row r="291" spans="1:6">
      <c r="A291" s="30">
        <f t="shared" si="8"/>
        <v>43381</v>
      </c>
      <c r="C291" t="s">
        <v>203</v>
      </c>
      <c r="D291">
        <f>IF(B291=$AB$2,$AC$2,$AC$3)</f>
        <v>0</v>
      </c>
      <c r="E291">
        <f>IF(ISBLANK(C291),0,VLOOKUP(C291,$AE$2:$AF$7,2,0))</f>
        <v>0.5</v>
      </c>
      <c r="F291">
        <f t="shared" si="9"/>
        <v>0</v>
      </c>
    </row>
    <row r="292" spans="1:6">
      <c r="A292" s="30">
        <f t="shared" si="8"/>
        <v>43382</v>
      </c>
      <c r="C292" t="s">
        <v>203</v>
      </c>
      <c r="D292">
        <f>IF(B292=$AB$2,$AC$2,$AC$3)</f>
        <v>0</v>
      </c>
      <c r="E292">
        <f>IF(ISBLANK(C292),0,VLOOKUP(C292,$AE$2:$AF$7,2,0))</f>
        <v>0.5</v>
      </c>
      <c r="F292">
        <f t="shared" si="9"/>
        <v>0</v>
      </c>
    </row>
    <row r="293" spans="1:6">
      <c r="A293" s="30">
        <f t="shared" si="8"/>
        <v>43383</v>
      </c>
      <c r="C293" t="s">
        <v>203</v>
      </c>
      <c r="D293">
        <f>IF(B293=$AB$2,$AC$2,$AC$3)</f>
        <v>0</v>
      </c>
      <c r="E293">
        <f>IF(ISBLANK(C293),0,VLOOKUP(C293,$AE$2:$AF$7,2,0))</f>
        <v>0.5</v>
      </c>
      <c r="F293">
        <f t="shared" si="9"/>
        <v>0</v>
      </c>
    </row>
    <row r="294" spans="1:6">
      <c r="A294" s="30">
        <f t="shared" si="8"/>
        <v>43384</v>
      </c>
      <c r="C294" t="s">
        <v>203</v>
      </c>
      <c r="D294">
        <f>IF(B294=$AB$2,$AC$2,$AC$3)</f>
        <v>0</v>
      </c>
      <c r="E294">
        <f>IF(ISBLANK(C294),0,VLOOKUP(C294,$AE$2:$AF$7,2,0))</f>
        <v>0.5</v>
      </c>
      <c r="F294">
        <f t="shared" si="9"/>
        <v>0</v>
      </c>
    </row>
    <row r="295" spans="1:6">
      <c r="A295" s="30">
        <f t="shared" si="8"/>
        <v>43385</v>
      </c>
      <c r="C295" t="s">
        <v>203</v>
      </c>
      <c r="D295">
        <f>IF(B295=$AB$2,$AC$2,$AC$3)</f>
        <v>0</v>
      </c>
      <c r="E295">
        <f>IF(ISBLANK(C295),0,VLOOKUP(C295,$AE$2:$AF$7,2,0))</f>
        <v>0.5</v>
      </c>
      <c r="F295">
        <f t="shared" si="9"/>
        <v>0</v>
      </c>
    </row>
    <row r="296" spans="1:6">
      <c r="A296" s="30">
        <f t="shared" ref="A296:A344" si="10">A295+1</f>
        <v>43386</v>
      </c>
      <c r="C296" t="s">
        <v>203</v>
      </c>
      <c r="D296">
        <f>IF(B296=$AB$2,$AC$2,$AC$3)</f>
        <v>0</v>
      </c>
      <c r="E296">
        <f>IF(ISBLANK(C296),0,VLOOKUP(C296,$AE$2:$AF$7,2,0))</f>
        <v>0.5</v>
      </c>
      <c r="F296">
        <f t="shared" si="9"/>
        <v>0</v>
      </c>
    </row>
    <row r="297" spans="1:6">
      <c r="A297" s="30">
        <f t="shared" si="10"/>
        <v>43387</v>
      </c>
      <c r="C297" t="s">
        <v>203</v>
      </c>
      <c r="D297">
        <f>IF(B297=$AB$2,$AC$2,$AC$3)</f>
        <v>0</v>
      </c>
      <c r="E297">
        <f>IF(ISBLANK(C297),0,VLOOKUP(C297,$AE$2:$AF$7,2,0))</f>
        <v>0.5</v>
      </c>
      <c r="F297">
        <f t="shared" si="9"/>
        <v>0</v>
      </c>
    </row>
    <row r="298" spans="1:6">
      <c r="A298" s="30">
        <f t="shared" si="10"/>
        <v>43388</v>
      </c>
      <c r="C298" t="s">
        <v>203</v>
      </c>
      <c r="D298">
        <f>IF(B298=$AB$2,$AC$2,$AC$3)</f>
        <v>0</v>
      </c>
      <c r="E298">
        <f>IF(ISBLANK(C298),0,VLOOKUP(C298,$AE$2:$AF$7,2,0))</f>
        <v>0.5</v>
      </c>
      <c r="F298">
        <f t="shared" si="9"/>
        <v>0</v>
      </c>
    </row>
    <row r="299" spans="1:6">
      <c r="A299" s="30">
        <f t="shared" si="10"/>
        <v>43389</v>
      </c>
      <c r="C299" t="s">
        <v>203</v>
      </c>
      <c r="D299">
        <f>IF(B299=$AB$2,$AC$2,$AC$3)</f>
        <v>0</v>
      </c>
      <c r="E299">
        <f>IF(ISBLANK(C299),0,VLOOKUP(C299,$AE$2:$AF$7,2,0))</f>
        <v>0.5</v>
      </c>
      <c r="F299">
        <f t="shared" si="9"/>
        <v>0</v>
      </c>
    </row>
    <row r="300" spans="1:6">
      <c r="A300" s="30">
        <f t="shared" si="10"/>
        <v>43390</v>
      </c>
      <c r="C300" t="s">
        <v>203</v>
      </c>
      <c r="D300">
        <f>IF(B300=$AB$2,$AC$2,$AC$3)</f>
        <v>0</v>
      </c>
      <c r="E300">
        <f>IF(ISBLANK(C300),0,VLOOKUP(C300,$AE$2:$AF$7,2,0))</f>
        <v>0.5</v>
      </c>
      <c r="F300">
        <f t="shared" si="9"/>
        <v>0</v>
      </c>
    </row>
    <row r="301" spans="1:6">
      <c r="A301" s="30">
        <f t="shared" si="10"/>
        <v>43391</v>
      </c>
      <c r="C301" t="s">
        <v>203</v>
      </c>
      <c r="D301">
        <f>IF(B301=$AB$2,$AC$2,$AC$3)</f>
        <v>0</v>
      </c>
      <c r="E301">
        <f>IF(ISBLANK(C301),0,VLOOKUP(C301,$AE$2:$AF$7,2,0))</f>
        <v>0.5</v>
      </c>
      <c r="F301">
        <f t="shared" si="9"/>
        <v>0</v>
      </c>
    </row>
    <row r="302" spans="1:6">
      <c r="A302" s="30">
        <f t="shared" si="10"/>
        <v>43392</v>
      </c>
      <c r="C302" t="s">
        <v>203</v>
      </c>
      <c r="D302">
        <f>IF(B302=$AB$2,$AC$2,$AC$3)</f>
        <v>0</v>
      </c>
      <c r="E302">
        <f>IF(ISBLANK(C302),0,VLOOKUP(C302,$AE$2:$AF$7,2,0))</f>
        <v>0.5</v>
      </c>
      <c r="F302">
        <f t="shared" si="9"/>
        <v>0</v>
      </c>
    </row>
    <row r="303" spans="1:6">
      <c r="A303" s="30">
        <f t="shared" si="10"/>
        <v>43393</v>
      </c>
      <c r="C303" t="s">
        <v>203</v>
      </c>
      <c r="D303">
        <f>IF(B303=$AB$2,$AC$2,$AC$3)</f>
        <v>0</v>
      </c>
      <c r="E303">
        <f>IF(ISBLANK(C303),0,VLOOKUP(C303,$AE$2:$AF$7,2,0))</f>
        <v>0.5</v>
      </c>
      <c r="F303">
        <f t="shared" si="9"/>
        <v>0</v>
      </c>
    </row>
    <row r="304" spans="1:6">
      <c r="A304" s="30">
        <f t="shared" si="10"/>
        <v>43394</v>
      </c>
      <c r="C304" t="s">
        <v>203</v>
      </c>
      <c r="D304">
        <f>IF(B304=$AB$2,$AC$2,$AC$3)</f>
        <v>0</v>
      </c>
      <c r="E304">
        <f>IF(ISBLANK(C304),0,VLOOKUP(C304,$AE$2:$AF$7,2,0))</f>
        <v>0.5</v>
      </c>
      <c r="F304">
        <f t="shared" si="9"/>
        <v>0</v>
      </c>
    </row>
    <row r="305" spans="1:6">
      <c r="A305" s="30">
        <f t="shared" si="10"/>
        <v>43395</v>
      </c>
      <c r="C305" t="s">
        <v>203</v>
      </c>
      <c r="D305">
        <f>IF(B305=$AB$2,$AC$2,$AC$3)</f>
        <v>0</v>
      </c>
      <c r="E305">
        <f>IF(ISBLANK(C305),0,VLOOKUP(C305,$AE$2:$AF$7,2,0))</f>
        <v>0.5</v>
      </c>
      <c r="F305">
        <f t="shared" si="9"/>
        <v>0</v>
      </c>
    </row>
    <row r="306" spans="1:6">
      <c r="A306" s="30">
        <f t="shared" si="10"/>
        <v>43396</v>
      </c>
      <c r="C306" t="s">
        <v>203</v>
      </c>
      <c r="D306">
        <f>IF(B306=$AB$2,$AC$2,$AC$3)</f>
        <v>0</v>
      </c>
      <c r="E306">
        <f>IF(ISBLANK(C306),0,VLOOKUP(C306,$AE$2:$AF$7,2,0))</f>
        <v>0.5</v>
      </c>
      <c r="F306">
        <f t="shared" si="9"/>
        <v>0</v>
      </c>
    </row>
    <row r="307" spans="1:6">
      <c r="A307" s="30">
        <f t="shared" si="10"/>
        <v>43397</v>
      </c>
      <c r="C307" t="s">
        <v>203</v>
      </c>
      <c r="D307">
        <f>IF(B307=$AB$2,$AC$2,$AC$3)</f>
        <v>0</v>
      </c>
      <c r="E307">
        <f>IF(ISBLANK(C307),0,VLOOKUP(C307,$AE$2:$AF$7,2,0))</f>
        <v>0.5</v>
      </c>
      <c r="F307">
        <f t="shared" si="9"/>
        <v>0</v>
      </c>
    </row>
    <row r="308" spans="1:6">
      <c r="A308" s="30">
        <f t="shared" si="10"/>
        <v>43398</v>
      </c>
      <c r="C308" t="s">
        <v>203</v>
      </c>
      <c r="D308">
        <f>IF(B308=$AB$2,$AC$2,$AC$3)</f>
        <v>0</v>
      </c>
      <c r="E308">
        <f>IF(ISBLANK(C308),0,VLOOKUP(C308,$AE$2:$AF$7,2,0))</f>
        <v>0.5</v>
      </c>
      <c r="F308">
        <f t="shared" si="9"/>
        <v>0</v>
      </c>
    </row>
    <row r="309" spans="1:6">
      <c r="A309" s="30">
        <f t="shared" si="10"/>
        <v>43399</v>
      </c>
      <c r="C309" t="s">
        <v>203</v>
      </c>
      <c r="D309">
        <f>IF(B309=$AB$2,$AC$2,$AC$3)</f>
        <v>0</v>
      </c>
      <c r="E309">
        <f>IF(ISBLANK(C309),0,VLOOKUP(C309,$AE$2:$AF$7,2,0))</f>
        <v>0.5</v>
      </c>
      <c r="F309">
        <f t="shared" si="9"/>
        <v>0</v>
      </c>
    </row>
    <row r="310" spans="1:6">
      <c r="A310" s="30">
        <f t="shared" si="10"/>
        <v>43400</v>
      </c>
      <c r="C310" t="s">
        <v>203</v>
      </c>
      <c r="D310">
        <f>IF(B310=$AB$2,$AC$2,$AC$3)</f>
        <v>0</v>
      </c>
      <c r="E310">
        <f>IF(ISBLANK(C310),0,VLOOKUP(C310,$AE$2:$AF$7,2,0))</f>
        <v>0.5</v>
      </c>
      <c r="F310">
        <f t="shared" si="9"/>
        <v>0</v>
      </c>
    </row>
    <row r="311" spans="1:6">
      <c r="A311" s="30">
        <f t="shared" si="10"/>
        <v>43401</v>
      </c>
      <c r="C311" t="s">
        <v>203</v>
      </c>
      <c r="D311">
        <f>IF(B311=$AB$2,$AC$2,$AC$3)</f>
        <v>0</v>
      </c>
      <c r="E311">
        <f>IF(ISBLANK(C311),0,VLOOKUP(C311,$AE$2:$AF$7,2,0))</f>
        <v>0.5</v>
      </c>
      <c r="F311">
        <f t="shared" si="9"/>
        <v>0</v>
      </c>
    </row>
    <row r="312" spans="1:6">
      <c r="A312" s="30">
        <f t="shared" si="10"/>
        <v>43402</v>
      </c>
      <c r="C312" t="s">
        <v>203</v>
      </c>
      <c r="D312">
        <f>IF(B312=$AB$2,$AC$2,$AC$3)</f>
        <v>0</v>
      </c>
      <c r="E312">
        <f>IF(ISBLANK(C312),0,VLOOKUP(C312,$AE$2:$AF$7,2,0))</f>
        <v>0.5</v>
      </c>
      <c r="F312">
        <f t="shared" si="9"/>
        <v>0</v>
      </c>
    </row>
    <row r="313" spans="1:6">
      <c r="A313" s="30">
        <f t="shared" si="10"/>
        <v>43403</v>
      </c>
      <c r="C313" t="s">
        <v>203</v>
      </c>
      <c r="D313">
        <f>IF(B313=$AB$2,$AC$2,$AC$3)</f>
        <v>0</v>
      </c>
      <c r="E313">
        <f>IF(ISBLANK(C313),0,VLOOKUP(C313,$AE$2:$AF$7,2,0))</f>
        <v>0.5</v>
      </c>
      <c r="F313">
        <f t="shared" si="9"/>
        <v>0</v>
      </c>
    </row>
    <row r="314" spans="1:6">
      <c r="A314" s="30">
        <f t="shared" si="10"/>
        <v>43404</v>
      </c>
      <c r="C314" t="s">
        <v>203</v>
      </c>
      <c r="D314">
        <f>IF(B314=$AB$2,$AC$2,$AC$3)</f>
        <v>0</v>
      </c>
      <c r="E314">
        <f>IF(ISBLANK(C314),0,VLOOKUP(C314,$AE$2:$AF$7,2,0))</f>
        <v>0.5</v>
      </c>
      <c r="F314">
        <f t="shared" si="9"/>
        <v>0</v>
      </c>
    </row>
    <row r="315" spans="1:6">
      <c r="A315" s="30">
        <f t="shared" si="10"/>
        <v>43405</v>
      </c>
      <c r="C315" t="s">
        <v>203</v>
      </c>
      <c r="D315">
        <f>IF(B315=$AB$2,$AC$2,$AC$3)</f>
        <v>0</v>
      </c>
      <c r="E315">
        <f>IF(ISBLANK(C315),0,VLOOKUP(C315,$AE$2:$AF$7,2,0))</f>
        <v>0.5</v>
      </c>
      <c r="F315">
        <f t="shared" si="9"/>
        <v>0</v>
      </c>
    </row>
    <row r="316" spans="1:6">
      <c r="A316" s="30">
        <f t="shared" si="10"/>
        <v>43406</v>
      </c>
      <c r="C316" t="s">
        <v>203</v>
      </c>
      <c r="D316">
        <f>IF(B316=$AB$2,$AC$2,$AC$3)</f>
        <v>0</v>
      </c>
      <c r="E316">
        <f>IF(ISBLANK(C316),0,VLOOKUP(C316,$AE$2:$AF$7,2,0))</f>
        <v>0.5</v>
      </c>
      <c r="F316">
        <f t="shared" si="9"/>
        <v>0</v>
      </c>
    </row>
    <row r="317" spans="1:6">
      <c r="A317" s="30">
        <f t="shared" si="10"/>
        <v>43407</v>
      </c>
      <c r="C317" t="s">
        <v>203</v>
      </c>
      <c r="D317">
        <f>IF(B317=$AB$2,$AC$2,$AC$3)</f>
        <v>0</v>
      </c>
      <c r="E317">
        <f>IF(ISBLANK(C317),0,VLOOKUP(C317,$AE$2:$AF$7,2,0))</f>
        <v>0.5</v>
      </c>
      <c r="F317">
        <f t="shared" si="9"/>
        <v>0</v>
      </c>
    </row>
    <row r="318" spans="1:6">
      <c r="A318" s="30">
        <f t="shared" si="10"/>
        <v>43408</v>
      </c>
      <c r="C318" t="s">
        <v>203</v>
      </c>
      <c r="D318">
        <f>IF(B318=$AB$2,$AC$2,$AC$3)</f>
        <v>0</v>
      </c>
      <c r="E318">
        <f>IF(ISBLANK(C318),0,VLOOKUP(C318,$AE$2:$AF$7,2,0))</f>
        <v>0.5</v>
      </c>
      <c r="F318">
        <f t="shared" si="9"/>
        <v>0</v>
      </c>
    </row>
    <row r="319" spans="1:6">
      <c r="A319" s="30">
        <f t="shared" si="10"/>
        <v>43409</v>
      </c>
      <c r="C319" t="s">
        <v>203</v>
      </c>
      <c r="D319">
        <f>IF(B319=$AB$2,$AC$2,$AC$3)</f>
        <v>0</v>
      </c>
      <c r="E319">
        <f>IF(ISBLANK(C319),0,VLOOKUP(C319,$AE$2:$AF$7,2,0))</f>
        <v>0.5</v>
      </c>
      <c r="F319">
        <f t="shared" si="9"/>
        <v>0</v>
      </c>
    </row>
    <row r="320" spans="1:6">
      <c r="A320" s="30">
        <f t="shared" si="10"/>
        <v>43410</v>
      </c>
      <c r="C320" t="s">
        <v>203</v>
      </c>
      <c r="D320">
        <f>IF(B320=$AB$2,$AC$2,$AC$3)</f>
        <v>0</v>
      </c>
      <c r="E320">
        <f>IF(ISBLANK(C320),0,VLOOKUP(C320,$AE$2:$AF$7,2,0))</f>
        <v>0.5</v>
      </c>
      <c r="F320">
        <f t="shared" si="9"/>
        <v>0</v>
      </c>
    </row>
    <row r="321" spans="1:6">
      <c r="A321" s="30">
        <f t="shared" si="10"/>
        <v>43411</v>
      </c>
      <c r="C321" t="s">
        <v>203</v>
      </c>
      <c r="D321">
        <f>IF(B321=$AB$2,$AC$2,$AC$3)</f>
        <v>0</v>
      </c>
      <c r="E321">
        <f>IF(ISBLANK(C321),0,VLOOKUP(C321,$AE$2:$AF$7,2,0))</f>
        <v>0.5</v>
      </c>
      <c r="F321">
        <f t="shared" si="9"/>
        <v>0</v>
      </c>
    </row>
    <row r="322" spans="1:6">
      <c r="A322" s="30">
        <f t="shared" si="10"/>
        <v>43412</v>
      </c>
      <c r="C322" t="s">
        <v>203</v>
      </c>
      <c r="D322">
        <f>IF(B322=$AB$2,$AC$2,$AC$3)</f>
        <v>0</v>
      </c>
      <c r="E322">
        <f>IF(ISBLANK(C322),0,VLOOKUP(C322,$AE$2:$AF$7,2,0))</f>
        <v>0.5</v>
      </c>
      <c r="F322">
        <f t="shared" si="9"/>
        <v>0</v>
      </c>
    </row>
    <row r="323" spans="1:6">
      <c r="A323" s="30">
        <f t="shared" si="10"/>
        <v>43413</v>
      </c>
      <c r="C323" t="s">
        <v>203</v>
      </c>
      <c r="D323">
        <f>IF(B323=$AB$2,$AC$2,$AC$3)</f>
        <v>0</v>
      </c>
      <c r="E323">
        <f>IF(ISBLANK(C323),0,VLOOKUP(C323,$AE$2:$AF$7,2,0))</f>
        <v>0.5</v>
      </c>
      <c r="F323">
        <f t="shared" ref="F323:F386" si="11">D323*E323</f>
        <v>0</v>
      </c>
    </row>
    <row r="324" spans="1:6">
      <c r="A324" s="30">
        <f t="shared" si="10"/>
        <v>43414</v>
      </c>
      <c r="C324" t="s">
        <v>203</v>
      </c>
      <c r="D324">
        <f>IF(B324=$AB$2,$AC$2,$AC$3)</f>
        <v>0</v>
      </c>
      <c r="E324">
        <f>IF(ISBLANK(C324),0,VLOOKUP(C324,$AE$2:$AF$7,2,0))</f>
        <v>0.5</v>
      </c>
      <c r="F324">
        <f t="shared" si="11"/>
        <v>0</v>
      </c>
    </row>
    <row r="325" spans="1:6">
      <c r="A325" s="30">
        <f t="shared" si="10"/>
        <v>43415</v>
      </c>
      <c r="C325" t="s">
        <v>203</v>
      </c>
      <c r="D325">
        <f>IF(B325=$AB$2,$AC$2,$AC$3)</f>
        <v>0</v>
      </c>
      <c r="E325">
        <f>IF(ISBLANK(C325),0,VLOOKUP(C325,$AE$2:$AF$7,2,0))</f>
        <v>0.5</v>
      </c>
      <c r="F325">
        <f t="shared" si="11"/>
        <v>0</v>
      </c>
    </row>
    <row r="326" spans="1:6">
      <c r="A326" s="30">
        <f t="shared" si="10"/>
        <v>43416</v>
      </c>
      <c r="C326" t="s">
        <v>203</v>
      </c>
      <c r="D326">
        <f>IF(B326=$AB$2,$AC$2,$AC$3)</f>
        <v>0</v>
      </c>
      <c r="E326">
        <f>IF(ISBLANK(C326),0,VLOOKUP(C326,$AE$2:$AF$7,2,0))</f>
        <v>0.5</v>
      </c>
      <c r="F326">
        <f t="shared" si="11"/>
        <v>0</v>
      </c>
    </row>
    <row r="327" spans="1:6">
      <c r="A327" s="30">
        <f t="shared" si="10"/>
        <v>43417</v>
      </c>
      <c r="C327" t="s">
        <v>203</v>
      </c>
      <c r="D327">
        <f>IF(B327=$AB$2,$AC$2,$AC$3)</f>
        <v>0</v>
      </c>
      <c r="E327">
        <f>IF(ISBLANK(C327),0,VLOOKUP(C327,$AE$2:$AF$7,2,0))</f>
        <v>0.5</v>
      </c>
      <c r="F327">
        <f t="shared" si="11"/>
        <v>0</v>
      </c>
    </row>
    <row r="328" spans="1:6">
      <c r="A328" s="30">
        <f t="shared" si="10"/>
        <v>43418</v>
      </c>
      <c r="C328" t="s">
        <v>203</v>
      </c>
      <c r="D328">
        <f>IF(B328=$AB$2,$AC$2,$AC$3)</f>
        <v>0</v>
      </c>
      <c r="E328">
        <f>IF(ISBLANK(C328),0,VLOOKUP(C328,$AE$2:$AF$7,2,0))</f>
        <v>0.5</v>
      </c>
      <c r="F328">
        <f t="shared" si="11"/>
        <v>0</v>
      </c>
    </row>
    <row r="329" spans="1:6">
      <c r="A329" s="30">
        <f t="shared" si="10"/>
        <v>43419</v>
      </c>
      <c r="C329" t="s">
        <v>203</v>
      </c>
      <c r="D329">
        <f>IF(B329=$AB$2,$AC$2,$AC$3)</f>
        <v>0</v>
      </c>
      <c r="E329">
        <f>IF(ISBLANK(C329),0,VLOOKUP(C329,$AE$2:$AF$7,2,0))</f>
        <v>0.5</v>
      </c>
      <c r="F329">
        <f t="shared" si="11"/>
        <v>0</v>
      </c>
    </row>
    <row r="330" spans="1:6">
      <c r="A330" s="30">
        <f t="shared" si="10"/>
        <v>43420</v>
      </c>
      <c r="C330" t="s">
        <v>203</v>
      </c>
      <c r="D330">
        <f>IF(B330=$AB$2,$AC$2,$AC$3)</f>
        <v>0</v>
      </c>
      <c r="E330">
        <f>IF(ISBLANK(C330),0,VLOOKUP(C330,$AE$2:$AF$7,2,0))</f>
        <v>0.5</v>
      </c>
      <c r="F330">
        <f t="shared" si="11"/>
        <v>0</v>
      </c>
    </row>
    <row r="331" spans="1:6">
      <c r="A331" s="30">
        <f t="shared" si="10"/>
        <v>43421</v>
      </c>
      <c r="C331" t="s">
        <v>203</v>
      </c>
      <c r="D331">
        <f>IF(B331=$AB$2,$AC$2,$AC$3)</f>
        <v>0</v>
      </c>
      <c r="E331">
        <f>IF(ISBLANK(C331),0,VLOOKUP(C331,$AE$2:$AF$7,2,0))</f>
        <v>0.5</v>
      </c>
      <c r="F331">
        <f t="shared" si="11"/>
        <v>0</v>
      </c>
    </row>
    <row r="332" spans="1:6">
      <c r="A332" s="30">
        <f t="shared" si="10"/>
        <v>43422</v>
      </c>
      <c r="C332" t="s">
        <v>203</v>
      </c>
      <c r="D332">
        <f>IF(B332=$AB$2,$AC$2,$AC$3)</f>
        <v>0</v>
      </c>
      <c r="E332">
        <f>IF(ISBLANK(C332),0,VLOOKUP(C332,$AE$2:$AF$7,2,0))</f>
        <v>0.5</v>
      </c>
      <c r="F332">
        <f t="shared" si="11"/>
        <v>0</v>
      </c>
    </row>
    <row r="333" spans="1:6">
      <c r="A333" s="30">
        <f t="shared" si="10"/>
        <v>43423</v>
      </c>
      <c r="C333" t="s">
        <v>203</v>
      </c>
      <c r="D333">
        <f>IF(B333=$AB$2,$AC$2,$AC$3)</f>
        <v>0</v>
      </c>
      <c r="E333">
        <f>IF(ISBLANK(C333),0,VLOOKUP(C333,$AE$2:$AF$7,2,0))</f>
        <v>0.5</v>
      </c>
      <c r="F333">
        <f t="shared" si="11"/>
        <v>0</v>
      </c>
    </row>
    <row r="334" spans="1:6">
      <c r="A334" s="30">
        <f t="shared" si="10"/>
        <v>43424</v>
      </c>
      <c r="C334" t="s">
        <v>203</v>
      </c>
      <c r="D334">
        <f>IF(B334=$AB$2,$AC$2,$AC$3)</f>
        <v>0</v>
      </c>
      <c r="E334">
        <f>IF(ISBLANK(C334),0,VLOOKUP(C334,$AE$2:$AF$7,2,0))</f>
        <v>0.5</v>
      </c>
      <c r="F334">
        <f t="shared" si="11"/>
        <v>0</v>
      </c>
    </row>
    <row r="335" spans="1:6">
      <c r="A335" s="30">
        <f t="shared" si="10"/>
        <v>43425</v>
      </c>
      <c r="C335" t="s">
        <v>203</v>
      </c>
      <c r="D335">
        <f>IF(B335=$AB$2,$AC$2,$AC$3)</f>
        <v>0</v>
      </c>
      <c r="E335">
        <f>IF(ISBLANK(C335),0,VLOOKUP(C335,$AE$2:$AF$7,2,0))</f>
        <v>0.5</v>
      </c>
      <c r="F335">
        <f t="shared" si="11"/>
        <v>0</v>
      </c>
    </row>
    <row r="336" spans="1:6">
      <c r="A336" s="30">
        <f t="shared" si="10"/>
        <v>43426</v>
      </c>
      <c r="C336" t="s">
        <v>203</v>
      </c>
      <c r="D336">
        <f>IF(B336=$AB$2,$AC$2,$AC$3)</f>
        <v>0</v>
      </c>
      <c r="E336">
        <f>IF(ISBLANK(C336),0,VLOOKUP(C336,$AE$2:$AF$7,2,0))</f>
        <v>0.5</v>
      </c>
      <c r="F336">
        <f t="shared" si="11"/>
        <v>0</v>
      </c>
    </row>
    <row r="337" spans="1:6">
      <c r="A337" s="30">
        <f t="shared" si="10"/>
        <v>43427</v>
      </c>
      <c r="C337" t="s">
        <v>203</v>
      </c>
      <c r="D337">
        <f>IF(B337=$AB$2,$AC$2,$AC$3)</f>
        <v>0</v>
      </c>
      <c r="E337">
        <f>IF(ISBLANK(C337),0,VLOOKUP(C337,$AE$2:$AF$7,2,0))</f>
        <v>0.5</v>
      </c>
      <c r="F337">
        <f t="shared" si="11"/>
        <v>0</v>
      </c>
    </row>
    <row r="338" spans="1:6">
      <c r="A338" s="30">
        <f t="shared" si="10"/>
        <v>43428</v>
      </c>
      <c r="C338" t="s">
        <v>203</v>
      </c>
      <c r="D338">
        <f>IF(B338=$AB$2,$AC$2,$AC$3)</f>
        <v>0</v>
      </c>
      <c r="E338">
        <f>IF(ISBLANK(C338),0,VLOOKUP(C338,$AE$2:$AF$7,2,0))</f>
        <v>0.5</v>
      </c>
      <c r="F338">
        <f t="shared" si="11"/>
        <v>0</v>
      </c>
    </row>
    <row r="339" spans="1:6">
      <c r="A339" s="30">
        <f t="shared" si="10"/>
        <v>43429</v>
      </c>
      <c r="C339" t="s">
        <v>203</v>
      </c>
      <c r="D339">
        <f>IF(B339=$AB$2,$AC$2,$AC$3)</f>
        <v>0</v>
      </c>
      <c r="E339">
        <f>IF(ISBLANK(C339),0,VLOOKUP(C339,$AE$2:$AF$7,2,0))</f>
        <v>0.5</v>
      </c>
      <c r="F339">
        <f t="shared" si="11"/>
        <v>0</v>
      </c>
    </row>
    <row r="340" spans="1:6">
      <c r="A340" s="30">
        <f t="shared" si="10"/>
        <v>43430</v>
      </c>
      <c r="C340" t="s">
        <v>203</v>
      </c>
      <c r="D340">
        <f>IF(B340=$AB$2,$AC$2,$AC$3)</f>
        <v>0</v>
      </c>
      <c r="E340">
        <f>IF(ISBLANK(C340),0,VLOOKUP(C340,$AE$2:$AF$7,2,0))</f>
        <v>0.5</v>
      </c>
      <c r="F340">
        <f t="shared" si="11"/>
        <v>0</v>
      </c>
    </row>
    <row r="341" spans="1:6">
      <c r="A341" s="30">
        <f t="shared" si="10"/>
        <v>43431</v>
      </c>
      <c r="C341" t="s">
        <v>203</v>
      </c>
      <c r="D341">
        <f>IF(B341=$AB$2,$AC$2,$AC$3)</f>
        <v>0</v>
      </c>
      <c r="E341">
        <f>IF(ISBLANK(C341),0,VLOOKUP(C341,$AE$2:$AF$7,2,0))</f>
        <v>0.5</v>
      </c>
      <c r="F341">
        <f t="shared" si="11"/>
        <v>0</v>
      </c>
    </row>
    <row r="342" spans="1:6">
      <c r="A342" s="30">
        <f t="shared" si="10"/>
        <v>43432</v>
      </c>
      <c r="C342" t="s">
        <v>203</v>
      </c>
      <c r="D342">
        <f>IF(B342=$AB$2,$AC$2,$AC$3)</f>
        <v>0</v>
      </c>
      <c r="E342">
        <f>IF(ISBLANK(C342),0,VLOOKUP(C342,$AE$2:$AF$7,2,0))</f>
        <v>0.5</v>
      </c>
      <c r="F342">
        <f t="shared" si="11"/>
        <v>0</v>
      </c>
    </row>
    <row r="343" spans="1:6">
      <c r="A343" s="30">
        <f t="shared" si="10"/>
        <v>43433</v>
      </c>
      <c r="C343" t="s">
        <v>203</v>
      </c>
      <c r="D343">
        <f>IF(B343=$AB$2,$AC$2,$AC$3)</f>
        <v>0</v>
      </c>
      <c r="E343">
        <f>IF(ISBLANK(C343),0,VLOOKUP(C343,$AE$2:$AF$7,2,0))</f>
        <v>0.5</v>
      </c>
      <c r="F343">
        <f t="shared" si="11"/>
        <v>0</v>
      </c>
    </row>
    <row r="344" spans="1:6">
      <c r="A344" s="30">
        <f t="shared" si="10"/>
        <v>43434</v>
      </c>
      <c r="C344" t="s">
        <v>203</v>
      </c>
      <c r="D344">
        <f>IF(B344=$AB$2,$AC$2,$AC$3)</f>
        <v>0</v>
      </c>
      <c r="E344">
        <f>IF(ISBLANK(C344),0,VLOOKUP(C344,$AE$2:$AF$7,2,0))</f>
        <v>0.5</v>
      </c>
      <c r="F344">
        <f t="shared" si="11"/>
        <v>0</v>
      </c>
    </row>
    <row r="345" spans="1:6">
      <c r="A345" s="30">
        <f>A344+1</f>
        <v>43435</v>
      </c>
      <c r="C345" t="s">
        <v>203</v>
      </c>
      <c r="D345">
        <f>IF(B345=$AB$2,$AC$2,$AC$3)</f>
        <v>0</v>
      </c>
      <c r="E345">
        <f>IF(ISBLANK(C345),0,VLOOKUP(C345,$AE$2:$AF$7,2,0))</f>
        <v>0.5</v>
      </c>
      <c r="F345">
        <f t="shared" si="11"/>
        <v>0</v>
      </c>
    </row>
    <row r="346" spans="1:6">
      <c r="A346" s="30">
        <f t="shared" ref="A346:A409" si="12">A345+1</f>
        <v>43436</v>
      </c>
      <c r="C346" t="s">
        <v>203</v>
      </c>
      <c r="D346">
        <f>IF(B346=$AB$2,$AC$2,$AC$3)</f>
        <v>0</v>
      </c>
      <c r="E346">
        <f>IF(ISBLANK(C346),0,VLOOKUP(C346,$AE$2:$AF$7,2,0))</f>
        <v>0.5</v>
      </c>
      <c r="F346">
        <f t="shared" si="11"/>
        <v>0</v>
      </c>
    </row>
    <row r="347" spans="1:6">
      <c r="A347" s="30">
        <f t="shared" si="12"/>
        <v>43437</v>
      </c>
      <c r="C347" t="s">
        <v>203</v>
      </c>
      <c r="D347">
        <f>IF(B347=$AB$2,$AC$2,$AC$3)</f>
        <v>0</v>
      </c>
      <c r="E347">
        <f>IF(ISBLANK(C347),0,VLOOKUP(C347,$AE$2:$AF$7,2,0))</f>
        <v>0.5</v>
      </c>
      <c r="F347">
        <f t="shared" si="11"/>
        <v>0</v>
      </c>
    </row>
    <row r="348" spans="1:6">
      <c r="A348" s="30">
        <f t="shared" si="12"/>
        <v>43438</v>
      </c>
      <c r="C348" t="s">
        <v>203</v>
      </c>
      <c r="D348">
        <f>IF(B348=$AB$2,$AC$2,$AC$3)</f>
        <v>0</v>
      </c>
      <c r="E348">
        <f>IF(ISBLANK(C348),0,VLOOKUP(C348,$AE$2:$AF$7,2,0))</f>
        <v>0.5</v>
      </c>
      <c r="F348">
        <f t="shared" si="11"/>
        <v>0</v>
      </c>
    </row>
    <row r="349" spans="1:6">
      <c r="A349" s="30">
        <f t="shared" si="12"/>
        <v>43439</v>
      </c>
      <c r="C349" t="s">
        <v>203</v>
      </c>
      <c r="D349">
        <f>IF(B349=$AB$2,$AC$2,$AC$3)</f>
        <v>0</v>
      </c>
      <c r="E349">
        <f>IF(ISBLANK(C349),0,VLOOKUP(C349,$AE$2:$AF$7,2,0))</f>
        <v>0.5</v>
      </c>
      <c r="F349">
        <f t="shared" si="11"/>
        <v>0</v>
      </c>
    </row>
    <row r="350" spans="1:6">
      <c r="A350" s="30">
        <f t="shared" si="12"/>
        <v>43440</v>
      </c>
      <c r="C350" t="s">
        <v>203</v>
      </c>
      <c r="D350">
        <f>IF(B350=$AB$2,$AC$2,$AC$3)</f>
        <v>0</v>
      </c>
      <c r="E350">
        <f>IF(ISBLANK(C350),0,VLOOKUP(C350,$AE$2:$AF$7,2,0))</f>
        <v>0.5</v>
      </c>
      <c r="F350">
        <f t="shared" si="11"/>
        <v>0</v>
      </c>
    </row>
    <row r="351" spans="1:6">
      <c r="A351" s="30">
        <f t="shared" si="12"/>
        <v>43441</v>
      </c>
      <c r="C351" t="s">
        <v>203</v>
      </c>
      <c r="D351">
        <f>IF(B351=$AB$2,$AC$2,$AC$3)</f>
        <v>0</v>
      </c>
      <c r="E351">
        <f>IF(ISBLANK(C351),0,VLOOKUP(C351,$AE$2:$AF$7,2,0))</f>
        <v>0.5</v>
      </c>
      <c r="F351">
        <f t="shared" si="11"/>
        <v>0</v>
      </c>
    </row>
    <row r="352" spans="1:6">
      <c r="A352" s="30">
        <f t="shared" si="12"/>
        <v>43442</v>
      </c>
      <c r="C352" t="s">
        <v>203</v>
      </c>
      <c r="D352">
        <f>IF(B352=$AB$2,$AC$2,$AC$3)</f>
        <v>0</v>
      </c>
      <c r="E352">
        <f>IF(ISBLANK(C352),0,VLOOKUP(C352,$AE$2:$AF$7,2,0))</f>
        <v>0.5</v>
      </c>
      <c r="F352">
        <f t="shared" si="11"/>
        <v>0</v>
      </c>
    </row>
    <row r="353" spans="1:6">
      <c r="A353" s="30">
        <f t="shared" si="12"/>
        <v>43443</v>
      </c>
      <c r="C353" t="s">
        <v>203</v>
      </c>
      <c r="D353">
        <f>IF(B353=$AB$2,$AC$2,$AC$3)</f>
        <v>0</v>
      </c>
      <c r="E353">
        <f>IF(ISBLANK(C353),0,VLOOKUP(C353,$AE$2:$AF$7,2,0))</f>
        <v>0.5</v>
      </c>
      <c r="F353">
        <f t="shared" si="11"/>
        <v>0</v>
      </c>
    </row>
    <row r="354" spans="1:6">
      <c r="A354" s="30">
        <f t="shared" si="12"/>
        <v>43444</v>
      </c>
      <c r="C354" t="s">
        <v>203</v>
      </c>
      <c r="D354">
        <f>IF(B354=$AB$2,$AC$2,$AC$3)</f>
        <v>0</v>
      </c>
      <c r="E354">
        <f>IF(ISBLANK(C354),0,VLOOKUP(C354,$AE$2:$AF$7,2,0))</f>
        <v>0.5</v>
      </c>
      <c r="F354">
        <f t="shared" si="11"/>
        <v>0</v>
      </c>
    </row>
    <row r="355" spans="1:6">
      <c r="A355" s="30">
        <f t="shared" si="12"/>
        <v>43445</v>
      </c>
      <c r="C355" t="s">
        <v>203</v>
      </c>
      <c r="D355">
        <f>IF(B355=$AB$2,$AC$2,$AC$3)</f>
        <v>0</v>
      </c>
      <c r="E355">
        <f>IF(ISBLANK(C355),0,VLOOKUP(C355,$AE$2:$AF$7,2,0))</f>
        <v>0.5</v>
      </c>
      <c r="F355">
        <f t="shared" si="11"/>
        <v>0</v>
      </c>
    </row>
    <row r="356" spans="1:6">
      <c r="A356" s="30">
        <f t="shared" si="12"/>
        <v>43446</v>
      </c>
      <c r="C356" t="s">
        <v>203</v>
      </c>
      <c r="D356">
        <f>IF(B356=$AB$2,$AC$2,$AC$3)</f>
        <v>0</v>
      </c>
      <c r="E356">
        <f>IF(ISBLANK(C356),0,VLOOKUP(C356,$AE$2:$AF$7,2,0))</f>
        <v>0.5</v>
      </c>
      <c r="F356">
        <f t="shared" si="11"/>
        <v>0</v>
      </c>
    </row>
    <row r="357" spans="1:6">
      <c r="A357" s="30">
        <f t="shared" si="12"/>
        <v>43447</v>
      </c>
      <c r="C357" t="s">
        <v>203</v>
      </c>
      <c r="D357">
        <f>IF(B357=$AB$2,$AC$2,$AC$3)</f>
        <v>0</v>
      </c>
      <c r="E357">
        <f>IF(ISBLANK(C357),0,VLOOKUP(C357,$AE$2:$AF$7,2,0))</f>
        <v>0.5</v>
      </c>
      <c r="F357">
        <f t="shared" si="11"/>
        <v>0</v>
      </c>
    </row>
    <row r="358" spans="1:6">
      <c r="A358" s="30">
        <f t="shared" si="12"/>
        <v>43448</v>
      </c>
      <c r="C358" t="s">
        <v>203</v>
      </c>
      <c r="D358">
        <f>IF(B358=$AB$2,$AC$2,$AC$3)</f>
        <v>0</v>
      </c>
      <c r="E358">
        <f>IF(ISBLANK(C358),0,VLOOKUP(C358,$AE$2:$AF$7,2,0))</f>
        <v>0.5</v>
      </c>
      <c r="F358">
        <f t="shared" si="11"/>
        <v>0</v>
      </c>
    </row>
    <row r="359" spans="1:6">
      <c r="A359" s="30">
        <f t="shared" si="12"/>
        <v>43449</v>
      </c>
      <c r="C359" t="s">
        <v>203</v>
      </c>
      <c r="D359">
        <f>IF(B359=$AB$2,$AC$2,$AC$3)</f>
        <v>0</v>
      </c>
      <c r="E359">
        <f>IF(ISBLANK(C359),0,VLOOKUP(C359,$AE$2:$AF$7,2,0))</f>
        <v>0.5</v>
      </c>
      <c r="F359">
        <f t="shared" si="11"/>
        <v>0</v>
      </c>
    </row>
    <row r="360" spans="1:6">
      <c r="A360" s="30">
        <f t="shared" si="12"/>
        <v>43450</v>
      </c>
      <c r="C360" t="s">
        <v>203</v>
      </c>
      <c r="D360">
        <f>IF(B360=$AB$2,$AC$2,$AC$3)</f>
        <v>0</v>
      </c>
      <c r="E360">
        <f>IF(ISBLANK(C360),0,VLOOKUP(C360,$AE$2:$AF$7,2,0))</f>
        <v>0.5</v>
      </c>
      <c r="F360">
        <f t="shared" si="11"/>
        <v>0</v>
      </c>
    </row>
    <row r="361" spans="1:6">
      <c r="A361" s="30">
        <f t="shared" si="12"/>
        <v>43451</v>
      </c>
      <c r="C361" t="s">
        <v>203</v>
      </c>
      <c r="D361">
        <f>IF(B361=$AB$2,$AC$2,$AC$3)</f>
        <v>0</v>
      </c>
      <c r="E361">
        <f>IF(ISBLANK(C361),0,VLOOKUP(C361,$AE$2:$AF$7,2,0))</f>
        <v>0.5</v>
      </c>
      <c r="F361">
        <f t="shared" si="11"/>
        <v>0</v>
      </c>
    </row>
    <row r="362" spans="1:6">
      <c r="A362" s="30">
        <f t="shared" si="12"/>
        <v>43452</v>
      </c>
      <c r="C362" t="s">
        <v>203</v>
      </c>
      <c r="D362">
        <f>IF(B362=$AB$2,$AC$2,$AC$3)</f>
        <v>0</v>
      </c>
      <c r="E362">
        <f>IF(ISBLANK(C362),0,VLOOKUP(C362,$AE$2:$AF$7,2,0))</f>
        <v>0.5</v>
      </c>
      <c r="F362">
        <f t="shared" si="11"/>
        <v>0</v>
      </c>
    </row>
    <row r="363" spans="1:6">
      <c r="A363" s="30">
        <f t="shared" si="12"/>
        <v>43453</v>
      </c>
      <c r="C363" t="s">
        <v>203</v>
      </c>
      <c r="D363">
        <f>IF(B363=$AB$2,$AC$2,$AC$3)</f>
        <v>0</v>
      </c>
      <c r="E363">
        <f>IF(ISBLANK(C363),0,VLOOKUP(C363,$AE$2:$AF$7,2,0))</f>
        <v>0.5</v>
      </c>
      <c r="F363">
        <f t="shared" si="11"/>
        <v>0</v>
      </c>
    </row>
    <row r="364" spans="1:6">
      <c r="A364" s="30">
        <f t="shared" si="12"/>
        <v>43454</v>
      </c>
      <c r="C364" t="s">
        <v>203</v>
      </c>
      <c r="D364">
        <f>IF(B364=$AB$2,$AC$2,$AC$3)</f>
        <v>0</v>
      </c>
      <c r="E364">
        <f>IF(ISBLANK(C364),0,VLOOKUP(C364,$AE$2:$AF$7,2,0))</f>
        <v>0.5</v>
      </c>
      <c r="F364">
        <f t="shared" si="11"/>
        <v>0</v>
      </c>
    </row>
    <row r="365" spans="1:6">
      <c r="A365" s="30">
        <f t="shared" si="12"/>
        <v>43455</v>
      </c>
      <c r="C365" t="s">
        <v>203</v>
      </c>
      <c r="D365">
        <f>IF(B365=$AB$2,$AC$2,$AC$3)</f>
        <v>0</v>
      </c>
      <c r="E365">
        <f>IF(ISBLANK(C365),0,VLOOKUP(C365,$AE$2:$AF$7,2,0))</f>
        <v>0.5</v>
      </c>
      <c r="F365">
        <f t="shared" si="11"/>
        <v>0</v>
      </c>
    </row>
    <row r="366" spans="1:6">
      <c r="A366" s="30">
        <f t="shared" si="12"/>
        <v>43456</v>
      </c>
      <c r="C366" t="s">
        <v>203</v>
      </c>
      <c r="D366">
        <f>IF(B366=$AB$2,$AC$2,$AC$3)</f>
        <v>0</v>
      </c>
      <c r="E366">
        <f>IF(ISBLANK(C366),0,VLOOKUP(C366,$AE$2:$AF$7,2,0))</f>
        <v>0.5</v>
      </c>
      <c r="F366">
        <f t="shared" si="11"/>
        <v>0</v>
      </c>
    </row>
    <row r="367" spans="1:6">
      <c r="A367" s="30">
        <f t="shared" si="12"/>
        <v>43457</v>
      </c>
      <c r="C367" t="s">
        <v>203</v>
      </c>
      <c r="D367">
        <f>IF(B367=$AB$2,$AC$2,$AC$3)</f>
        <v>0</v>
      </c>
      <c r="E367">
        <f>IF(ISBLANK(C367),0,VLOOKUP(C367,$AE$2:$AF$7,2,0))</f>
        <v>0.5</v>
      </c>
      <c r="F367">
        <f t="shared" si="11"/>
        <v>0</v>
      </c>
    </row>
    <row r="368" spans="1:6">
      <c r="A368" s="30">
        <f t="shared" si="12"/>
        <v>43458</v>
      </c>
      <c r="C368" t="s">
        <v>203</v>
      </c>
      <c r="D368">
        <f>IF(B368=$AB$2,$AC$2,$AC$3)</f>
        <v>0</v>
      </c>
      <c r="E368">
        <f>IF(ISBLANK(C368),0,VLOOKUP(C368,$AE$2:$AF$7,2,0))</f>
        <v>0.5</v>
      </c>
      <c r="F368">
        <f t="shared" si="11"/>
        <v>0</v>
      </c>
    </row>
    <row r="369" spans="1:6">
      <c r="A369" s="30">
        <f t="shared" si="12"/>
        <v>43459</v>
      </c>
      <c r="C369" t="s">
        <v>203</v>
      </c>
      <c r="D369">
        <f>IF(B369=$AB$2,$AC$2,$AC$3)</f>
        <v>0</v>
      </c>
      <c r="E369">
        <f>IF(ISBLANK(C369),0,VLOOKUP(C369,$AE$2:$AF$7,2,0))</f>
        <v>0.5</v>
      </c>
      <c r="F369">
        <f t="shared" si="11"/>
        <v>0</v>
      </c>
    </row>
    <row r="370" spans="1:6">
      <c r="A370" s="30">
        <f t="shared" si="12"/>
        <v>43460</v>
      </c>
      <c r="C370" t="s">
        <v>203</v>
      </c>
      <c r="D370">
        <f>IF(B370=$AB$2,$AC$2,$AC$3)</f>
        <v>0</v>
      </c>
      <c r="E370">
        <f>IF(ISBLANK(C370),0,VLOOKUP(C370,$AE$2:$AF$7,2,0))</f>
        <v>0.5</v>
      </c>
      <c r="F370">
        <f t="shared" si="11"/>
        <v>0</v>
      </c>
    </row>
    <row r="371" spans="1:6">
      <c r="A371" s="30">
        <f t="shared" si="12"/>
        <v>43461</v>
      </c>
      <c r="C371" t="s">
        <v>203</v>
      </c>
      <c r="D371">
        <f>IF(B371=$AB$2,$AC$2,$AC$3)</f>
        <v>0</v>
      </c>
      <c r="E371">
        <f>IF(ISBLANK(C371),0,VLOOKUP(C371,$AE$2:$AF$7,2,0))</f>
        <v>0.5</v>
      </c>
      <c r="F371">
        <f t="shared" si="11"/>
        <v>0</v>
      </c>
    </row>
    <row r="372" spans="1:6">
      <c r="A372" s="30">
        <f t="shared" si="12"/>
        <v>43462</v>
      </c>
      <c r="C372" t="s">
        <v>203</v>
      </c>
      <c r="D372">
        <f>IF(B372=$AB$2,$AC$2,$AC$3)</f>
        <v>0</v>
      </c>
      <c r="E372">
        <f>IF(ISBLANK(C372),0,VLOOKUP(C372,$AE$2:$AF$7,2,0))</f>
        <v>0.5</v>
      </c>
      <c r="F372">
        <f t="shared" si="11"/>
        <v>0</v>
      </c>
    </row>
    <row r="373" spans="1:6">
      <c r="A373" s="30">
        <f t="shared" si="12"/>
        <v>43463</v>
      </c>
      <c r="C373" t="s">
        <v>203</v>
      </c>
      <c r="D373">
        <f>IF(B373=$AB$2,$AC$2,$AC$3)</f>
        <v>0</v>
      </c>
      <c r="E373">
        <f>IF(ISBLANK(C373),0,VLOOKUP(C373,$AE$2:$AF$7,2,0))</f>
        <v>0.5</v>
      </c>
      <c r="F373">
        <f t="shared" si="11"/>
        <v>0</v>
      </c>
    </row>
    <row r="374" spans="1:6">
      <c r="A374" s="30">
        <f t="shared" si="12"/>
        <v>43464</v>
      </c>
      <c r="C374" t="s">
        <v>203</v>
      </c>
      <c r="D374">
        <f>IF(B374=$AB$2,$AC$2,$AC$3)</f>
        <v>0</v>
      </c>
      <c r="E374">
        <f>IF(ISBLANK(C374),0,VLOOKUP(C374,$AE$2:$AF$7,2,0))</f>
        <v>0.5</v>
      </c>
      <c r="F374">
        <f t="shared" si="11"/>
        <v>0</v>
      </c>
    </row>
    <row r="375" spans="1:6">
      <c r="A375" s="30">
        <f t="shared" si="12"/>
        <v>43465</v>
      </c>
      <c r="C375" t="s">
        <v>203</v>
      </c>
      <c r="D375">
        <f>IF(B375=$AB$2,$AC$2,$AC$3)</f>
        <v>0</v>
      </c>
      <c r="E375">
        <f>IF(ISBLANK(C375),0,VLOOKUP(C375,$AE$2:$AF$7,2,0))</f>
        <v>0.5</v>
      </c>
      <c r="F375">
        <f t="shared" si="11"/>
        <v>0</v>
      </c>
    </row>
    <row r="376" spans="1:6">
      <c r="A376" s="30">
        <f t="shared" si="12"/>
        <v>43466</v>
      </c>
      <c r="C376" t="s">
        <v>203</v>
      </c>
      <c r="D376">
        <f>IF(B376=$AB$2,$AC$2,$AC$3)</f>
        <v>0</v>
      </c>
      <c r="E376">
        <f>IF(ISBLANK(C376),0,VLOOKUP(C376,$AE$2:$AF$7,2,0))</f>
        <v>0.5</v>
      </c>
      <c r="F376">
        <f t="shared" si="11"/>
        <v>0</v>
      </c>
    </row>
    <row r="377" spans="1:6">
      <c r="A377" s="30">
        <f t="shared" si="12"/>
        <v>43467</v>
      </c>
      <c r="C377" t="s">
        <v>203</v>
      </c>
      <c r="D377">
        <f>IF(B377=$AB$2,$AC$2,$AC$3)</f>
        <v>0</v>
      </c>
      <c r="E377">
        <f>IF(ISBLANK(C377),0,VLOOKUP(C377,$AE$2:$AF$7,2,0))</f>
        <v>0.5</v>
      </c>
      <c r="F377">
        <f t="shared" si="11"/>
        <v>0</v>
      </c>
    </row>
    <row r="378" spans="1:6">
      <c r="A378" s="30">
        <f t="shared" si="12"/>
        <v>43468</v>
      </c>
      <c r="C378" t="s">
        <v>203</v>
      </c>
      <c r="D378">
        <f>IF(B378=$AB$2,$AC$2,$AC$3)</f>
        <v>0</v>
      </c>
      <c r="E378">
        <f>IF(ISBLANK(C378),0,VLOOKUP(C378,$AE$2:$AF$7,2,0))</f>
        <v>0.5</v>
      </c>
      <c r="F378">
        <f t="shared" si="11"/>
        <v>0</v>
      </c>
    </row>
    <row r="379" spans="1:6">
      <c r="A379" s="30">
        <f t="shared" si="12"/>
        <v>43469</v>
      </c>
      <c r="C379" t="s">
        <v>203</v>
      </c>
      <c r="D379">
        <f>IF(B379=$AB$2,$AC$2,$AC$3)</f>
        <v>0</v>
      </c>
      <c r="E379">
        <f>IF(ISBLANK(C379),0,VLOOKUP(C379,$AE$2:$AF$7,2,0))</f>
        <v>0.5</v>
      </c>
      <c r="F379">
        <f t="shared" si="11"/>
        <v>0</v>
      </c>
    </row>
    <row r="380" spans="1:6">
      <c r="A380" s="30">
        <f t="shared" si="12"/>
        <v>43470</v>
      </c>
      <c r="C380" t="s">
        <v>203</v>
      </c>
      <c r="D380">
        <f>IF(B380=$AB$2,$AC$2,$AC$3)</f>
        <v>0</v>
      </c>
      <c r="E380">
        <f>IF(ISBLANK(C380),0,VLOOKUP(C380,$AE$2:$AF$7,2,0))</f>
        <v>0.5</v>
      </c>
      <c r="F380">
        <f t="shared" si="11"/>
        <v>0</v>
      </c>
    </row>
    <row r="381" spans="1:6">
      <c r="A381" s="30">
        <f t="shared" si="12"/>
        <v>43471</v>
      </c>
      <c r="C381" t="s">
        <v>203</v>
      </c>
      <c r="D381">
        <f>IF(B381=$AB$2,$AC$2,$AC$3)</f>
        <v>0</v>
      </c>
      <c r="E381">
        <f>IF(ISBLANK(C381),0,VLOOKUP(C381,$AE$2:$AF$7,2,0))</f>
        <v>0.5</v>
      </c>
      <c r="F381">
        <f t="shared" si="11"/>
        <v>0</v>
      </c>
    </row>
    <row r="382" spans="1:6">
      <c r="A382" s="30">
        <f t="shared" si="12"/>
        <v>43472</v>
      </c>
      <c r="C382" t="s">
        <v>203</v>
      </c>
      <c r="D382">
        <f>IF(B382=$AB$2,$AC$2,$AC$3)</f>
        <v>0</v>
      </c>
      <c r="E382">
        <f>IF(ISBLANK(C382),0,VLOOKUP(C382,$AE$2:$AF$7,2,0))</f>
        <v>0.5</v>
      </c>
      <c r="F382">
        <f t="shared" si="11"/>
        <v>0</v>
      </c>
    </row>
    <row r="383" spans="1:6">
      <c r="A383" s="30">
        <f t="shared" si="12"/>
        <v>43473</v>
      </c>
      <c r="C383" t="s">
        <v>203</v>
      </c>
      <c r="D383">
        <f>IF(B383=$AB$2,$AC$2,$AC$3)</f>
        <v>0</v>
      </c>
      <c r="E383">
        <f>IF(ISBLANK(C383),0,VLOOKUP(C383,$AE$2:$AF$7,2,0))</f>
        <v>0.5</v>
      </c>
      <c r="F383">
        <f t="shared" si="11"/>
        <v>0</v>
      </c>
    </row>
    <row r="384" spans="1:6">
      <c r="A384" s="30">
        <f t="shared" si="12"/>
        <v>43474</v>
      </c>
      <c r="C384" t="s">
        <v>203</v>
      </c>
      <c r="D384">
        <f>IF(B384=$AB$2,$AC$2,$AC$3)</f>
        <v>0</v>
      </c>
      <c r="E384">
        <f>IF(ISBLANK(C384),0,VLOOKUP(C384,$AE$2:$AF$7,2,0))</f>
        <v>0.5</v>
      </c>
      <c r="F384">
        <f t="shared" si="11"/>
        <v>0</v>
      </c>
    </row>
    <row r="385" spans="1:6">
      <c r="A385" s="30">
        <f t="shared" si="12"/>
        <v>43475</v>
      </c>
      <c r="C385" t="s">
        <v>203</v>
      </c>
      <c r="D385">
        <f>IF(B385=$AB$2,$AC$2,$AC$3)</f>
        <v>0</v>
      </c>
      <c r="E385">
        <f>IF(ISBLANK(C385),0,VLOOKUP(C385,$AE$2:$AF$7,2,0))</f>
        <v>0.5</v>
      </c>
      <c r="F385">
        <f t="shared" si="11"/>
        <v>0</v>
      </c>
    </row>
    <row r="386" spans="1:6">
      <c r="A386" s="30">
        <f t="shared" si="12"/>
        <v>43476</v>
      </c>
      <c r="C386" t="s">
        <v>203</v>
      </c>
      <c r="D386">
        <f>IF(B386=$AB$2,$AC$2,$AC$3)</f>
        <v>0</v>
      </c>
      <c r="E386">
        <f>IF(ISBLANK(C386),0,VLOOKUP(C386,$AE$2:$AF$7,2,0))</f>
        <v>0.5</v>
      </c>
      <c r="F386">
        <f t="shared" si="11"/>
        <v>0</v>
      </c>
    </row>
    <row r="387" spans="1:6">
      <c r="A387" s="30">
        <f t="shared" si="12"/>
        <v>43477</v>
      </c>
      <c r="C387" t="s">
        <v>203</v>
      </c>
      <c r="D387">
        <f>IF(B387=$AB$2,$AC$2,$AC$3)</f>
        <v>0</v>
      </c>
      <c r="E387">
        <f>IF(ISBLANK(C387),0,VLOOKUP(C387,$AE$2:$AF$7,2,0))</f>
        <v>0.5</v>
      </c>
      <c r="F387">
        <f t="shared" ref="F387:F450" si="13">D387*E387</f>
        <v>0</v>
      </c>
    </row>
    <row r="388" spans="1:6">
      <c r="A388" s="30">
        <f t="shared" si="12"/>
        <v>43478</v>
      </c>
      <c r="C388" t="s">
        <v>203</v>
      </c>
      <c r="D388">
        <f>IF(B388=$AB$2,$AC$2,$AC$3)</f>
        <v>0</v>
      </c>
      <c r="E388">
        <f>IF(ISBLANK(C388),0,VLOOKUP(C388,$AE$2:$AF$7,2,0))</f>
        <v>0.5</v>
      </c>
      <c r="F388">
        <f t="shared" si="13"/>
        <v>0</v>
      </c>
    </row>
    <row r="389" spans="1:6">
      <c r="A389" s="30">
        <f t="shared" si="12"/>
        <v>43479</v>
      </c>
      <c r="C389" t="s">
        <v>203</v>
      </c>
      <c r="D389">
        <f>IF(B389=$AB$2,$AC$2,$AC$3)</f>
        <v>0</v>
      </c>
      <c r="E389">
        <f>IF(ISBLANK(C389),0,VLOOKUP(C389,$AE$2:$AF$7,2,0))</f>
        <v>0.5</v>
      </c>
      <c r="F389">
        <f t="shared" si="13"/>
        <v>0</v>
      </c>
    </row>
    <row r="390" spans="1:6">
      <c r="A390" s="30">
        <f t="shared" si="12"/>
        <v>43480</v>
      </c>
      <c r="C390" t="s">
        <v>203</v>
      </c>
      <c r="D390">
        <f>IF(B390=$AB$2,$AC$2,$AC$3)</f>
        <v>0</v>
      </c>
      <c r="E390">
        <f>IF(ISBLANK(C390),0,VLOOKUP(C390,$AE$2:$AF$7,2,0))</f>
        <v>0.5</v>
      </c>
      <c r="F390">
        <f t="shared" si="13"/>
        <v>0</v>
      </c>
    </row>
    <row r="391" spans="1:6">
      <c r="A391" s="30">
        <f t="shared" si="12"/>
        <v>43481</v>
      </c>
      <c r="C391" t="s">
        <v>203</v>
      </c>
      <c r="D391">
        <f>IF(B391=$AB$2,$AC$2,$AC$3)</f>
        <v>0</v>
      </c>
      <c r="E391">
        <f>IF(ISBLANK(C391),0,VLOOKUP(C391,$AE$2:$AF$7,2,0))</f>
        <v>0.5</v>
      </c>
      <c r="F391">
        <f t="shared" si="13"/>
        <v>0</v>
      </c>
    </row>
    <row r="392" spans="1:6">
      <c r="A392" s="30">
        <f t="shared" si="12"/>
        <v>43482</v>
      </c>
      <c r="C392" t="s">
        <v>203</v>
      </c>
      <c r="D392">
        <f>IF(B392=$AB$2,$AC$2,$AC$3)</f>
        <v>0</v>
      </c>
      <c r="E392">
        <f>IF(ISBLANK(C392),0,VLOOKUP(C392,$AE$2:$AF$7,2,0))</f>
        <v>0.5</v>
      </c>
      <c r="F392">
        <f t="shared" si="13"/>
        <v>0</v>
      </c>
    </row>
    <row r="393" spans="1:6">
      <c r="A393" s="30">
        <f t="shared" si="12"/>
        <v>43483</v>
      </c>
      <c r="C393" t="s">
        <v>203</v>
      </c>
      <c r="D393">
        <f>IF(B393=$AB$2,$AC$2,$AC$3)</f>
        <v>0</v>
      </c>
      <c r="E393">
        <f>IF(ISBLANK(C393),0,VLOOKUP(C393,$AE$2:$AF$7,2,0))</f>
        <v>0.5</v>
      </c>
      <c r="F393">
        <f t="shared" si="13"/>
        <v>0</v>
      </c>
    </row>
    <row r="394" spans="1:6">
      <c r="A394" s="30">
        <f t="shared" si="12"/>
        <v>43484</v>
      </c>
      <c r="C394" t="s">
        <v>203</v>
      </c>
      <c r="D394">
        <f>IF(B394=$AB$2,$AC$2,$AC$3)</f>
        <v>0</v>
      </c>
      <c r="E394">
        <f>IF(ISBLANK(C394),0,VLOOKUP(C394,$AE$2:$AF$7,2,0))</f>
        <v>0.5</v>
      </c>
      <c r="F394">
        <f t="shared" si="13"/>
        <v>0</v>
      </c>
    </row>
    <row r="395" spans="1:6">
      <c r="A395" s="30">
        <f t="shared" si="12"/>
        <v>43485</v>
      </c>
      <c r="C395" t="s">
        <v>203</v>
      </c>
      <c r="D395">
        <f>IF(B395=$AB$2,$AC$2,$AC$3)</f>
        <v>0</v>
      </c>
      <c r="E395">
        <f>IF(ISBLANK(C395),0,VLOOKUP(C395,$AE$2:$AF$7,2,0))</f>
        <v>0.5</v>
      </c>
      <c r="F395">
        <f t="shared" si="13"/>
        <v>0</v>
      </c>
    </row>
    <row r="396" spans="1:6">
      <c r="A396" s="30">
        <f t="shared" si="12"/>
        <v>43486</v>
      </c>
      <c r="C396" t="s">
        <v>203</v>
      </c>
      <c r="D396">
        <f>IF(B396=$AB$2,$AC$2,$AC$3)</f>
        <v>0</v>
      </c>
      <c r="E396">
        <f>IF(ISBLANK(C396),0,VLOOKUP(C396,$AE$2:$AF$7,2,0))</f>
        <v>0.5</v>
      </c>
      <c r="F396">
        <f t="shared" si="13"/>
        <v>0</v>
      </c>
    </row>
    <row r="397" spans="1:6">
      <c r="A397" s="30">
        <f t="shared" si="12"/>
        <v>43487</v>
      </c>
      <c r="C397" t="s">
        <v>203</v>
      </c>
      <c r="D397">
        <f>IF(B397=$AB$2,$AC$2,$AC$3)</f>
        <v>0</v>
      </c>
      <c r="E397">
        <f>IF(ISBLANK(C397),0,VLOOKUP(C397,$AE$2:$AF$7,2,0))</f>
        <v>0.5</v>
      </c>
      <c r="F397">
        <f t="shared" si="13"/>
        <v>0</v>
      </c>
    </row>
    <row r="398" spans="1:6">
      <c r="A398" s="30">
        <f t="shared" si="12"/>
        <v>43488</v>
      </c>
      <c r="C398" t="s">
        <v>203</v>
      </c>
      <c r="D398">
        <f>IF(B398=$AB$2,$AC$2,$AC$3)</f>
        <v>0</v>
      </c>
      <c r="E398">
        <f>IF(ISBLANK(C398),0,VLOOKUP(C398,$AE$2:$AF$7,2,0))</f>
        <v>0.5</v>
      </c>
      <c r="F398">
        <f t="shared" si="13"/>
        <v>0</v>
      </c>
    </row>
    <row r="399" spans="1:6">
      <c r="A399" s="30">
        <f t="shared" si="12"/>
        <v>43489</v>
      </c>
      <c r="C399" t="s">
        <v>203</v>
      </c>
      <c r="D399">
        <f>IF(B399=$AB$2,$AC$2,$AC$3)</f>
        <v>0</v>
      </c>
      <c r="E399">
        <f>IF(ISBLANK(C399),0,VLOOKUP(C399,$AE$2:$AF$7,2,0))</f>
        <v>0.5</v>
      </c>
      <c r="F399">
        <f t="shared" si="13"/>
        <v>0</v>
      </c>
    </row>
    <row r="400" spans="1:6">
      <c r="A400" s="30">
        <f t="shared" si="12"/>
        <v>43490</v>
      </c>
      <c r="C400" t="s">
        <v>203</v>
      </c>
      <c r="D400">
        <f>IF(B400=$AB$2,$AC$2,$AC$3)</f>
        <v>0</v>
      </c>
      <c r="E400">
        <f>IF(ISBLANK(C400),0,VLOOKUP(C400,$AE$2:$AF$7,2,0))</f>
        <v>0.5</v>
      </c>
      <c r="F400">
        <f t="shared" si="13"/>
        <v>0</v>
      </c>
    </row>
    <row r="401" spans="1:6">
      <c r="A401" s="30">
        <f t="shared" si="12"/>
        <v>43491</v>
      </c>
      <c r="C401" t="s">
        <v>203</v>
      </c>
      <c r="D401">
        <f>IF(B401=$AB$2,$AC$2,$AC$3)</f>
        <v>0</v>
      </c>
      <c r="E401">
        <f>IF(ISBLANK(C401),0,VLOOKUP(C401,$AE$2:$AF$7,2,0))</f>
        <v>0.5</v>
      </c>
      <c r="F401">
        <f t="shared" si="13"/>
        <v>0</v>
      </c>
    </row>
    <row r="402" spans="1:6">
      <c r="A402" s="30">
        <f t="shared" si="12"/>
        <v>43492</v>
      </c>
      <c r="C402" t="s">
        <v>203</v>
      </c>
      <c r="D402">
        <f>IF(B402=$AB$2,$AC$2,$AC$3)</f>
        <v>0</v>
      </c>
      <c r="E402">
        <f>IF(ISBLANK(C402),0,VLOOKUP(C402,$AE$2:$AF$7,2,0))</f>
        <v>0.5</v>
      </c>
      <c r="F402">
        <f t="shared" si="13"/>
        <v>0</v>
      </c>
    </row>
    <row r="403" spans="1:6">
      <c r="A403" s="30">
        <f t="shared" si="12"/>
        <v>43493</v>
      </c>
      <c r="C403" t="s">
        <v>203</v>
      </c>
      <c r="D403">
        <f>IF(B403=$AB$2,$AC$2,$AC$3)</f>
        <v>0</v>
      </c>
      <c r="E403">
        <f>IF(ISBLANK(C403),0,VLOOKUP(C403,$AE$2:$AF$7,2,0))</f>
        <v>0.5</v>
      </c>
      <c r="F403">
        <f t="shared" si="13"/>
        <v>0</v>
      </c>
    </row>
    <row r="404" spans="1:6">
      <c r="A404" s="30">
        <f t="shared" si="12"/>
        <v>43494</v>
      </c>
      <c r="C404" t="s">
        <v>203</v>
      </c>
      <c r="D404">
        <f>IF(B404=$AB$2,$AC$2,$AC$3)</f>
        <v>0</v>
      </c>
      <c r="E404">
        <f>IF(ISBLANK(C404),0,VLOOKUP(C404,$AE$2:$AF$7,2,0))</f>
        <v>0.5</v>
      </c>
      <c r="F404">
        <f t="shared" si="13"/>
        <v>0</v>
      </c>
    </row>
    <row r="405" spans="1:6">
      <c r="A405" s="30">
        <f t="shared" si="12"/>
        <v>43495</v>
      </c>
      <c r="C405" t="s">
        <v>203</v>
      </c>
      <c r="D405">
        <f>IF(B405=$AB$2,$AC$2,$AC$3)</f>
        <v>0</v>
      </c>
      <c r="E405">
        <f>IF(ISBLANK(C405),0,VLOOKUP(C405,$AE$2:$AF$7,2,0))</f>
        <v>0.5</v>
      </c>
      <c r="F405">
        <f t="shared" si="13"/>
        <v>0</v>
      </c>
    </row>
    <row r="406" spans="1:6">
      <c r="A406" s="30">
        <f t="shared" si="12"/>
        <v>43496</v>
      </c>
      <c r="C406" t="s">
        <v>203</v>
      </c>
      <c r="D406">
        <f>IF(B406=$AB$2,$AC$2,$AC$3)</f>
        <v>0</v>
      </c>
      <c r="E406">
        <f>IF(ISBLANK(C406),0,VLOOKUP(C406,$AE$2:$AF$7,2,0))</f>
        <v>0.5</v>
      </c>
      <c r="F406">
        <f t="shared" si="13"/>
        <v>0</v>
      </c>
    </row>
    <row r="407" spans="1:6">
      <c r="A407" s="30">
        <f t="shared" si="12"/>
        <v>43497</v>
      </c>
      <c r="C407" t="s">
        <v>203</v>
      </c>
      <c r="D407">
        <f>IF(B407=$AB$2,$AC$2,$AC$3)</f>
        <v>0</v>
      </c>
      <c r="E407">
        <f>IF(ISBLANK(C407),0,VLOOKUP(C407,$AE$2:$AF$7,2,0))</f>
        <v>0.5</v>
      </c>
      <c r="F407">
        <f t="shared" si="13"/>
        <v>0</v>
      </c>
    </row>
    <row r="408" spans="1:6">
      <c r="A408" s="30">
        <f t="shared" si="12"/>
        <v>43498</v>
      </c>
      <c r="C408" t="s">
        <v>203</v>
      </c>
      <c r="D408">
        <f>IF(B408=$AB$2,$AC$2,$AC$3)</f>
        <v>0</v>
      </c>
      <c r="E408">
        <f>IF(ISBLANK(C408),0,VLOOKUP(C408,$AE$2:$AF$7,2,0))</f>
        <v>0.5</v>
      </c>
      <c r="F408">
        <f t="shared" si="13"/>
        <v>0</v>
      </c>
    </row>
    <row r="409" spans="1:6">
      <c r="A409" s="30">
        <f t="shared" si="12"/>
        <v>43499</v>
      </c>
      <c r="C409" t="s">
        <v>203</v>
      </c>
      <c r="D409">
        <f>IF(B409=$AB$2,$AC$2,$AC$3)</f>
        <v>0</v>
      </c>
      <c r="E409">
        <f>IF(ISBLANK(C409),0,VLOOKUP(C409,$AE$2:$AF$7,2,0))</f>
        <v>0.5</v>
      </c>
      <c r="F409">
        <f t="shared" si="13"/>
        <v>0</v>
      </c>
    </row>
    <row r="410" spans="1:6">
      <c r="A410" s="30">
        <f t="shared" ref="A410:A458" si="14">A409+1</f>
        <v>43500</v>
      </c>
      <c r="C410" t="s">
        <v>203</v>
      </c>
      <c r="D410">
        <f>IF(B410=$AB$2,$AC$2,$AC$3)</f>
        <v>0</v>
      </c>
      <c r="E410">
        <f>IF(ISBLANK(C410),0,VLOOKUP(C410,$AE$2:$AF$7,2,0))</f>
        <v>0.5</v>
      </c>
      <c r="F410">
        <f t="shared" si="13"/>
        <v>0</v>
      </c>
    </row>
    <row r="411" spans="1:6">
      <c r="A411" s="30">
        <f t="shared" si="14"/>
        <v>43501</v>
      </c>
      <c r="C411" t="s">
        <v>203</v>
      </c>
      <c r="D411">
        <f>IF(B411=$AB$2,$AC$2,$AC$3)</f>
        <v>0</v>
      </c>
      <c r="E411">
        <f>IF(ISBLANK(C411),0,VLOOKUP(C411,$AE$2:$AF$7,2,0))</f>
        <v>0.5</v>
      </c>
      <c r="F411">
        <f t="shared" si="13"/>
        <v>0</v>
      </c>
    </row>
    <row r="412" spans="1:6">
      <c r="A412" s="30">
        <f t="shared" si="14"/>
        <v>43502</v>
      </c>
      <c r="C412" t="s">
        <v>203</v>
      </c>
      <c r="D412">
        <f>IF(B412=$AB$2,$AC$2,$AC$3)</f>
        <v>0</v>
      </c>
      <c r="E412">
        <f>IF(ISBLANK(C412),0,VLOOKUP(C412,$AE$2:$AF$7,2,0))</f>
        <v>0.5</v>
      </c>
      <c r="F412">
        <f t="shared" si="13"/>
        <v>0</v>
      </c>
    </row>
    <row r="413" spans="1:6">
      <c r="A413" s="30">
        <f t="shared" si="14"/>
        <v>43503</v>
      </c>
      <c r="C413" t="s">
        <v>203</v>
      </c>
      <c r="D413">
        <f>IF(B413=$AB$2,$AC$2,$AC$3)</f>
        <v>0</v>
      </c>
      <c r="E413">
        <f>IF(ISBLANK(C413),0,VLOOKUP(C413,$AE$2:$AF$7,2,0))</f>
        <v>0.5</v>
      </c>
      <c r="F413">
        <f t="shared" si="13"/>
        <v>0</v>
      </c>
    </row>
    <row r="414" spans="1:6">
      <c r="A414" s="30">
        <f t="shared" si="14"/>
        <v>43504</v>
      </c>
      <c r="C414" t="s">
        <v>203</v>
      </c>
      <c r="D414">
        <f>IF(B414=$AB$2,$AC$2,$AC$3)</f>
        <v>0</v>
      </c>
      <c r="E414">
        <f>IF(ISBLANK(C414),0,VLOOKUP(C414,$AE$2:$AF$7,2,0))</f>
        <v>0.5</v>
      </c>
      <c r="F414">
        <f t="shared" si="13"/>
        <v>0</v>
      </c>
    </row>
    <row r="415" spans="1:6">
      <c r="A415" s="30">
        <f t="shared" si="14"/>
        <v>43505</v>
      </c>
      <c r="C415" t="s">
        <v>203</v>
      </c>
      <c r="D415">
        <f>IF(B415=$AB$2,$AC$2,$AC$3)</f>
        <v>0</v>
      </c>
      <c r="E415">
        <f>IF(ISBLANK(C415),0,VLOOKUP(C415,$AE$2:$AF$7,2,0))</f>
        <v>0.5</v>
      </c>
      <c r="F415">
        <f t="shared" si="13"/>
        <v>0</v>
      </c>
    </row>
    <row r="416" spans="1:6">
      <c r="A416" s="30">
        <f t="shared" si="14"/>
        <v>43506</v>
      </c>
      <c r="C416" t="s">
        <v>203</v>
      </c>
      <c r="D416">
        <f>IF(B416=$AB$2,$AC$2,$AC$3)</f>
        <v>0</v>
      </c>
      <c r="E416">
        <f>IF(ISBLANK(C416),0,VLOOKUP(C416,$AE$2:$AF$7,2,0))</f>
        <v>0.5</v>
      </c>
      <c r="F416">
        <f t="shared" si="13"/>
        <v>0</v>
      </c>
    </row>
    <row r="417" spans="1:6">
      <c r="A417" s="30">
        <f t="shared" si="14"/>
        <v>43507</v>
      </c>
      <c r="C417" t="s">
        <v>203</v>
      </c>
      <c r="D417">
        <f>IF(B417=$AB$2,$AC$2,$AC$3)</f>
        <v>0</v>
      </c>
      <c r="E417">
        <f>IF(ISBLANK(C417),0,VLOOKUP(C417,$AE$2:$AF$7,2,0))</f>
        <v>0.5</v>
      </c>
      <c r="F417">
        <f t="shared" si="13"/>
        <v>0</v>
      </c>
    </row>
    <row r="418" spans="1:6">
      <c r="A418" s="30">
        <f t="shared" si="14"/>
        <v>43508</v>
      </c>
      <c r="C418" t="s">
        <v>203</v>
      </c>
      <c r="D418">
        <f>IF(B418=$AB$2,$AC$2,$AC$3)</f>
        <v>0</v>
      </c>
      <c r="E418">
        <f>IF(ISBLANK(C418),0,VLOOKUP(C418,$AE$2:$AF$7,2,0))</f>
        <v>0.5</v>
      </c>
      <c r="F418">
        <f t="shared" si="13"/>
        <v>0</v>
      </c>
    </row>
    <row r="419" spans="1:6">
      <c r="A419" s="30">
        <f t="shared" si="14"/>
        <v>43509</v>
      </c>
      <c r="C419" t="s">
        <v>203</v>
      </c>
      <c r="D419">
        <f>IF(B419=$AB$2,$AC$2,$AC$3)</f>
        <v>0</v>
      </c>
      <c r="E419">
        <f>IF(ISBLANK(C419),0,VLOOKUP(C419,$AE$2:$AF$7,2,0))</f>
        <v>0.5</v>
      </c>
      <c r="F419">
        <f t="shared" si="13"/>
        <v>0</v>
      </c>
    </row>
    <row r="420" spans="1:6">
      <c r="A420" s="30">
        <f t="shared" si="14"/>
        <v>43510</v>
      </c>
      <c r="C420" t="s">
        <v>203</v>
      </c>
      <c r="D420">
        <f>IF(B420=$AB$2,$AC$2,$AC$3)</f>
        <v>0</v>
      </c>
      <c r="E420">
        <f>IF(ISBLANK(C420),0,VLOOKUP(C420,$AE$2:$AF$7,2,0))</f>
        <v>0.5</v>
      </c>
      <c r="F420">
        <f t="shared" si="13"/>
        <v>0</v>
      </c>
    </row>
    <row r="421" spans="1:6">
      <c r="A421" s="30">
        <f t="shared" si="14"/>
        <v>43511</v>
      </c>
      <c r="C421" t="s">
        <v>203</v>
      </c>
      <c r="D421">
        <f>IF(B421=$AB$2,$AC$2,$AC$3)</f>
        <v>0</v>
      </c>
      <c r="E421">
        <f>IF(ISBLANK(C421),0,VLOOKUP(C421,$AE$2:$AF$7,2,0))</f>
        <v>0.5</v>
      </c>
      <c r="F421">
        <f t="shared" si="13"/>
        <v>0</v>
      </c>
    </row>
    <row r="422" spans="1:6">
      <c r="A422" s="30">
        <f t="shared" si="14"/>
        <v>43512</v>
      </c>
      <c r="C422" t="s">
        <v>203</v>
      </c>
      <c r="D422">
        <f>IF(B422=$AB$2,$AC$2,$AC$3)</f>
        <v>0</v>
      </c>
      <c r="E422">
        <f>IF(ISBLANK(C422),0,VLOOKUP(C422,$AE$2:$AF$7,2,0))</f>
        <v>0.5</v>
      </c>
      <c r="F422">
        <f t="shared" si="13"/>
        <v>0</v>
      </c>
    </row>
    <row r="423" spans="1:6">
      <c r="A423" s="30">
        <f t="shared" si="14"/>
        <v>43513</v>
      </c>
      <c r="C423" t="s">
        <v>203</v>
      </c>
      <c r="D423">
        <f>IF(B423=$AB$2,$AC$2,$AC$3)</f>
        <v>0</v>
      </c>
      <c r="E423">
        <f>IF(ISBLANK(C423),0,VLOOKUP(C423,$AE$2:$AF$7,2,0))</f>
        <v>0.5</v>
      </c>
      <c r="F423">
        <f t="shared" si="13"/>
        <v>0</v>
      </c>
    </row>
    <row r="424" spans="1:6">
      <c r="A424" s="30">
        <f t="shared" si="14"/>
        <v>43514</v>
      </c>
      <c r="C424" t="s">
        <v>203</v>
      </c>
      <c r="D424">
        <f>IF(B424=$AB$2,$AC$2,$AC$3)</f>
        <v>0</v>
      </c>
      <c r="E424">
        <f>IF(ISBLANK(C424),0,VLOOKUP(C424,$AE$2:$AF$7,2,0))</f>
        <v>0.5</v>
      </c>
      <c r="F424">
        <f t="shared" si="13"/>
        <v>0</v>
      </c>
    </row>
    <row r="425" spans="1:6">
      <c r="A425" s="30">
        <f t="shared" si="14"/>
        <v>43515</v>
      </c>
      <c r="C425" t="s">
        <v>203</v>
      </c>
      <c r="D425">
        <f>IF(B425=$AB$2,$AC$2,$AC$3)</f>
        <v>0</v>
      </c>
      <c r="E425">
        <f>IF(ISBLANK(C425),0,VLOOKUP(C425,$AE$2:$AF$7,2,0))</f>
        <v>0.5</v>
      </c>
      <c r="F425">
        <f t="shared" si="13"/>
        <v>0</v>
      </c>
    </row>
    <row r="426" spans="1:6">
      <c r="A426" s="30">
        <f t="shared" si="14"/>
        <v>43516</v>
      </c>
      <c r="C426" t="s">
        <v>203</v>
      </c>
      <c r="D426">
        <f>IF(B426=$AB$2,$AC$2,$AC$3)</f>
        <v>0</v>
      </c>
      <c r="E426">
        <f>IF(ISBLANK(C426),0,VLOOKUP(C426,$AE$2:$AF$7,2,0))</f>
        <v>0.5</v>
      </c>
      <c r="F426">
        <f t="shared" si="13"/>
        <v>0</v>
      </c>
    </row>
    <row r="427" spans="1:6">
      <c r="A427" s="30">
        <f t="shared" si="14"/>
        <v>43517</v>
      </c>
      <c r="C427" t="s">
        <v>203</v>
      </c>
      <c r="D427">
        <f>IF(B427=$AB$2,$AC$2,$AC$3)</f>
        <v>0</v>
      </c>
      <c r="E427">
        <f>IF(ISBLANK(C427),0,VLOOKUP(C427,$AE$2:$AF$7,2,0))</f>
        <v>0.5</v>
      </c>
      <c r="F427">
        <f t="shared" si="13"/>
        <v>0</v>
      </c>
    </row>
    <row r="428" spans="1:6">
      <c r="A428" s="30">
        <f t="shared" si="14"/>
        <v>43518</v>
      </c>
      <c r="C428" t="s">
        <v>203</v>
      </c>
      <c r="D428">
        <f>IF(B428=$AB$2,$AC$2,$AC$3)</f>
        <v>0</v>
      </c>
      <c r="E428">
        <f>IF(ISBLANK(C428),0,VLOOKUP(C428,$AE$2:$AF$7,2,0))</f>
        <v>0.5</v>
      </c>
      <c r="F428">
        <f t="shared" si="13"/>
        <v>0</v>
      </c>
    </row>
    <row r="429" spans="1:6">
      <c r="A429" s="30">
        <f t="shared" si="14"/>
        <v>43519</v>
      </c>
      <c r="C429" t="s">
        <v>203</v>
      </c>
      <c r="D429">
        <f>IF(B429=$AB$2,$AC$2,$AC$3)</f>
        <v>0</v>
      </c>
      <c r="E429">
        <f>IF(ISBLANK(C429),0,VLOOKUP(C429,$AE$2:$AF$7,2,0))</f>
        <v>0.5</v>
      </c>
      <c r="F429">
        <f t="shared" si="13"/>
        <v>0</v>
      </c>
    </row>
    <row r="430" spans="1:6">
      <c r="A430" s="30">
        <f t="shared" si="14"/>
        <v>43520</v>
      </c>
      <c r="C430" t="s">
        <v>203</v>
      </c>
      <c r="D430">
        <f>IF(B430=$AB$2,$AC$2,$AC$3)</f>
        <v>0</v>
      </c>
      <c r="E430">
        <f>IF(ISBLANK(C430),0,VLOOKUP(C430,$AE$2:$AF$7,2,0))</f>
        <v>0.5</v>
      </c>
      <c r="F430">
        <f t="shared" si="13"/>
        <v>0</v>
      </c>
    </row>
    <row r="431" spans="1:6">
      <c r="A431" s="30">
        <f t="shared" si="14"/>
        <v>43521</v>
      </c>
      <c r="C431" t="s">
        <v>203</v>
      </c>
      <c r="D431">
        <f>IF(B431=$AB$2,$AC$2,$AC$3)</f>
        <v>0</v>
      </c>
      <c r="E431">
        <f>IF(ISBLANK(C431),0,VLOOKUP(C431,$AE$2:$AF$7,2,0))</f>
        <v>0.5</v>
      </c>
      <c r="F431">
        <f t="shared" si="13"/>
        <v>0</v>
      </c>
    </row>
    <row r="432" spans="1:6">
      <c r="A432" s="30">
        <f t="shared" si="14"/>
        <v>43522</v>
      </c>
      <c r="C432" t="s">
        <v>203</v>
      </c>
      <c r="D432">
        <f>IF(B432=$AB$2,$AC$2,$AC$3)</f>
        <v>0</v>
      </c>
      <c r="E432">
        <f>IF(ISBLANK(C432),0,VLOOKUP(C432,$AE$2:$AF$7,2,0))</f>
        <v>0.5</v>
      </c>
      <c r="F432">
        <f t="shared" si="13"/>
        <v>0</v>
      </c>
    </row>
    <row r="433" spans="1:6">
      <c r="A433" s="30">
        <f t="shared" si="14"/>
        <v>43523</v>
      </c>
      <c r="C433" t="s">
        <v>203</v>
      </c>
      <c r="D433">
        <f>IF(B433=$AB$2,$AC$2,$AC$3)</f>
        <v>0</v>
      </c>
      <c r="E433">
        <f>IF(ISBLANK(C433),0,VLOOKUP(C433,$AE$2:$AF$7,2,0))</f>
        <v>0.5</v>
      </c>
      <c r="F433">
        <f t="shared" si="13"/>
        <v>0</v>
      </c>
    </row>
    <row r="434" spans="1:6">
      <c r="A434" s="30">
        <f t="shared" si="14"/>
        <v>43524</v>
      </c>
      <c r="C434" t="s">
        <v>203</v>
      </c>
      <c r="D434">
        <f>IF(B434=$AB$2,$AC$2,$AC$3)</f>
        <v>0</v>
      </c>
      <c r="E434">
        <f>IF(ISBLANK(C434),0,VLOOKUP(C434,$AE$2:$AF$7,2,0))</f>
        <v>0.5</v>
      </c>
      <c r="F434">
        <f t="shared" si="13"/>
        <v>0</v>
      </c>
    </row>
    <row r="435" spans="1:6">
      <c r="A435" s="30">
        <f t="shared" si="14"/>
        <v>43525</v>
      </c>
      <c r="C435" t="s">
        <v>203</v>
      </c>
      <c r="D435">
        <f>IF(B435=$AB$2,$AC$2,$AC$3)</f>
        <v>0</v>
      </c>
      <c r="E435">
        <f>IF(ISBLANK(C435),0,VLOOKUP(C435,$AE$2:$AF$7,2,0))</f>
        <v>0.5</v>
      </c>
      <c r="F435">
        <f t="shared" si="13"/>
        <v>0</v>
      </c>
    </row>
    <row r="436" spans="1:6">
      <c r="A436" s="30">
        <f t="shared" si="14"/>
        <v>43526</v>
      </c>
      <c r="C436" t="s">
        <v>203</v>
      </c>
      <c r="D436">
        <f>IF(B436=$AB$2,$AC$2,$AC$3)</f>
        <v>0</v>
      </c>
      <c r="E436">
        <f>IF(ISBLANK(C436),0,VLOOKUP(C436,$AE$2:$AF$7,2,0))</f>
        <v>0.5</v>
      </c>
      <c r="F436">
        <f t="shared" si="13"/>
        <v>0</v>
      </c>
    </row>
    <row r="437" spans="1:6">
      <c r="A437" s="30">
        <f t="shared" si="14"/>
        <v>43527</v>
      </c>
      <c r="C437" t="s">
        <v>203</v>
      </c>
      <c r="D437">
        <f>IF(B437=$AB$2,$AC$2,$AC$3)</f>
        <v>0</v>
      </c>
      <c r="E437">
        <f>IF(ISBLANK(C437),0,VLOOKUP(C437,$AE$2:$AF$7,2,0))</f>
        <v>0.5</v>
      </c>
      <c r="F437">
        <f t="shared" si="13"/>
        <v>0</v>
      </c>
    </row>
    <row r="438" spans="1:6">
      <c r="A438" s="30">
        <f t="shared" si="14"/>
        <v>43528</v>
      </c>
      <c r="C438" t="s">
        <v>203</v>
      </c>
      <c r="D438">
        <f>IF(B438=$AB$2,$AC$2,$AC$3)</f>
        <v>0</v>
      </c>
      <c r="E438">
        <f>IF(ISBLANK(C438),0,VLOOKUP(C438,$AE$2:$AF$7,2,0))</f>
        <v>0.5</v>
      </c>
      <c r="F438">
        <f t="shared" si="13"/>
        <v>0</v>
      </c>
    </row>
    <row r="439" spans="1:6">
      <c r="A439" s="30">
        <f t="shared" si="14"/>
        <v>43529</v>
      </c>
      <c r="C439" t="s">
        <v>203</v>
      </c>
      <c r="D439">
        <f>IF(B439=$AB$2,$AC$2,$AC$3)</f>
        <v>0</v>
      </c>
      <c r="E439">
        <f>IF(ISBLANK(C439),0,VLOOKUP(C439,$AE$2:$AF$7,2,0))</f>
        <v>0.5</v>
      </c>
      <c r="F439">
        <f t="shared" si="13"/>
        <v>0</v>
      </c>
    </row>
    <row r="440" spans="1:6">
      <c r="A440" s="30">
        <f t="shared" si="14"/>
        <v>43530</v>
      </c>
      <c r="C440" t="s">
        <v>203</v>
      </c>
      <c r="D440">
        <f>IF(B440=$AB$2,$AC$2,$AC$3)</f>
        <v>0</v>
      </c>
      <c r="E440">
        <f>IF(ISBLANK(C440),0,VLOOKUP(C440,$AE$2:$AF$7,2,0))</f>
        <v>0.5</v>
      </c>
      <c r="F440">
        <f t="shared" si="13"/>
        <v>0</v>
      </c>
    </row>
    <row r="441" spans="1:6">
      <c r="A441" s="30">
        <f t="shared" si="14"/>
        <v>43531</v>
      </c>
      <c r="C441" t="s">
        <v>203</v>
      </c>
      <c r="D441">
        <f>IF(B441=$AB$2,$AC$2,$AC$3)</f>
        <v>0</v>
      </c>
      <c r="E441">
        <f>IF(ISBLANK(C441),0,VLOOKUP(C441,$AE$2:$AF$7,2,0))</f>
        <v>0.5</v>
      </c>
      <c r="F441">
        <f t="shared" si="13"/>
        <v>0</v>
      </c>
    </row>
    <row r="442" spans="1:6">
      <c r="A442" s="30">
        <f t="shared" si="14"/>
        <v>43532</v>
      </c>
      <c r="C442" t="s">
        <v>203</v>
      </c>
      <c r="D442">
        <f>IF(B442=$AB$2,$AC$2,$AC$3)</f>
        <v>0</v>
      </c>
      <c r="E442">
        <f>IF(ISBLANK(C442),0,VLOOKUP(C442,$AE$2:$AF$7,2,0))</f>
        <v>0.5</v>
      </c>
      <c r="F442">
        <f t="shared" si="13"/>
        <v>0</v>
      </c>
    </row>
    <row r="443" spans="1:6">
      <c r="A443" s="30">
        <f t="shared" si="14"/>
        <v>43533</v>
      </c>
      <c r="C443" t="s">
        <v>203</v>
      </c>
      <c r="D443">
        <f>IF(B443=$AB$2,$AC$2,$AC$3)</f>
        <v>0</v>
      </c>
      <c r="E443">
        <f>IF(ISBLANK(C443),0,VLOOKUP(C443,$AE$2:$AF$7,2,0))</f>
        <v>0.5</v>
      </c>
      <c r="F443">
        <f t="shared" si="13"/>
        <v>0</v>
      </c>
    </row>
    <row r="444" spans="1:6">
      <c r="A444" s="30">
        <f t="shared" si="14"/>
        <v>43534</v>
      </c>
      <c r="C444" t="s">
        <v>203</v>
      </c>
      <c r="D444">
        <f>IF(B444=$AB$2,$AC$2,$AC$3)</f>
        <v>0</v>
      </c>
      <c r="E444">
        <f>IF(ISBLANK(C444),0,VLOOKUP(C444,$AE$2:$AF$7,2,0))</f>
        <v>0.5</v>
      </c>
      <c r="F444">
        <f t="shared" si="13"/>
        <v>0</v>
      </c>
    </row>
    <row r="445" spans="1:6">
      <c r="A445" s="30">
        <f t="shared" si="14"/>
        <v>43535</v>
      </c>
      <c r="C445" t="s">
        <v>203</v>
      </c>
      <c r="D445">
        <f>IF(B445=$AB$2,$AC$2,$AC$3)</f>
        <v>0</v>
      </c>
      <c r="E445">
        <f>IF(ISBLANK(C445),0,VLOOKUP(C445,$AE$2:$AF$7,2,0))</f>
        <v>0.5</v>
      </c>
      <c r="F445">
        <f t="shared" si="13"/>
        <v>0</v>
      </c>
    </row>
    <row r="446" spans="1:6">
      <c r="A446" s="30">
        <f t="shared" si="14"/>
        <v>43536</v>
      </c>
      <c r="C446" t="s">
        <v>203</v>
      </c>
      <c r="D446">
        <f>IF(B446=$AB$2,$AC$2,$AC$3)</f>
        <v>0</v>
      </c>
      <c r="E446">
        <f>IF(ISBLANK(C446),0,VLOOKUP(C446,$AE$2:$AF$7,2,0))</f>
        <v>0.5</v>
      </c>
      <c r="F446">
        <f t="shared" si="13"/>
        <v>0</v>
      </c>
    </row>
    <row r="447" spans="1:6">
      <c r="A447" s="30">
        <f t="shared" si="14"/>
        <v>43537</v>
      </c>
      <c r="C447" t="s">
        <v>203</v>
      </c>
      <c r="D447">
        <f>IF(B447=$AB$2,$AC$2,$AC$3)</f>
        <v>0</v>
      </c>
      <c r="E447">
        <f>IF(ISBLANK(C447),0,VLOOKUP(C447,$AE$2:$AF$7,2,0))</f>
        <v>0.5</v>
      </c>
      <c r="F447">
        <f t="shared" si="13"/>
        <v>0</v>
      </c>
    </row>
    <row r="448" spans="1:6">
      <c r="A448" s="30">
        <f t="shared" si="14"/>
        <v>43538</v>
      </c>
      <c r="C448" t="s">
        <v>203</v>
      </c>
      <c r="D448">
        <f>IF(B448=$AB$2,$AC$2,$AC$3)</f>
        <v>0</v>
      </c>
      <c r="E448">
        <f>IF(ISBLANK(C448),0,VLOOKUP(C448,$AE$2:$AF$7,2,0))</f>
        <v>0.5</v>
      </c>
      <c r="F448">
        <f t="shared" si="13"/>
        <v>0</v>
      </c>
    </row>
    <row r="449" spans="1:6">
      <c r="A449" s="30">
        <f t="shared" si="14"/>
        <v>43539</v>
      </c>
      <c r="C449" t="s">
        <v>203</v>
      </c>
      <c r="D449">
        <f>IF(B449=$AB$2,$AC$2,$AC$3)</f>
        <v>0</v>
      </c>
      <c r="E449">
        <f>IF(ISBLANK(C449),0,VLOOKUP(C449,$AE$2:$AF$7,2,0))</f>
        <v>0.5</v>
      </c>
      <c r="F449">
        <f t="shared" si="13"/>
        <v>0</v>
      </c>
    </row>
    <row r="450" spans="1:6">
      <c r="A450" s="30">
        <f t="shared" si="14"/>
        <v>43540</v>
      </c>
      <c r="C450" t="s">
        <v>203</v>
      </c>
      <c r="D450">
        <f>IF(B450=$AB$2,$AC$2,$AC$3)</f>
        <v>0</v>
      </c>
      <c r="E450">
        <f>IF(ISBLANK(C450),0,VLOOKUP(C450,$AE$2:$AF$7,2,0))</f>
        <v>0.5</v>
      </c>
      <c r="F450">
        <f t="shared" si="13"/>
        <v>0</v>
      </c>
    </row>
    <row r="451" spans="1:6">
      <c r="A451" s="30">
        <f t="shared" si="14"/>
        <v>43541</v>
      </c>
      <c r="C451" t="s">
        <v>203</v>
      </c>
      <c r="D451">
        <f>IF(B451=$AB$2,$AC$2,$AC$3)</f>
        <v>0</v>
      </c>
      <c r="E451">
        <f>IF(ISBLANK(C451),0,VLOOKUP(C451,$AE$2:$AF$7,2,0))</f>
        <v>0.5</v>
      </c>
      <c r="F451">
        <f t="shared" ref="F451:F514" si="15">D451*E451</f>
        <v>0</v>
      </c>
    </row>
    <row r="452" spans="1:6">
      <c r="A452" s="30">
        <f t="shared" si="14"/>
        <v>43542</v>
      </c>
      <c r="C452" t="s">
        <v>203</v>
      </c>
      <c r="D452">
        <f>IF(B452=$AB$2,$AC$2,$AC$3)</f>
        <v>0</v>
      </c>
      <c r="E452">
        <f>IF(ISBLANK(C452),0,VLOOKUP(C452,$AE$2:$AF$7,2,0))</f>
        <v>0.5</v>
      </c>
      <c r="F452">
        <f t="shared" si="15"/>
        <v>0</v>
      </c>
    </row>
    <row r="453" spans="1:6">
      <c r="A453" s="30">
        <f t="shared" si="14"/>
        <v>43543</v>
      </c>
      <c r="C453" t="s">
        <v>203</v>
      </c>
      <c r="D453">
        <f>IF(B453=$AB$2,$AC$2,$AC$3)</f>
        <v>0</v>
      </c>
      <c r="E453">
        <f>IF(ISBLANK(C453),0,VLOOKUP(C453,$AE$2:$AF$7,2,0))</f>
        <v>0.5</v>
      </c>
      <c r="F453">
        <f t="shared" si="15"/>
        <v>0</v>
      </c>
    </row>
    <row r="454" spans="1:6">
      <c r="A454" s="30">
        <f t="shared" si="14"/>
        <v>43544</v>
      </c>
      <c r="C454" t="s">
        <v>203</v>
      </c>
      <c r="D454">
        <f>IF(B454=$AB$2,$AC$2,$AC$3)</f>
        <v>0</v>
      </c>
      <c r="E454">
        <f>IF(ISBLANK(C454),0,VLOOKUP(C454,$AE$2:$AF$7,2,0))</f>
        <v>0.5</v>
      </c>
      <c r="F454">
        <f t="shared" si="15"/>
        <v>0</v>
      </c>
    </row>
    <row r="455" spans="1:6">
      <c r="A455" s="30">
        <f t="shared" si="14"/>
        <v>43545</v>
      </c>
      <c r="C455" t="s">
        <v>203</v>
      </c>
      <c r="D455">
        <f>IF(B455=$AB$2,$AC$2,$AC$3)</f>
        <v>0</v>
      </c>
      <c r="E455">
        <f>IF(ISBLANK(C455),0,VLOOKUP(C455,$AE$2:$AF$7,2,0))</f>
        <v>0.5</v>
      </c>
      <c r="F455">
        <f t="shared" si="15"/>
        <v>0</v>
      </c>
    </row>
    <row r="456" spans="1:6">
      <c r="A456" s="30">
        <f t="shared" si="14"/>
        <v>43546</v>
      </c>
      <c r="C456" t="s">
        <v>203</v>
      </c>
      <c r="D456">
        <f>IF(B456=$AB$2,$AC$2,$AC$3)</f>
        <v>0</v>
      </c>
      <c r="E456">
        <f>IF(ISBLANK(C456),0,VLOOKUP(C456,$AE$2:$AF$7,2,0))</f>
        <v>0.5</v>
      </c>
      <c r="F456">
        <f t="shared" si="15"/>
        <v>0</v>
      </c>
    </row>
    <row r="457" spans="1:6">
      <c r="A457" s="30">
        <f t="shared" si="14"/>
        <v>43547</v>
      </c>
      <c r="C457" t="s">
        <v>203</v>
      </c>
      <c r="D457">
        <f>IF(B457=$AB$2,$AC$2,$AC$3)</f>
        <v>0</v>
      </c>
      <c r="E457">
        <f>IF(ISBLANK(C457),0,VLOOKUP(C457,$AE$2:$AF$7,2,0))</f>
        <v>0.5</v>
      </c>
      <c r="F457">
        <f t="shared" si="15"/>
        <v>0</v>
      </c>
    </row>
    <row r="458" spans="1:6">
      <c r="A458" s="30">
        <f t="shared" si="14"/>
        <v>43548</v>
      </c>
      <c r="C458" t="s">
        <v>203</v>
      </c>
      <c r="D458">
        <f>IF(B458=$AB$2,$AC$2,$AC$3)</f>
        <v>0</v>
      </c>
      <c r="E458">
        <f>IF(ISBLANK(C458),0,VLOOKUP(C458,$AE$2:$AF$7,2,0))</f>
        <v>0.5</v>
      </c>
      <c r="F458">
        <f t="shared" si="15"/>
        <v>0</v>
      </c>
    </row>
    <row r="459" spans="1:6">
      <c r="A459" s="30">
        <f>A458+1</f>
        <v>43549</v>
      </c>
      <c r="C459" t="s">
        <v>203</v>
      </c>
      <c r="D459">
        <f>IF(B459=$AB$2,$AC$2,$AC$3)</f>
        <v>0</v>
      </c>
      <c r="E459">
        <f>IF(ISBLANK(C459),0,VLOOKUP(C459,$AE$2:$AF$7,2,0))</f>
        <v>0.5</v>
      </c>
      <c r="F459">
        <f t="shared" si="15"/>
        <v>0</v>
      </c>
    </row>
    <row r="460" spans="1:6">
      <c r="A460" s="30">
        <f t="shared" ref="A460:A523" si="16">A459+1</f>
        <v>43550</v>
      </c>
      <c r="C460" t="s">
        <v>203</v>
      </c>
      <c r="D460">
        <f>IF(B460=$AB$2,$AC$2,$AC$3)</f>
        <v>0</v>
      </c>
      <c r="E460">
        <f>IF(ISBLANK(C460),0,VLOOKUP(C460,$AE$2:$AF$7,2,0))</f>
        <v>0.5</v>
      </c>
      <c r="F460">
        <f t="shared" si="15"/>
        <v>0</v>
      </c>
    </row>
    <row r="461" spans="1:6">
      <c r="A461" s="30">
        <f t="shared" si="16"/>
        <v>43551</v>
      </c>
      <c r="C461" t="s">
        <v>203</v>
      </c>
      <c r="D461">
        <f>IF(B461=$AB$2,$AC$2,$AC$3)</f>
        <v>0</v>
      </c>
      <c r="E461">
        <f>IF(ISBLANK(C461),0,VLOOKUP(C461,$AE$2:$AF$7,2,0))</f>
        <v>0.5</v>
      </c>
      <c r="F461">
        <f t="shared" si="15"/>
        <v>0</v>
      </c>
    </row>
    <row r="462" spans="1:6">
      <c r="A462" s="30">
        <f t="shared" si="16"/>
        <v>43552</v>
      </c>
      <c r="C462" t="s">
        <v>203</v>
      </c>
      <c r="D462">
        <f>IF(B462=$AB$2,$AC$2,$AC$3)</f>
        <v>0</v>
      </c>
      <c r="E462">
        <f>IF(ISBLANK(C462),0,VLOOKUP(C462,$AE$2:$AF$7,2,0))</f>
        <v>0.5</v>
      </c>
      <c r="F462">
        <f t="shared" si="15"/>
        <v>0</v>
      </c>
    </row>
    <row r="463" spans="1:6">
      <c r="A463" s="30">
        <f t="shared" si="16"/>
        <v>43553</v>
      </c>
      <c r="C463" t="s">
        <v>203</v>
      </c>
      <c r="D463">
        <f>IF(B463=$AB$2,$AC$2,$AC$3)</f>
        <v>0</v>
      </c>
      <c r="E463">
        <f>IF(ISBLANK(C463),0,VLOOKUP(C463,$AE$2:$AF$7,2,0))</f>
        <v>0.5</v>
      </c>
      <c r="F463">
        <f t="shared" si="15"/>
        <v>0</v>
      </c>
    </row>
    <row r="464" spans="1:6">
      <c r="A464" s="30">
        <f t="shared" si="16"/>
        <v>43554</v>
      </c>
      <c r="C464" t="s">
        <v>203</v>
      </c>
      <c r="D464">
        <f>IF(B464=$AB$2,$AC$2,$AC$3)</f>
        <v>0</v>
      </c>
      <c r="E464">
        <f>IF(ISBLANK(C464),0,VLOOKUP(C464,$AE$2:$AF$7,2,0))</f>
        <v>0.5</v>
      </c>
      <c r="F464">
        <f t="shared" si="15"/>
        <v>0</v>
      </c>
    </row>
    <row r="465" spans="1:6">
      <c r="A465" s="30">
        <f t="shared" si="16"/>
        <v>43555</v>
      </c>
      <c r="C465" t="s">
        <v>203</v>
      </c>
      <c r="D465">
        <f>IF(B465=$AB$2,$AC$2,$AC$3)</f>
        <v>0</v>
      </c>
      <c r="E465">
        <f>IF(ISBLANK(C465),0,VLOOKUP(C465,$AE$2:$AF$7,2,0))</f>
        <v>0.5</v>
      </c>
      <c r="F465">
        <f t="shared" si="15"/>
        <v>0</v>
      </c>
    </row>
    <row r="466" spans="1:6">
      <c r="A466" s="30">
        <f t="shared" si="16"/>
        <v>43556</v>
      </c>
      <c r="C466" t="s">
        <v>203</v>
      </c>
      <c r="D466">
        <f>IF(B466=$AB$2,$AC$2,$AC$3)</f>
        <v>0</v>
      </c>
      <c r="E466">
        <f>IF(ISBLANK(C466),0,VLOOKUP(C466,$AE$2:$AF$7,2,0))</f>
        <v>0.5</v>
      </c>
      <c r="F466">
        <f t="shared" si="15"/>
        <v>0</v>
      </c>
    </row>
    <row r="467" spans="1:6">
      <c r="A467" s="30">
        <f t="shared" si="16"/>
        <v>43557</v>
      </c>
      <c r="C467" t="s">
        <v>203</v>
      </c>
      <c r="D467">
        <f>IF(B467=$AB$2,$AC$2,$AC$3)</f>
        <v>0</v>
      </c>
      <c r="E467">
        <f>IF(ISBLANK(C467),0,VLOOKUP(C467,$AE$2:$AF$7,2,0))</f>
        <v>0.5</v>
      </c>
      <c r="F467">
        <f t="shared" si="15"/>
        <v>0</v>
      </c>
    </row>
    <row r="468" spans="1:6">
      <c r="A468" s="30">
        <f t="shared" si="16"/>
        <v>43558</v>
      </c>
      <c r="C468" t="s">
        <v>203</v>
      </c>
      <c r="D468">
        <f>IF(B468=$AB$2,$AC$2,$AC$3)</f>
        <v>0</v>
      </c>
      <c r="E468">
        <f>IF(ISBLANK(C468),0,VLOOKUP(C468,$AE$2:$AF$7,2,0))</f>
        <v>0.5</v>
      </c>
      <c r="F468">
        <f t="shared" si="15"/>
        <v>0</v>
      </c>
    </row>
    <row r="469" spans="1:6">
      <c r="A469" s="30">
        <f t="shared" si="16"/>
        <v>43559</v>
      </c>
      <c r="C469" t="s">
        <v>203</v>
      </c>
      <c r="D469">
        <f>IF(B469=$AB$2,$AC$2,$AC$3)</f>
        <v>0</v>
      </c>
      <c r="E469">
        <f>IF(ISBLANK(C469),0,VLOOKUP(C469,$AE$2:$AF$7,2,0))</f>
        <v>0.5</v>
      </c>
      <c r="F469">
        <f t="shared" si="15"/>
        <v>0</v>
      </c>
    </row>
    <row r="470" spans="1:6">
      <c r="A470" s="30">
        <f t="shared" si="16"/>
        <v>43560</v>
      </c>
      <c r="C470" t="s">
        <v>203</v>
      </c>
      <c r="D470">
        <f>IF(B470=$AB$2,$AC$2,$AC$3)</f>
        <v>0</v>
      </c>
      <c r="E470">
        <f>IF(ISBLANK(C470),0,VLOOKUP(C470,$AE$2:$AF$7,2,0))</f>
        <v>0.5</v>
      </c>
      <c r="F470">
        <f t="shared" si="15"/>
        <v>0</v>
      </c>
    </row>
    <row r="471" spans="1:6">
      <c r="A471" s="30">
        <f t="shared" si="16"/>
        <v>43561</v>
      </c>
      <c r="C471" t="s">
        <v>203</v>
      </c>
      <c r="D471">
        <f>IF(B471=$AB$2,$AC$2,$AC$3)</f>
        <v>0</v>
      </c>
      <c r="E471">
        <f>IF(ISBLANK(C471),0,VLOOKUP(C471,$AE$2:$AF$7,2,0))</f>
        <v>0.5</v>
      </c>
      <c r="F471">
        <f t="shared" si="15"/>
        <v>0</v>
      </c>
    </row>
    <row r="472" spans="1:6">
      <c r="A472" s="30">
        <f t="shared" si="16"/>
        <v>43562</v>
      </c>
      <c r="C472" t="s">
        <v>203</v>
      </c>
      <c r="D472">
        <f>IF(B472=$AB$2,$AC$2,$AC$3)</f>
        <v>0</v>
      </c>
      <c r="E472">
        <f>IF(ISBLANK(C472),0,VLOOKUP(C472,$AE$2:$AF$7,2,0))</f>
        <v>0.5</v>
      </c>
      <c r="F472">
        <f t="shared" si="15"/>
        <v>0</v>
      </c>
    </row>
    <row r="473" spans="1:6">
      <c r="A473" s="30">
        <f t="shared" si="16"/>
        <v>43563</v>
      </c>
      <c r="C473" t="s">
        <v>203</v>
      </c>
      <c r="D473">
        <f>IF(B473=$AB$2,$AC$2,$AC$3)</f>
        <v>0</v>
      </c>
      <c r="E473">
        <f>IF(ISBLANK(C473),0,VLOOKUP(C473,$AE$2:$AF$7,2,0))</f>
        <v>0.5</v>
      </c>
      <c r="F473">
        <f t="shared" si="15"/>
        <v>0</v>
      </c>
    </row>
    <row r="474" spans="1:6">
      <c r="A474" s="30">
        <f t="shared" si="16"/>
        <v>43564</v>
      </c>
      <c r="C474" t="s">
        <v>203</v>
      </c>
      <c r="D474">
        <f>IF(B474=$AB$2,$AC$2,$AC$3)</f>
        <v>0</v>
      </c>
      <c r="E474">
        <f>IF(ISBLANK(C474),0,VLOOKUP(C474,$AE$2:$AF$7,2,0))</f>
        <v>0.5</v>
      </c>
      <c r="F474">
        <f t="shared" si="15"/>
        <v>0</v>
      </c>
    </row>
    <row r="475" spans="1:6">
      <c r="A475" s="30">
        <f t="shared" si="16"/>
        <v>43565</v>
      </c>
      <c r="C475" t="s">
        <v>203</v>
      </c>
      <c r="D475">
        <f>IF(B475=$AB$2,$AC$2,$AC$3)</f>
        <v>0</v>
      </c>
      <c r="E475">
        <f>IF(ISBLANK(C475),0,VLOOKUP(C475,$AE$2:$AF$7,2,0))</f>
        <v>0.5</v>
      </c>
      <c r="F475">
        <f t="shared" si="15"/>
        <v>0</v>
      </c>
    </row>
    <row r="476" spans="1:6">
      <c r="A476" s="30">
        <f t="shared" si="16"/>
        <v>43566</v>
      </c>
      <c r="C476" t="s">
        <v>203</v>
      </c>
      <c r="D476">
        <f>IF(B476=$AB$2,$AC$2,$AC$3)</f>
        <v>0</v>
      </c>
      <c r="E476">
        <f>IF(ISBLANK(C476),0,VLOOKUP(C476,$AE$2:$AF$7,2,0))</f>
        <v>0.5</v>
      </c>
      <c r="F476">
        <f t="shared" si="15"/>
        <v>0</v>
      </c>
    </row>
    <row r="477" spans="1:6">
      <c r="A477" s="30">
        <f t="shared" si="16"/>
        <v>43567</v>
      </c>
      <c r="C477" t="s">
        <v>203</v>
      </c>
      <c r="D477">
        <f>IF(B477=$AB$2,$AC$2,$AC$3)</f>
        <v>0</v>
      </c>
      <c r="E477">
        <f>IF(ISBLANK(C477),0,VLOOKUP(C477,$AE$2:$AF$7,2,0))</f>
        <v>0.5</v>
      </c>
      <c r="F477">
        <f t="shared" si="15"/>
        <v>0</v>
      </c>
    </row>
    <row r="478" spans="1:6">
      <c r="A478" s="30">
        <f t="shared" si="16"/>
        <v>43568</v>
      </c>
      <c r="C478" t="s">
        <v>203</v>
      </c>
      <c r="D478">
        <f>IF(B478=$AB$2,$AC$2,$AC$3)</f>
        <v>0</v>
      </c>
      <c r="E478">
        <f>IF(ISBLANK(C478),0,VLOOKUP(C478,$AE$2:$AF$7,2,0))</f>
        <v>0.5</v>
      </c>
      <c r="F478">
        <f t="shared" si="15"/>
        <v>0</v>
      </c>
    </row>
    <row r="479" spans="1:6">
      <c r="A479" s="30">
        <f t="shared" si="16"/>
        <v>43569</v>
      </c>
      <c r="C479" t="s">
        <v>203</v>
      </c>
      <c r="D479">
        <f>IF(B479=$AB$2,$AC$2,$AC$3)</f>
        <v>0</v>
      </c>
      <c r="E479">
        <f>IF(ISBLANK(C479),0,VLOOKUP(C479,$AE$2:$AF$7,2,0))</f>
        <v>0.5</v>
      </c>
      <c r="F479">
        <f t="shared" si="15"/>
        <v>0</v>
      </c>
    </row>
    <row r="480" spans="1:6">
      <c r="A480" s="30">
        <f t="shared" si="16"/>
        <v>43570</v>
      </c>
      <c r="C480" t="s">
        <v>203</v>
      </c>
      <c r="D480">
        <f>IF(B480=$AB$2,$AC$2,$AC$3)</f>
        <v>0</v>
      </c>
      <c r="E480">
        <f>IF(ISBLANK(C480),0,VLOOKUP(C480,$AE$2:$AF$7,2,0))</f>
        <v>0.5</v>
      </c>
      <c r="F480">
        <f t="shared" si="15"/>
        <v>0</v>
      </c>
    </row>
    <row r="481" spans="1:6">
      <c r="A481" s="30">
        <f t="shared" si="16"/>
        <v>43571</v>
      </c>
      <c r="C481" t="s">
        <v>203</v>
      </c>
      <c r="D481">
        <f>IF(B481=$AB$2,$AC$2,$AC$3)</f>
        <v>0</v>
      </c>
      <c r="E481">
        <f>IF(ISBLANK(C481),0,VLOOKUP(C481,$AE$2:$AF$7,2,0))</f>
        <v>0.5</v>
      </c>
      <c r="F481">
        <f t="shared" si="15"/>
        <v>0</v>
      </c>
    </row>
    <row r="482" spans="1:6">
      <c r="A482" s="30">
        <f t="shared" si="16"/>
        <v>43572</v>
      </c>
      <c r="C482" t="s">
        <v>203</v>
      </c>
      <c r="D482">
        <f>IF(B482=$AB$2,$AC$2,$AC$3)</f>
        <v>0</v>
      </c>
      <c r="E482">
        <f>IF(ISBLANK(C482),0,VLOOKUP(C482,$AE$2:$AF$7,2,0))</f>
        <v>0.5</v>
      </c>
      <c r="F482">
        <f t="shared" si="15"/>
        <v>0</v>
      </c>
    </row>
    <row r="483" spans="1:6">
      <c r="A483" s="30">
        <f t="shared" si="16"/>
        <v>43573</v>
      </c>
      <c r="C483" t="s">
        <v>203</v>
      </c>
      <c r="D483">
        <f>IF(B483=$AB$2,$AC$2,$AC$3)</f>
        <v>0</v>
      </c>
      <c r="E483">
        <f>IF(ISBLANK(C483),0,VLOOKUP(C483,$AE$2:$AF$7,2,0))</f>
        <v>0.5</v>
      </c>
      <c r="F483">
        <f t="shared" si="15"/>
        <v>0</v>
      </c>
    </row>
    <row r="484" spans="1:6">
      <c r="A484" s="30">
        <f t="shared" si="16"/>
        <v>43574</v>
      </c>
      <c r="C484" t="s">
        <v>203</v>
      </c>
      <c r="D484">
        <f>IF(B484=$AB$2,$AC$2,$AC$3)</f>
        <v>0</v>
      </c>
      <c r="E484">
        <f>IF(ISBLANK(C484),0,VLOOKUP(C484,$AE$2:$AF$7,2,0))</f>
        <v>0.5</v>
      </c>
      <c r="F484">
        <f t="shared" si="15"/>
        <v>0</v>
      </c>
    </row>
    <row r="485" spans="1:6">
      <c r="A485" s="30">
        <f t="shared" si="16"/>
        <v>43575</v>
      </c>
      <c r="C485" t="s">
        <v>203</v>
      </c>
      <c r="D485">
        <f>IF(B485=$AB$2,$AC$2,$AC$3)</f>
        <v>0</v>
      </c>
      <c r="E485">
        <f>IF(ISBLANK(C485),0,VLOOKUP(C485,$AE$2:$AF$7,2,0))</f>
        <v>0.5</v>
      </c>
      <c r="F485">
        <f t="shared" si="15"/>
        <v>0</v>
      </c>
    </row>
    <row r="486" spans="1:6">
      <c r="A486" s="30">
        <f t="shared" si="16"/>
        <v>43576</v>
      </c>
      <c r="C486" t="s">
        <v>203</v>
      </c>
      <c r="D486">
        <f>IF(B486=$AB$2,$AC$2,$AC$3)</f>
        <v>0</v>
      </c>
      <c r="E486">
        <f>IF(ISBLANK(C486),0,VLOOKUP(C486,$AE$2:$AF$7,2,0))</f>
        <v>0.5</v>
      </c>
      <c r="F486">
        <f t="shared" si="15"/>
        <v>0</v>
      </c>
    </row>
    <row r="487" spans="1:6">
      <c r="A487" s="30">
        <f t="shared" si="16"/>
        <v>43577</v>
      </c>
      <c r="C487" t="s">
        <v>203</v>
      </c>
      <c r="D487">
        <f>IF(B487=$AB$2,$AC$2,$AC$3)</f>
        <v>0</v>
      </c>
      <c r="E487">
        <f>IF(ISBLANK(C487),0,VLOOKUP(C487,$AE$2:$AF$7,2,0))</f>
        <v>0.5</v>
      </c>
      <c r="F487">
        <f t="shared" si="15"/>
        <v>0</v>
      </c>
    </row>
    <row r="488" spans="1:6">
      <c r="A488" s="30">
        <f t="shared" si="16"/>
        <v>43578</v>
      </c>
      <c r="C488" t="s">
        <v>203</v>
      </c>
      <c r="D488">
        <f>IF(B488=$AB$2,$AC$2,$AC$3)</f>
        <v>0</v>
      </c>
      <c r="E488">
        <f>IF(ISBLANK(C488),0,VLOOKUP(C488,$AE$2:$AF$7,2,0))</f>
        <v>0.5</v>
      </c>
      <c r="F488">
        <f t="shared" si="15"/>
        <v>0</v>
      </c>
    </row>
    <row r="489" spans="1:6">
      <c r="A489" s="30">
        <f t="shared" si="16"/>
        <v>43579</v>
      </c>
      <c r="C489" t="s">
        <v>203</v>
      </c>
      <c r="D489">
        <f>IF(B489=$AB$2,$AC$2,$AC$3)</f>
        <v>0</v>
      </c>
      <c r="E489">
        <f>IF(ISBLANK(C489),0,VLOOKUP(C489,$AE$2:$AF$7,2,0))</f>
        <v>0.5</v>
      </c>
      <c r="F489">
        <f t="shared" si="15"/>
        <v>0</v>
      </c>
    </row>
    <row r="490" spans="1:6">
      <c r="A490" s="30">
        <f t="shared" si="16"/>
        <v>43580</v>
      </c>
      <c r="C490" t="s">
        <v>203</v>
      </c>
      <c r="D490">
        <f>IF(B490=$AB$2,$AC$2,$AC$3)</f>
        <v>0</v>
      </c>
      <c r="E490">
        <f>IF(ISBLANK(C490),0,VLOOKUP(C490,$AE$2:$AF$7,2,0))</f>
        <v>0.5</v>
      </c>
      <c r="F490">
        <f t="shared" si="15"/>
        <v>0</v>
      </c>
    </row>
    <row r="491" spans="1:6">
      <c r="A491" s="30">
        <f t="shared" si="16"/>
        <v>43581</v>
      </c>
      <c r="C491" t="s">
        <v>203</v>
      </c>
      <c r="D491">
        <f>IF(B491=$AB$2,$AC$2,$AC$3)</f>
        <v>0</v>
      </c>
      <c r="E491">
        <f>IF(ISBLANK(C491),0,VLOOKUP(C491,$AE$2:$AF$7,2,0))</f>
        <v>0.5</v>
      </c>
      <c r="F491">
        <f t="shared" si="15"/>
        <v>0</v>
      </c>
    </row>
    <row r="492" spans="1:6">
      <c r="A492" s="30">
        <f t="shared" si="16"/>
        <v>43582</v>
      </c>
      <c r="C492" t="s">
        <v>203</v>
      </c>
      <c r="D492">
        <f>IF(B492=$AB$2,$AC$2,$AC$3)</f>
        <v>0</v>
      </c>
      <c r="E492">
        <f>IF(ISBLANK(C492),0,VLOOKUP(C492,$AE$2:$AF$7,2,0))</f>
        <v>0.5</v>
      </c>
      <c r="F492">
        <f t="shared" si="15"/>
        <v>0</v>
      </c>
    </row>
    <row r="493" spans="1:6">
      <c r="A493" s="30">
        <f t="shared" si="16"/>
        <v>43583</v>
      </c>
      <c r="C493" t="s">
        <v>203</v>
      </c>
      <c r="D493">
        <f>IF(B493=$AB$2,$AC$2,$AC$3)</f>
        <v>0</v>
      </c>
      <c r="E493">
        <f>IF(ISBLANK(C493),0,VLOOKUP(C493,$AE$2:$AF$7,2,0))</f>
        <v>0.5</v>
      </c>
      <c r="F493">
        <f t="shared" si="15"/>
        <v>0</v>
      </c>
    </row>
    <row r="494" spans="1:6">
      <c r="A494" s="30">
        <f t="shared" si="16"/>
        <v>43584</v>
      </c>
      <c r="C494" t="s">
        <v>203</v>
      </c>
      <c r="D494">
        <f>IF(B494=$AB$2,$AC$2,$AC$3)</f>
        <v>0</v>
      </c>
      <c r="E494">
        <f>IF(ISBLANK(C494),0,VLOOKUP(C494,$AE$2:$AF$7,2,0))</f>
        <v>0.5</v>
      </c>
      <c r="F494">
        <f t="shared" si="15"/>
        <v>0</v>
      </c>
    </row>
    <row r="495" spans="1:6">
      <c r="A495" s="30">
        <f t="shared" si="16"/>
        <v>43585</v>
      </c>
      <c r="C495" t="s">
        <v>203</v>
      </c>
      <c r="D495">
        <f>IF(B495=$AB$2,$AC$2,$AC$3)</f>
        <v>0</v>
      </c>
      <c r="E495">
        <f>IF(ISBLANK(C495),0,VLOOKUP(C495,$AE$2:$AF$7,2,0))</f>
        <v>0.5</v>
      </c>
      <c r="F495">
        <f t="shared" si="15"/>
        <v>0</v>
      </c>
    </row>
    <row r="496" spans="1:6">
      <c r="A496" s="30">
        <f t="shared" si="16"/>
        <v>43586</v>
      </c>
      <c r="C496" t="s">
        <v>203</v>
      </c>
      <c r="D496">
        <f>IF(B496=$AB$2,$AC$2,$AC$3)</f>
        <v>0</v>
      </c>
      <c r="E496">
        <f>IF(ISBLANK(C496),0,VLOOKUP(C496,$AE$2:$AF$7,2,0))</f>
        <v>0.5</v>
      </c>
      <c r="F496">
        <f t="shared" si="15"/>
        <v>0</v>
      </c>
    </row>
    <row r="497" spans="1:6">
      <c r="A497" s="30">
        <f t="shared" si="16"/>
        <v>43587</v>
      </c>
      <c r="C497" t="s">
        <v>203</v>
      </c>
      <c r="D497">
        <f>IF(B497=$AB$2,$AC$2,$AC$3)</f>
        <v>0</v>
      </c>
      <c r="E497">
        <f>IF(ISBLANK(C497),0,VLOOKUP(C497,$AE$2:$AF$7,2,0))</f>
        <v>0.5</v>
      </c>
      <c r="F497">
        <f t="shared" si="15"/>
        <v>0</v>
      </c>
    </row>
    <row r="498" spans="1:6">
      <c r="A498" s="30">
        <f t="shared" si="16"/>
        <v>43588</v>
      </c>
      <c r="C498" t="s">
        <v>203</v>
      </c>
      <c r="D498">
        <f>IF(B498=$AB$2,$AC$2,$AC$3)</f>
        <v>0</v>
      </c>
      <c r="E498">
        <f>IF(ISBLANK(C498),0,VLOOKUP(C498,$AE$2:$AF$7,2,0))</f>
        <v>0.5</v>
      </c>
      <c r="F498">
        <f t="shared" si="15"/>
        <v>0</v>
      </c>
    </row>
    <row r="499" spans="1:6">
      <c r="A499" s="30">
        <f t="shared" si="16"/>
        <v>43589</v>
      </c>
      <c r="C499" t="s">
        <v>203</v>
      </c>
      <c r="D499">
        <f>IF(B499=$AB$2,$AC$2,$AC$3)</f>
        <v>0</v>
      </c>
      <c r="E499">
        <f>IF(ISBLANK(C499),0,VLOOKUP(C499,$AE$2:$AF$7,2,0))</f>
        <v>0.5</v>
      </c>
      <c r="F499">
        <f t="shared" si="15"/>
        <v>0</v>
      </c>
    </row>
    <row r="500" spans="1:6">
      <c r="A500" s="30">
        <f t="shared" si="16"/>
        <v>43590</v>
      </c>
      <c r="C500" t="s">
        <v>203</v>
      </c>
      <c r="D500">
        <f>IF(B500=$AB$2,$AC$2,$AC$3)</f>
        <v>0</v>
      </c>
      <c r="E500">
        <f>IF(ISBLANK(C500),0,VLOOKUP(C500,$AE$2:$AF$7,2,0))</f>
        <v>0.5</v>
      </c>
      <c r="F500">
        <f t="shared" si="15"/>
        <v>0</v>
      </c>
    </row>
    <row r="501" spans="1:6">
      <c r="A501" s="30">
        <f t="shared" si="16"/>
        <v>43591</v>
      </c>
      <c r="C501" t="s">
        <v>203</v>
      </c>
      <c r="D501">
        <f>IF(B501=$AB$2,$AC$2,$AC$3)</f>
        <v>0</v>
      </c>
      <c r="E501">
        <f>IF(ISBLANK(C501),0,VLOOKUP(C501,$AE$2:$AF$7,2,0))</f>
        <v>0.5</v>
      </c>
      <c r="F501">
        <f t="shared" si="15"/>
        <v>0</v>
      </c>
    </row>
    <row r="502" spans="1:6">
      <c r="A502" s="30">
        <f t="shared" si="16"/>
        <v>43592</v>
      </c>
      <c r="C502" t="s">
        <v>203</v>
      </c>
      <c r="D502">
        <f>IF(B502=$AB$2,$AC$2,$AC$3)</f>
        <v>0</v>
      </c>
      <c r="E502">
        <f>IF(ISBLANK(C502),0,VLOOKUP(C502,$AE$2:$AF$7,2,0))</f>
        <v>0.5</v>
      </c>
      <c r="F502">
        <f t="shared" si="15"/>
        <v>0</v>
      </c>
    </row>
    <row r="503" spans="1:6">
      <c r="A503" s="30">
        <f t="shared" si="16"/>
        <v>43593</v>
      </c>
      <c r="C503" t="s">
        <v>203</v>
      </c>
      <c r="D503">
        <f>IF(B503=$AB$2,$AC$2,$AC$3)</f>
        <v>0</v>
      </c>
      <c r="E503">
        <f>IF(ISBLANK(C503),0,VLOOKUP(C503,$AE$2:$AF$7,2,0))</f>
        <v>0.5</v>
      </c>
      <c r="F503">
        <f t="shared" si="15"/>
        <v>0</v>
      </c>
    </row>
    <row r="504" spans="1:6">
      <c r="A504" s="30">
        <f t="shared" si="16"/>
        <v>43594</v>
      </c>
      <c r="C504" t="s">
        <v>203</v>
      </c>
      <c r="D504">
        <f>IF(B504=$AB$2,$AC$2,$AC$3)</f>
        <v>0</v>
      </c>
      <c r="E504">
        <f>IF(ISBLANK(C504),0,VLOOKUP(C504,$AE$2:$AF$7,2,0))</f>
        <v>0.5</v>
      </c>
      <c r="F504">
        <f t="shared" si="15"/>
        <v>0</v>
      </c>
    </row>
    <row r="505" spans="1:6">
      <c r="A505" s="30">
        <f t="shared" si="16"/>
        <v>43595</v>
      </c>
      <c r="C505" t="s">
        <v>203</v>
      </c>
      <c r="D505">
        <f>IF(B505=$AB$2,$AC$2,$AC$3)</f>
        <v>0</v>
      </c>
      <c r="E505">
        <f>IF(ISBLANK(C505),0,VLOOKUP(C505,$AE$2:$AF$7,2,0))</f>
        <v>0.5</v>
      </c>
      <c r="F505">
        <f t="shared" si="15"/>
        <v>0</v>
      </c>
    </row>
    <row r="506" spans="1:6">
      <c r="A506" s="30">
        <f t="shared" si="16"/>
        <v>43596</v>
      </c>
      <c r="C506" t="s">
        <v>203</v>
      </c>
      <c r="D506">
        <f>IF(B506=$AB$2,$AC$2,$AC$3)</f>
        <v>0</v>
      </c>
      <c r="E506">
        <f>IF(ISBLANK(C506),0,VLOOKUP(C506,$AE$2:$AF$7,2,0))</f>
        <v>0.5</v>
      </c>
      <c r="F506">
        <f t="shared" si="15"/>
        <v>0</v>
      </c>
    </row>
    <row r="507" spans="1:6">
      <c r="A507" s="30">
        <f t="shared" si="16"/>
        <v>43597</v>
      </c>
      <c r="C507" t="s">
        <v>203</v>
      </c>
      <c r="D507">
        <f>IF(B507=$AB$2,$AC$2,$AC$3)</f>
        <v>0</v>
      </c>
      <c r="E507">
        <f>IF(ISBLANK(C507),0,VLOOKUP(C507,$AE$2:$AF$7,2,0))</f>
        <v>0.5</v>
      </c>
      <c r="F507">
        <f t="shared" si="15"/>
        <v>0</v>
      </c>
    </row>
    <row r="508" spans="1:6">
      <c r="A508" s="30">
        <f t="shared" si="16"/>
        <v>43598</v>
      </c>
      <c r="C508" t="s">
        <v>203</v>
      </c>
      <c r="D508">
        <f>IF(B508=$AB$2,$AC$2,$AC$3)</f>
        <v>0</v>
      </c>
      <c r="E508">
        <f>IF(ISBLANK(C508),0,VLOOKUP(C508,$AE$2:$AF$7,2,0))</f>
        <v>0.5</v>
      </c>
      <c r="F508">
        <f t="shared" si="15"/>
        <v>0</v>
      </c>
    </row>
    <row r="509" spans="1:6">
      <c r="A509" s="30">
        <f t="shared" si="16"/>
        <v>43599</v>
      </c>
      <c r="C509" t="s">
        <v>203</v>
      </c>
      <c r="D509">
        <f>IF(B509=$AB$2,$AC$2,$AC$3)</f>
        <v>0</v>
      </c>
      <c r="E509">
        <f>IF(ISBLANK(C509),0,VLOOKUP(C509,$AE$2:$AF$7,2,0))</f>
        <v>0.5</v>
      </c>
      <c r="F509">
        <f t="shared" si="15"/>
        <v>0</v>
      </c>
    </row>
    <row r="510" spans="1:6">
      <c r="A510" s="30">
        <f t="shared" si="16"/>
        <v>43600</v>
      </c>
      <c r="C510" t="s">
        <v>203</v>
      </c>
      <c r="D510">
        <f>IF(B510=$AB$2,$AC$2,$AC$3)</f>
        <v>0</v>
      </c>
      <c r="E510">
        <f>IF(ISBLANK(C510),0,VLOOKUP(C510,$AE$2:$AF$7,2,0))</f>
        <v>0.5</v>
      </c>
      <c r="F510">
        <f t="shared" si="15"/>
        <v>0</v>
      </c>
    </row>
    <row r="511" spans="1:6">
      <c r="A511" s="30">
        <f t="shared" si="16"/>
        <v>43601</v>
      </c>
      <c r="C511" t="s">
        <v>203</v>
      </c>
      <c r="D511">
        <f>IF(B511=$AB$2,$AC$2,$AC$3)</f>
        <v>0</v>
      </c>
      <c r="E511">
        <f>IF(ISBLANK(C511),0,VLOOKUP(C511,$AE$2:$AF$7,2,0))</f>
        <v>0.5</v>
      </c>
      <c r="F511">
        <f t="shared" si="15"/>
        <v>0</v>
      </c>
    </row>
    <row r="512" spans="1:6">
      <c r="A512" s="30">
        <f t="shared" si="16"/>
        <v>43602</v>
      </c>
      <c r="C512" t="s">
        <v>203</v>
      </c>
      <c r="D512">
        <f>IF(B512=$AB$2,$AC$2,$AC$3)</f>
        <v>0</v>
      </c>
      <c r="E512">
        <f>IF(ISBLANK(C512),0,VLOOKUP(C512,$AE$2:$AF$7,2,0))</f>
        <v>0.5</v>
      </c>
      <c r="F512">
        <f t="shared" si="15"/>
        <v>0</v>
      </c>
    </row>
    <row r="513" spans="1:6">
      <c r="A513" s="30">
        <f t="shared" si="16"/>
        <v>43603</v>
      </c>
      <c r="C513" t="s">
        <v>203</v>
      </c>
      <c r="D513">
        <f>IF(B513=$AB$2,$AC$2,$AC$3)</f>
        <v>0</v>
      </c>
      <c r="E513">
        <f>IF(ISBLANK(C513),0,VLOOKUP(C513,$AE$2:$AF$7,2,0))</f>
        <v>0.5</v>
      </c>
      <c r="F513">
        <f t="shared" si="15"/>
        <v>0</v>
      </c>
    </row>
    <row r="514" spans="1:6">
      <c r="A514" s="30">
        <f t="shared" si="16"/>
        <v>43604</v>
      </c>
      <c r="C514" t="s">
        <v>203</v>
      </c>
      <c r="D514">
        <f>IF(B514=$AB$2,$AC$2,$AC$3)</f>
        <v>0</v>
      </c>
      <c r="E514">
        <f>IF(ISBLANK(C514),0,VLOOKUP(C514,$AE$2:$AF$7,2,0))</f>
        <v>0.5</v>
      </c>
      <c r="F514">
        <f t="shared" si="15"/>
        <v>0</v>
      </c>
    </row>
    <row r="515" spans="1:6">
      <c r="A515" s="30">
        <f t="shared" si="16"/>
        <v>43605</v>
      </c>
      <c r="C515" t="s">
        <v>203</v>
      </c>
      <c r="D515">
        <f>IF(B515=$AB$2,$AC$2,$AC$3)</f>
        <v>0</v>
      </c>
      <c r="E515">
        <f>IF(ISBLANK(C515),0,VLOOKUP(C515,$AE$2:$AF$7,2,0))</f>
        <v>0.5</v>
      </c>
      <c r="F515">
        <f t="shared" ref="F515:F578" si="17">D515*E515</f>
        <v>0</v>
      </c>
    </row>
    <row r="516" spans="1:6">
      <c r="A516" s="30">
        <f t="shared" si="16"/>
        <v>43606</v>
      </c>
      <c r="C516" t="s">
        <v>203</v>
      </c>
      <c r="D516">
        <f>IF(B516=$AB$2,$AC$2,$AC$3)</f>
        <v>0</v>
      </c>
      <c r="E516">
        <f>IF(ISBLANK(C516),0,VLOOKUP(C516,$AE$2:$AF$7,2,0))</f>
        <v>0.5</v>
      </c>
      <c r="F516">
        <f t="shared" si="17"/>
        <v>0</v>
      </c>
    </row>
    <row r="517" spans="1:6">
      <c r="A517" s="30">
        <f t="shared" si="16"/>
        <v>43607</v>
      </c>
      <c r="C517" t="s">
        <v>203</v>
      </c>
      <c r="D517">
        <f>IF(B517=$AB$2,$AC$2,$AC$3)</f>
        <v>0</v>
      </c>
      <c r="E517">
        <f>IF(ISBLANK(C517),0,VLOOKUP(C517,$AE$2:$AF$7,2,0))</f>
        <v>0.5</v>
      </c>
      <c r="F517">
        <f t="shared" si="17"/>
        <v>0</v>
      </c>
    </row>
    <row r="518" spans="1:6">
      <c r="A518" s="30">
        <f t="shared" si="16"/>
        <v>43608</v>
      </c>
      <c r="C518" t="s">
        <v>203</v>
      </c>
      <c r="D518">
        <f>IF(B518=$AB$2,$AC$2,$AC$3)</f>
        <v>0</v>
      </c>
      <c r="E518">
        <f>IF(ISBLANK(C518),0,VLOOKUP(C518,$AE$2:$AF$7,2,0))</f>
        <v>0.5</v>
      </c>
      <c r="F518">
        <f t="shared" si="17"/>
        <v>0</v>
      </c>
    </row>
    <row r="519" spans="1:6">
      <c r="A519" s="30">
        <f t="shared" si="16"/>
        <v>43609</v>
      </c>
      <c r="C519" t="s">
        <v>203</v>
      </c>
      <c r="D519">
        <f>IF(B519=$AB$2,$AC$2,$AC$3)</f>
        <v>0</v>
      </c>
      <c r="E519">
        <f>IF(ISBLANK(C519),0,VLOOKUP(C519,$AE$2:$AF$7,2,0))</f>
        <v>0.5</v>
      </c>
      <c r="F519">
        <f t="shared" si="17"/>
        <v>0</v>
      </c>
    </row>
    <row r="520" spans="1:6">
      <c r="A520" s="30">
        <f t="shared" si="16"/>
        <v>43610</v>
      </c>
      <c r="C520" t="s">
        <v>203</v>
      </c>
      <c r="D520">
        <f>IF(B520=$AB$2,$AC$2,$AC$3)</f>
        <v>0</v>
      </c>
      <c r="E520">
        <f>IF(ISBLANK(C520),0,VLOOKUP(C520,$AE$2:$AF$7,2,0))</f>
        <v>0.5</v>
      </c>
      <c r="F520">
        <f t="shared" si="17"/>
        <v>0</v>
      </c>
    </row>
    <row r="521" spans="1:6">
      <c r="A521" s="30">
        <f t="shared" si="16"/>
        <v>43611</v>
      </c>
      <c r="C521" t="s">
        <v>203</v>
      </c>
      <c r="D521">
        <f>IF(B521=$AB$2,$AC$2,$AC$3)</f>
        <v>0</v>
      </c>
      <c r="E521">
        <f>IF(ISBLANK(C521),0,VLOOKUP(C521,$AE$2:$AF$7,2,0))</f>
        <v>0.5</v>
      </c>
      <c r="F521">
        <f t="shared" si="17"/>
        <v>0</v>
      </c>
    </row>
    <row r="522" spans="1:6">
      <c r="A522" s="30">
        <f t="shared" si="16"/>
        <v>43612</v>
      </c>
      <c r="C522" t="s">
        <v>203</v>
      </c>
      <c r="D522">
        <f>IF(B522=$AB$2,$AC$2,$AC$3)</f>
        <v>0</v>
      </c>
      <c r="E522">
        <f>IF(ISBLANK(C522),0,VLOOKUP(C522,$AE$2:$AF$7,2,0))</f>
        <v>0.5</v>
      </c>
      <c r="F522">
        <f t="shared" si="17"/>
        <v>0</v>
      </c>
    </row>
    <row r="523" spans="1:6">
      <c r="A523" s="30">
        <f t="shared" si="16"/>
        <v>43613</v>
      </c>
      <c r="C523" t="s">
        <v>203</v>
      </c>
      <c r="D523">
        <f>IF(B523=$AB$2,$AC$2,$AC$3)</f>
        <v>0</v>
      </c>
      <c r="E523">
        <f>IF(ISBLANK(C523),0,VLOOKUP(C523,$AE$2:$AF$7,2,0))</f>
        <v>0.5</v>
      </c>
      <c r="F523">
        <f t="shared" si="17"/>
        <v>0</v>
      </c>
    </row>
    <row r="524" spans="1:6">
      <c r="A524" s="30">
        <f t="shared" ref="A524:A572" si="18">A523+1</f>
        <v>43614</v>
      </c>
      <c r="C524" t="s">
        <v>203</v>
      </c>
      <c r="D524">
        <f>IF(B524=$AB$2,$AC$2,$AC$3)</f>
        <v>0</v>
      </c>
      <c r="E524">
        <f>IF(ISBLANK(C524),0,VLOOKUP(C524,$AE$2:$AF$7,2,0))</f>
        <v>0.5</v>
      </c>
      <c r="F524">
        <f t="shared" si="17"/>
        <v>0</v>
      </c>
    </row>
    <row r="525" spans="1:6">
      <c r="A525" s="30">
        <f t="shared" si="18"/>
        <v>43615</v>
      </c>
      <c r="C525" t="s">
        <v>203</v>
      </c>
      <c r="D525">
        <f>IF(B525=$AB$2,$AC$2,$AC$3)</f>
        <v>0</v>
      </c>
      <c r="E525">
        <f>IF(ISBLANK(C525),0,VLOOKUP(C525,$AE$2:$AF$7,2,0))</f>
        <v>0.5</v>
      </c>
      <c r="F525">
        <f t="shared" si="17"/>
        <v>0</v>
      </c>
    </row>
    <row r="526" spans="1:6">
      <c r="A526" s="30">
        <f t="shared" si="18"/>
        <v>43616</v>
      </c>
      <c r="C526" t="s">
        <v>203</v>
      </c>
      <c r="D526">
        <f>IF(B526=$AB$2,$AC$2,$AC$3)</f>
        <v>0</v>
      </c>
      <c r="E526">
        <f>IF(ISBLANK(C526),0,VLOOKUP(C526,$AE$2:$AF$7,2,0))</f>
        <v>0.5</v>
      </c>
      <c r="F526">
        <f t="shared" si="17"/>
        <v>0</v>
      </c>
    </row>
    <row r="527" spans="1:6">
      <c r="A527" s="30">
        <f t="shared" si="18"/>
        <v>43617</v>
      </c>
      <c r="B527" s="32" t="s">
        <v>199</v>
      </c>
      <c r="C527" t="s">
        <v>203</v>
      </c>
      <c r="D527">
        <f>IF(B527=$AB$2,$AC$2,$AC$3)</f>
        <v>1</v>
      </c>
      <c r="E527">
        <f>IF(ISBLANK(C527),0,VLOOKUP(C527,$AE$2:$AF$7,2,0))</f>
        <v>0.5</v>
      </c>
      <c r="F527">
        <f t="shared" si="17"/>
        <v>0.5</v>
      </c>
    </row>
    <row r="528" spans="1:6">
      <c r="A528" s="30">
        <f t="shared" si="18"/>
        <v>43618</v>
      </c>
      <c r="B528" s="32" t="s">
        <v>199</v>
      </c>
      <c r="C528" t="s">
        <v>203</v>
      </c>
      <c r="D528">
        <f>IF(B528=$AB$2,$AC$2,$AC$3)</f>
        <v>1</v>
      </c>
      <c r="E528">
        <f>IF(ISBLANK(C528),0,VLOOKUP(C528,$AE$2:$AF$7,2,0))</f>
        <v>0.5</v>
      </c>
      <c r="F528">
        <f t="shared" si="17"/>
        <v>0.5</v>
      </c>
    </row>
    <row r="529" spans="1:6">
      <c r="A529" s="30">
        <f t="shared" si="18"/>
        <v>43619</v>
      </c>
      <c r="B529" s="32" t="s">
        <v>199</v>
      </c>
      <c r="C529" t="s">
        <v>203</v>
      </c>
      <c r="D529">
        <f>IF(B529=$AB$2,$AC$2,$AC$3)</f>
        <v>1</v>
      </c>
      <c r="E529">
        <f>IF(ISBLANK(C529),0,VLOOKUP(C529,$AE$2:$AF$7,2,0))</f>
        <v>0.5</v>
      </c>
      <c r="F529">
        <f t="shared" si="17"/>
        <v>0.5</v>
      </c>
    </row>
    <row r="530" spans="1:6">
      <c r="A530" s="30">
        <f t="shared" si="18"/>
        <v>43620</v>
      </c>
      <c r="B530" s="32" t="s">
        <v>199</v>
      </c>
      <c r="C530" t="s">
        <v>203</v>
      </c>
      <c r="D530">
        <f>IF(B530=$AB$2,$AC$2,$AC$3)</f>
        <v>1</v>
      </c>
      <c r="E530">
        <f>IF(ISBLANK(C530),0,VLOOKUP(C530,$AE$2:$AF$7,2,0))</f>
        <v>0.5</v>
      </c>
      <c r="F530">
        <f t="shared" si="17"/>
        <v>0.5</v>
      </c>
    </row>
    <row r="531" spans="1:6">
      <c r="A531" s="30">
        <f t="shared" si="18"/>
        <v>43621</v>
      </c>
      <c r="B531" s="32" t="s">
        <v>199</v>
      </c>
      <c r="C531" t="s">
        <v>203</v>
      </c>
      <c r="D531">
        <f>IF(B531=$AB$2,$AC$2,$AC$3)</f>
        <v>1</v>
      </c>
      <c r="E531">
        <f>IF(ISBLANK(C531),0,VLOOKUP(C531,$AE$2:$AF$7,2,0))</f>
        <v>0.5</v>
      </c>
      <c r="F531">
        <f t="shared" si="17"/>
        <v>0.5</v>
      </c>
    </row>
    <row r="532" spans="1:6">
      <c r="A532" s="30">
        <f t="shared" si="18"/>
        <v>43622</v>
      </c>
      <c r="B532" s="32" t="s">
        <v>199</v>
      </c>
      <c r="C532" t="s">
        <v>203</v>
      </c>
      <c r="D532">
        <f>IF(B532=$AB$2,$AC$2,$AC$3)</f>
        <v>1</v>
      </c>
      <c r="E532">
        <f>IF(ISBLANK(C532),0,VLOOKUP(C532,$AE$2:$AF$7,2,0))</f>
        <v>0.5</v>
      </c>
      <c r="F532">
        <f t="shared" si="17"/>
        <v>0.5</v>
      </c>
    </row>
    <row r="533" spans="1:6">
      <c r="A533" s="30">
        <f t="shared" si="18"/>
        <v>43623</v>
      </c>
      <c r="B533" s="32" t="s">
        <v>199</v>
      </c>
      <c r="C533" t="s">
        <v>203</v>
      </c>
      <c r="D533">
        <f>IF(B533=$AB$2,$AC$2,$AC$3)</f>
        <v>1</v>
      </c>
      <c r="E533">
        <f>IF(ISBLANK(C533),0,VLOOKUP(C533,$AE$2:$AF$7,2,0))</f>
        <v>0.5</v>
      </c>
      <c r="F533">
        <f t="shared" si="17"/>
        <v>0.5</v>
      </c>
    </row>
    <row r="534" spans="1:6">
      <c r="A534" s="30">
        <f t="shared" si="18"/>
        <v>43624</v>
      </c>
      <c r="B534" s="32" t="s">
        <v>199</v>
      </c>
      <c r="C534" t="s">
        <v>203</v>
      </c>
      <c r="D534">
        <f>IF(B534=$AB$2,$AC$2,$AC$3)</f>
        <v>1</v>
      </c>
      <c r="E534">
        <f>IF(ISBLANK(C534),0,VLOOKUP(C534,$AE$2:$AF$7,2,0))</f>
        <v>0.5</v>
      </c>
      <c r="F534">
        <f t="shared" si="17"/>
        <v>0.5</v>
      </c>
    </row>
    <row r="535" spans="1:6">
      <c r="A535" s="30">
        <f t="shared" si="18"/>
        <v>43625</v>
      </c>
      <c r="B535" s="32" t="s">
        <v>199</v>
      </c>
      <c r="C535" t="s">
        <v>203</v>
      </c>
      <c r="D535">
        <f>IF(B535=$AB$2,$AC$2,$AC$3)</f>
        <v>1</v>
      </c>
      <c r="E535">
        <f>IF(ISBLANK(C535),0,VLOOKUP(C535,$AE$2:$AF$7,2,0))</f>
        <v>0.5</v>
      </c>
      <c r="F535">
        <f t="shared" si="17"/>
        <v>0.5</v>
      </c>
    </row>
    <row r="536" spans="1:6">
      <c r="A536" s="30">
        <f t="shared" si="18"/>
        <v>43626</v>
      </c>
      <c r="B536" s="32" t="s">
        <v>199</v>
      </c>
      <c r="C536" t="s">
        <v>203</v>
      </c>
      <c r="D536">
        <f>IF(B536=$AB$2,$AC$2,$AC$3)</f>
        <v>1</v>
      </c>
      <c r="E536">
        <f>IF(ISBLANK(C536),0,VLOOKUP(C536,$AE$2:$AF$7,2,0))</f>
        <v>0.5</v>
      </c>
      <c r="F536">
        <f t="shared" si="17"/>
        <v>0.5</v>
      </c>
    </row>
    <row r="537" spans="1:6">
      <c r="A537" s="30">
        <f t="shared" si="18"/>
        <v>43627</v>
      </c>
      <c r="B537" s="32" t="s">
        <v>199</v>
      </c>
      <c r="C537" t="s">
        <v>203</v>
      </c>
      <c r="D537">
        <f>IF(B537=$AB$2,$AC$2,$AC$3)</f>
        <v>1</v>
      </c>
      <c r="E537">
        <f>IF(ISBLANK(C537),0,VLOOKUP(C537,$AE$2:$AF$7,2,0))</f>
        <v>0.5</v>
      </c>
      <c r="F537">
        <f t="shared" si="17"/>
        <v>0.5</v>
      </c>
    </row>
    <row r="538" spans="1:6">
      <c r="A538" s="30">
        <f t="shared" si="18"/>
        <v>43628</v>
      </c>
      <c r="B538" s="32" t="s">
        <v>199</v>
      </c>
      <c r="C538" t="s">
        <v>203</v>
      </c>
      <c r="D538">
        <f>IF(B538=$AB$2,$AC$2,$AC$3)</f>
        <v>1</v>
      </c>
      <c r="E538">
        <f>IF(ISBLANK(C538),0,VLOOKUP(C538,$AE$2:$AF$7,2,0))</f>
        <v>0.5</v>
      </c>
      <c r="F538">
        <f t="shared" si="17"/>
        <v>0.5</v>
      </c>
    </row>
    <row r="539" spans="1:6">
      <c r="A539" s="30">
        <f t="shared" si="18"/>
        <v>43629</v>
      </c>
      <c r="B539" s="32" t="s">
        <v>199</v>
      </c>
      <c r="C539" t="s">
        <v>203</v>
      </c>
      <c r="D539">
        <f>IF(B539=$AB$2,$AC$2,$AC$3)</f>
        <v>1</v>
      </c>
      <c r="E539">
        <f>IF(ISBLANK(C539),0,VLOOKUP(C539,$AE$2:$AF$7,2,0))</f>
        <v>0.5</v>
      </c>
      <c r="F539">
        <f t="shared" si="17"/>
        <v>0.5</v>
      </c>
    </row>
    <row r="540" spans="1:6">
      <c r="A540" s="30">
        <f t="shared" si="18"/>
        <v>43630</v>
      </c>
      <c r="B540" s="32" t="s">
        <v>199</v>
      </c>
      <c r="C540" t="s">
        <v>203</v>
      </c>
      <c r="D540">
        <f>IF(B540=$AB$2,$AC$2,$AC$3)</f>
        <v>1</v>
      </c>
      <c r="E540">
        <f>IF(ISBLANK(C540),0,VLOOKUP(C540,$AE$2:$AF$7,2,0))</f>
        <v>0.5</v>
      </c>
      <c r="F540">
        <f t="shared" si="17"/>
        <v>0.5</v>
      </c>
    </row>
    <row r="541" spans="1:6">
      <c r="A541" s="30">
        <f t="shared" si="18"/>
        <v>43631</v>
      </c>
      <c r="B541" s="32" t="s">
        <v>199</v>
      </c>
      <c r="C541" t="s">
        <v>203</v>
      </c>
      <c r="D541">
        <f>IF(B541=$AB$2,$AC$2,$AC$3)</f>
        <v>1</v>
      </c>
      <c r="E541">
        <f>IF(ISBLANK(C541),0,VLOOKUP(C541,$AE$2:$AF$7,2,0))</f>
        <v>0.5</v>
      </c>
      <c r="F541">
        <f t="shared" si="17"/>
        <v>0.5</v>
      </c>
    </row>
    <row r="542" spans="1:6">
      <c r="A542" s="30">
        <f t="shared" si="18"/>
        <v>43632</v>
      </c>
      <c r="B542" s="32" t="s">
        <v>199</v>
      </c>
      <c r="C542" t="s">
        <v>203</v>
      </c>
      <c r="D542">
        <f>IF(B542=$AB$2,$AC$2,$AC$3)</f>
        <v>1</v>
      </c>
      <c r="E542">
        <f>IF(ISBLANK(C542),0,VLOOKUP(C542,$AE$2:$AF$7,2,0))</f>
        <v>0.5</v>
      </c>
      <c r="F542">
        <f t="shared" si="17"/>
        <v>0.5</v>
      </c>
    </row>
    <row r="543" spans="1:6">
      <c r="A543" s="30">
        <f t="shared" si="18"/>
        <v>43633</v>
      </c>
      <c r="B543" s="32" t="s">
        <v>199</v>
      </c>
      <c r="C543" t="s">
        <v>203</v>
      </c>
      <c r="D543">
        <f>IF(B543=$AB$2,$AC$2,$AC$3)</f>
        <v>1</v>
      </c>
      <c r="E543">
        <f>IF(ISBLANK(C543),0,VLOOKUP(C543,$AE$2:$AF$7,2,0))</f>
        <v>0.5</v>
      </c>
      <c r="F543">
        <f t="shared" si="17"/>
        <v>0.5</v>
      </c>
    </row>
    <row r="544" spans="1:6">
      <c r="A544" s="30">
        <f t="shared" si="18"/>
        <v>43634</v>
      </c>
      <c r="B544" s="32" t="s">
        <v>199</v>
      </c>
      <c r="C544" t="s">
        <v>203</v>
      </c>
      <c r="D544">
        <f>IF(B544=$AB$2,$AC$2,$AC$3)</f>
        <v>1</v>
      </c>
      <c r="E544">
        <f>IF(ISBLANK(C544),0,VLOOKUP(C544,$AE$2:$AF$7,2,0))</f>
        <v>0.5</v>
      </c>
      <c r="F544">
        <f t="shared" si="17"/>
        <v>0.5</v>
      </c>
    </row>
    <row r="545" spans="1:6">
      <c r="A545" s="30">
        <f t="shared" si="18"/>
        <v>43635</v>
      </c>
      <c r="B545" s="32" t="s">
        <v>199</v>
      </c>
      <c r="C545" t="s">
        <v>203</v>
      </c>
      <c r="D545">
        <f>IF(B545=$AB$2,$AC$2,$AC$3)</f>
        <v>1</v>
      </c>
      <c r="E545">
        <f>IF(ISBLANK(C545),0,VLOOKUP(C545,$AE$2:$AF$7,2,0))</f>
        <v>0.5</v>
      </c>
      <c r="F545">
        <f t="shared" si="17"/>
        <v>0.5</v>
      </c>
    </row>
    <row r="546" spans="1:6">
      <c r="A546" s="30">
        <f t="shared" si="18"/>
        <v>43636</v>
      </c>
      <c r="B546" s="32" t="s">
        <v>199</v>
      </c>
      <c r="C546" t="s">
        <v>203</v>
      </c>
      <c r="D546">
        <f>IF(B546=$AB$2,$AC$2,$AC$3)</f>
        <v>1</v>
      </c>
      <c r="E546">
        <f>IF(ISBLANK(C546),0,VLOOKUP(C546,$AE$2:$AF$7,2,0))</f>
        <v>0.5</v>
      </c>
      <c r="F546">
        <f t="shared" si="17"/>
        <v>0.5</v>
      </c>
    </row>
    <row r="547" spans="1:6">
      <c r="A547" s="30">
        <f t="shared" si="18"/>
        <v>43637</v>
      </c>
      <c r="B547" s="32" t="s">
        <v>199</v>
      </c>
      <c r="C547" t="s">
        <v>203</v>
      </c>
      <c r="D547">
        <f>IF(B547=$AB$2,$AC$2,$AC$3)</f>
        <v>1</v>
      </c>
      <c r="E547">
        <f>IF(ISBLANK(C547),0,VLOOKUP(C547,$AE$2:$AF$7,2,0))</f>
        <v>0.5</v>
      </c>
      <c r="F547">
        <f t="shared" si="17"/>
        <v>0.5</v>
      </c>
    </row>
    <row r="548" spans="1:6">
      <c r="A548" s="30">
        <f t="shared" si="18"/>
        <v>43638</v>
      </c>
      <c r="B548" s="32" t="s">
        <v>199</v>
      </c>
      <c r="C548" t="s">
        <v>203</v>
      </c>
      <c r="D548">
        <f>IF(B548=$AB$2,$AC$2,$AC$3)</f>
        <v>1</v>
      </c>
      <c r="E548">
        <f>IF(ISBLANK(C548),0,VLOOKUP(C548,$AE$2:$AF$7,2,0))</f>
        <v>0.5</v>
      </c>
      <c r="F548">
        <f t="shared" si="17"/>
        <v>0.5</v>
      </c>
    </row>
    <row r="549" spans="1:6">
      <c r="A549" s="30">
        <f t="shared" si="18"/>
        <v>43639</v>
      </c>
      <c r="B549" s="32" t="s">
        <v>199</v>
      </c>
      <c r="C549" t="s">
        <v>203</v>
      </c>
      <c r="D549">
        <f>IF(B549=$AB$2,$AC$2,$AC$3)</f>
        <v>1</v>
      </c>
      <c r="E549">
        <f>IF(ISBLANK(C549),0,VLOOKUP(C549,$AE$2:$AF$7,2,0))</f>
        <v>0.5</v>
      </c>
      <c r="F549">
        <f t="shared" si="17"/>
        <v>0.5</v>
      </c>
    </row>
    <row r="550" spans="1:6">
      <c r="A550" s="30">
        <f t="shared" si="18"/>
        <v>43640</v>
      </c>
      <c r="B550" s="32" t="s">
        <v>199</v>
      </c>
      <c r="C550" t="s">
        <v>203</v>
      </c>
      <c r="D550">
        <f>IF(B550=$AB$2,$AC$2,$AC$3)</f>
        <v>1</v>
      </c>
      <c r="E550">
        <f>IF(ISBLANK(C550),0,VLOOKUP(C550,$AE$2:$AF$7,2,0))</f>
        <v>0.5</v>
      </c>
      <c r="F550">
        <f t="shared" si="17"/>
        <v>0.5</v>
      </c>
    </row>
    <row r="551" spans="1:6">
      <c r="A551" s="30">
        <f t="shared" si="18"/>
        <v>43641</v>
      </c>
      <c r="B551" s="32" t="s">
        <v>199</v>
      </c>
      <c r="C551" t="s">
        <v>203</v>
      </c>
      <c r="D551">
        <f>IF(B551=$AB$2,$AC$2,$AC$3)</f>
        <v>1</v>
      </c>
      <c r="E551">
        <f>IF(ISBLANK(C551),0,VLOOKUP(C551,$AE$2:$AF$7,2,0))</f>
        <v>0.5</v>
      </c>
      <c r="F551">
        <f t="shared" si="17"/>
        <v>0.5</v>
      </c>
    </row>
    <row r="552" spans="1:6">
      <c r="A552" s="30">
        <f t="shared" si="18"/>
        <v>43642</v>
      </c>
      <c r="B552" s="32" t="s">
        <v>199</v>
      </c>
      <c r="C552" t="s">
        <v>203</v>
      </c>
      <c r="D552">
        <f>IF(B552=$AB$2,$AC$2,$AC$3)</f>
        <v>1</v>
      </c>
      <c r="E552">
        <f>IF(ISBLANK(C552),0,VLOOKUP(C552,$AE$2:$AF$7,2,0))</f>
        <v>0.5</v>
      </c>
      <c r="F552">
        <f t="shared" si="17"/>
        <v>0.5</v>
      </c>
    </row>
    <row r="553" spans="1:6">
      <c r="A553" s="30">
        <f t="shared" si="18"/>
        <v>43643</v>
      </c>
      <c r="B553" s="32" t="s">
        <v>199</v>
      </c>
      <c r="C553" t="s">
        <v>203</v>
      </c>
      <c r="D553">
        <f>IF(B553=$AB$2,$AC$2,$AC$3)</f>
        <v>1</v>
      </c>
      <c r="E553">
        <f>IF(ISBLANK(C553),0,VLOOKUP(C553,$AE$2:$AF$7,2,0))</f>
        <v>0.5</v>
      </c>
      <c r="F553">
        <f t="shared" si="17"/>
        <v>0.5</v>
      </c>
    </row>
    <row r="554" spans="1:6">
      <c r="A554" s="30">
        <f t="shared" si="18"/>
        <v>43644</v>
      </c>
      <c r="B554" s="32" t="s">
        <v>199</v>
      </c>
      <c r="C554" t="s">
        <v>203</v>
      </c>
      <c r="D554">
        <f>IF(B554=$AB$2,$AC$2,$AC$3)</f>
        <v>1</v>
      </c>
      <c r="E554">
        <f>IF(ISBLANK(C554),0,VLOOKUP(C554,$AE$2:$AF$7,2,0))</f>
        <v>0.5</v>
      </c>
      <c r="F554">
        <f t="shared" si="17"/>
        <v>0.5</v>
      </c>
    </row>
    <row r="555" spans="1:6">
      <c r="A555" s="30">
        <f t="shared" si="18"/>
        <v>43645</v>
      </c>
      <c r="B555" s="32" t="s">
        <v>199</v>
      </c>
      <c r="C555" t="s">
        <v>203</v>
      </c>
      <c r="D555">
        <f>IF(B555=$AB$2,$AC$2,$AC$3)</f>
        <v>1</v>
      </c>
      <c r="E555">
        <f>IF(ISBLANK(C555),0,VLOOKUP(C555,$AE$2:$AF$7,2,0))</f>
        <v>0.5</v>
      </c>
      <c r="F555">
        <f t="shared" si="17"/>
        <v>0.5</v>
      </c>
    </row>
    <row r="556" spans="1:6">
      <c r="A556" s="30">
        <f t="shared" si="18"/>
        <v>43646</v>
      </c>
      <c r="B556" s="32" t="s">
        <v>199</v>
      </c>
      <c r="C556" t="s">
        <v>203</v>
      </c>
      <c r="D556">
        <f>IF(B556=$AB$2,$AC$2,$AC$3)</f>
        <v>1</v>
      </c>
      <c r="E556">
        <f>IF(ISBLANK(C556),0,VLOOKUP(C556,$AE$2:$AF$7,2,0))</f>
        <v>0.5</v>
      </c>
      <c r="F556">
        <f t="shared" si="17"/>
        <v>0.5</v>
      </c>
    </row>
    <row r="557" spans="1:6">
      <c r="A557" s="30">
        <f t="shared" si="18"/>
        <v>43647</v>
      </c>
      <c r="B557" s="32" t="s">
        <v>199</v>
      </c>
      <c r="C557" t="s">
        <v>203</v>
      </c>
      <c r="D557">
        <f>IF(B557=$AB$2,$AC$2,$AC$3)</f>
        <v>1</v>
      </c>
      <c r="E557">
        <f>IF(ISBLANK(C557),0,VLOOKUP(C557,$AE$2:$AF$7,2,0))</f>
        <v>0.5</v>
      </c>
      <c r="F557">
        <f t="shared" si="17"/>
        <v>0.5</v>
      </c>
    </row>
    <row r="558" spans="1:6">
      <c r="A558" s="30">
        <f t="shared" si="18"/>
        <v>43648</v>
      </c>
      <c r="B558" s="32" t="s">
        <v>199</v>
      </c>
      <c r="C558" t="s">
        <v>203</v>
      </c>
      <c r="D558">
        <f>IF(B558=$AB$2,$AC$2,$AC$3)</f>
        <v>1</v>
      </c>
      <c r="E558">
        <f>IF(ISBLANK(C558),0,VLOOKUP(C558,$AE$2:$AF$7,2,0))</f>
        <v>0.5</v>
      </c>
      <c r="F558">
        <f t="shared" si="17"/>
        <v>0.5</v>
      </c>
    </row>
    <row r="559" spans="1:6">
      <c r="A559" s="30">
        <f t="shared" si="18"/>
        <v>43649</v>
      </c>
      <c r="B559" s="32" t="s">
        <v>199</v>
      </c>
      <c r="C559" t="s">
        <v>203</v>
      </c>
      <c r="D559">
        <f>IF(B559=$AB$2,$AC$2,$AC$3)</f>
        <v>1</v>
      </c>
      <c r="E559">
        <f>IF(ISBLANK(C559),0,VLOOKUP(C559,$AE$2:$AF$7,2,0))</f>
        <v>0.5</v>
      </c>
      <c r="F559">
        <f t="shared" si="17"/>
        <v>0.5</v>
      </c>
    </row>
    <row r="560" spans="1:6">
      <c r="A560" s="30">
        <f t="shared" si="18"/>
        <v>43650</v>
      </c>
      <c r="B560" s="32" t="s">
        <v>199</v>
      </c>
      <c r="C560" t="s">
        <v>203</v>
      </c>
      <c r="D560">
        <f>IF(B560=$AB$2,$AC$2,$AC$3)</f>
        <v>1</v>
      </c>
      <c r="E560">
        <f>IF(ISBLANK(C560),0,VLOOKUP(C560,$AE$2:$AF$7,2,0))</f>
        <v>0.5</v>
      </c>
      <c r="F560">
        <f t="shared" si="17"/>
        <v>0.5</v>
      </c>
    </row>
    <row r="561" spans="1:6">
      <c r="A561" s="30">
        <f t="shared" si="18"/>
        <v>43651</v>
      </c>
      <c r="B561" s="32" t="s">
        <v>199</v>
      </c>
      <c r="C561" t="s">
        <v>203</v>
      </c>
      <c r="D561">
        <f>IF(B561=$AB$2,$AC$2,$AC$3)</f>
        <v>1</v>
      </c>
      <c r="E561">
        <f>IF(ISBLANK(C561),0,VLOOKUP(C561,$AE$2:$AF$7,2,0))</f>
        <v>0.5</v>
      </c>
      <c r="F561">
        <f t="shared" si="17"/>
        <v>0.5</v>
      </c>
    </row>
    <row r="562" spans="1:6">
      <c r="A562" s="30">
        <f t="shared" si="18"/>
        <v>43652</v>
      </c>
      <c r="B562" s="32" t="s">
        <v>199</v>
      </c>
      <c r="C562" t="s">
        <v>203</v>
      </c>
      <c r="D562">
        <f>IF(B562=$AB$2,$AC$2,$AC$3)</f>
        <v>1</v>
      </c>
      <c r="E562">
        <f>IF(ISBLANK(C562),0,VLOOKUP(C562,$AE$2:$AF$7,2,0))</f>
        <v>0.5</v>
      </c>
      <c r="F562">
        <f t="shared" si="17"/>
        <v>0.5</v>
      </c>
    </row>
    <row r="563" spans="1:6">
      <c r="A563" s="30">
        <f t="shared" si="18"/>
        <v>43653</v>
      </c>
      <c r="B563" s="32" t="s">
        <v>199</v>
      </c>
      <c r="C563" t="s">
        <v>203</v>
      </c>
      <c r="D563">
        <f>IF(B563=$AB$2,$AC$2,$AC$3)</f>
        <v>1</v>
      </c>
      <c r="E563">
        <f>IF(ISBLANK(C563),0,VLOOKUP(C563,$AE$2:$AF$7,2,0))</f>
        <v>0.5</v>
      </c>
      <c r="F563">
        <f t="shared" si="17"/>
        <v>0.5</v>
      </c>
    </row>
    <row r="564" spans="1:6">
      <c r="A564" s="30">
        <f t="shared" si="18"/>
        <v>43654</v>
      </c>
      <c r="B564" s="32" t="s">
        <v>199</v>
      </c>
      <c r="C564" t="s">
        <v>203</v>
      </c>
      <c r="D564">
        <f>IF(B564=$AB$2,$AC$2,$AC$3)</f>
        <v>1</v>
      </c>
      <c r="E564">
        <f>IF(ISBLANK(C564),0,VLOOKUP(C564,$AE$2:$AF$7,2,0))</f>
        <v>0.5</v>
      </c>
      <c r="F564">
        <f t="shared" si="17"/>
        <v>0.5</v>
      </c>
    </row>
    <row r="565" spans="1:6">
      <c r="A565" s="30">
        <f t="shared" si="18"/>
        <v>43655</v>
      </c>
      <c r="B565" s="32" t="s">
        <v>199</v>
      </c>
      <c r="C565" t="s">
        <v>203</v>
      </c>
      <c r="D565">
        <f>IF(B565=$AB$2,$AC$2,$AC$3)</f>
        <v>1</v>
      </c>
      <c r="E565">
        <f>IF(ISBLANK(C565),0,VLOOKUP(C565,$AE$2:$AF$7,2,0))</f>
        <v>0.5</v>
      </c>
      <c r="F565">
        <f t="shared" si="17"/>
        <v>0.5</v>
      </c>
    </row>
    <row r="566" spans="1:6">
      <c r="A566" s="30">
        <f t="shared" si="18"/>
        <v>43656</v>
      </c>
      <c r="B566" s="32" t="s">
        <v>199</v>
      </c>
      <c r="C566" t="s">
        <v>203</v>
      </c>
      <c r="D566">
        <f>IF(B566=$AB$2,$AC$2,$AC$3)</f>
        <v>1</v>
      </c>
      <c r="E566">
        <f>IF(ISBLANK(C566),0,VLOOKUP(C566,$AE$2:$AF$7,2,0))</f>
        <v>0.5</v>
      </c>
      <c r="F566">
        <f t="shared" si="17"/>
        <v>0.5</v>
      </c>
    </row>
    <row r="567" spans="1:6">
      <c r="A567" s="30">
        <f t="shared" si="18"/>
        <v>43657</v>
      </c>
      <c r="B567" s="32" t="s">
        <v>199</v>
      </c>
      <c r="C567" t="s">
        <v>203</v>
      </c>
      <c r="D567">
        <f>IF(B567=$AB$2,$AC$2,$AC$3)</f>
        <v>1</v>
      </c>
      <c r="E567">
        <f>IF(ISBLANK(C567),0,VLOOKUP(C567,$AE$2:$AF$7,2,0))</f>
        <v>0.5</v>
      </c>
      <c r="F567">
        <f t="shared" si="17"/>
        <v>0.5</v>
      </c>
    </row>
    <row r="568" spans="1:6">
      <c r="A568" s="30">
        <f t="shared" si="18"/>
        <v>43658</v>
      </c>
      <c r="B568" s="32" t="s">
        <v>199</v>
      </c>
      <c r="C568" t="s">
        <v>203</v>
      </c>
      <c r="D568">
        <f>IF(B568=$AB$2,$AC$2,$AC$3)</f>
        <v>1</v>
      </c>
      <c r="E568">
        <f>IF(ISBLANK(C568),0,VLOOKUP(C568,$AE$2:$AF$7,2,0))</f>
        <v>0.5</v>
      </c>
      <c r="F568">
        <f t="shared" si="17"/>
        <v>0.5</v>
      </c>
    </row>
    <row r="569" spans="1:6">
      <c r="A569" s="30">
        <f t="shared" si="18"/>
        <v>43659</v>
      </c>
      <c r="B569" s="32" t="s">
        <v>199</v>
      </c>
      <c r="C569" t="s">
        <v>203</v>
      </c>
      <c r="D569">
        <f>IF(B569=$AB$2,$AC$2,$AC$3)</f>
        <v>1</v>
      </c>
      <c r="E569">
        <f>IF(ISBLANK(C569),0,VLOOKUP(C569,$AE$2:$AF$7,2,0))</f>
        <v>0.5</v>
      </c>
      <c r="F569">
        <f t="shared" si="17"/>
        <v>0.5</v>
      </c>
    </row>
    <row r="570" spans="1:6">
      <c r="A570" s="30">
        <f t="shared" si="18"/>
        <v>43660</v>
      </c>
      <c r="B570" s="32" t="s">
        <v>199</v>
      </c>
      <c r="C570" t="s">
        <v>203</v>
      </c>
      <c r="D570">
        <f>IF(B570=$AB$2,$AC$2,$AC$3)</f>
        <v>1</v>
      </c>
      <c r="E570">
        <f>IF(ISBLANK(C570),0,VLOOKUP(C570,$AE$2:$AF$7,2,0))</f>
        <v>0.5</v>
      </c>
      <c r="F570">
        <f t="shared" si="17"/>
        <v>0.5</v>
      </c>
    </row>
    <row r="571" spans="1:6">
      <c r="A571" s="30">
        <f t="shared" si="18"/>
        <v>43661</v>
      </c>
      <c r="B571" s="32" t="s">
        <v>199</v>
      </c>
      <c r="C571" t="s">
        <v>203</v>
      </c>
      <c r="D571">
        <f>IF(B571=$AB$2,$AC$2,$AC$3)</f>
        <v>1</v>
      </c>
      <c r="E571">
        <f>IF(ISBLANK(C571),0,VLOOKUP(C571,$AE$2:$AF$7,2,0))</f>
        <v>0.5</v>
      </c>
      <c r="F571">
        <f t="shared" si="17"/>
        <v>0.5</v>
      </c>
    </row>
    <row r="572" spans="1:6">
      <c r="A572" s="30">
        <f t="shared" si="18"/>
        <v>43662</v>
      </c>
      <c r="B572" s="32" t="s">
        <v>199</v>
      </c>
      <c r="C572" t="s">
        <v>203</v>
      </c>
      <c r="D572">
        <f>IF(B572=$AB$2,$AC$2,$AC$3)</f>
        <v>1</v>
      </c>
      <c r="E572">
        <f>IF(ISBLANK(C572),0,VLOOKUP(C572,$AE$2:$AF$7,2,0))</f>
        <v>0.5</v>
      </c>
      <c r="F572">
        <f t="shared" si="17"/>
        <v>0.5</v>
      </c>
    </row>
    <row r="573" spans="1:6">
      <c r="A573" s="30">
        <f>A572+1</f>
        <v>43663</v>
      </c>
      <c r="B573" s="32" t="s">
        <v>199</v>
      </c>
      <c r="C573" t="s">
        <v>203</v>
      </c>
      <c r="D573">
        <f>IF(B573=$AB$2,$AC$2,$AC$3)</f>
        <v>1</v>
      </c>
      <c r="E573">
        <f>IF(ISBLANK(C573),0,VLOOKUP(C573,$AE$2:$AF$7,2,0))</f>
        <v>0.5</v>
      </c>
      <c r="F573">
        <f t="shared" si="17"/>
        <v>0.5</v>
      </c>
    </row>
    <row r="574" spans="1:6">
      <c r="A574" s="30">
        <f t="shared" ref="A574:A637" si="19">A573+1</f>
        <v>43664</v>
      </c>
      <c r="B574" s="32" t="s">
        <v>199</v>
      </c>
      <c r="C574" t="s">
        <v>203</v>
      </c>
      <c r="D574">
        <f>IF(B574=$AB$2,$AC$2,$AC$3)</f>
        <v>1</v>
      </c>
      <c r="E574">
        <f>IF(ISBLANK(C574),0,VLOOKUP(C574,$AE$2:$AF$7,2,0))</f>
        <v>0.5</v>
      </c>
      <c r="F574">
        <f t="shared" si="17"/>
        <v>0.5</v>
      </c>
    </row>
    <row r="575" spans="1:6">
      <c r="A575" s="30">
        <f t="shared" si="19"/>
        <v>43665</v>
      </c>
      <c r="B575" s="32" t="s">
        <v>199</v>
      </c>
      <c r="C575" t="s">
        <v>203</v>
      </c>
      <c r="D575">
        <f>IF(B575=$AB$2,$AC$2,$AC$3)</f>
        <v>1</v>
      </c>
      <c r="E575">
        <f>IF(ISBLANK(C575),0,VLOOKUP(C575,$AE$2:$AF$7,2,0))</f>
        <v>0.5</v>
      </c>
      <c r="F575">
        <f t="shared" si="17"/>
        <v>0.5</v>
      </c>
    </row>
    <row r="576" spans="1:6">
      <c r="A576" s="30">
        <f t="shared" si="19"/>
        <v>43666</v>
      </c>
      <c r="B576" s="32" t="s">
        <v>199</v>
      </c>
      <c r="C576" t="s">
        <v>203</v>
      </c>
      <c r="D576">
        <f>IF(B576=$AB$2,$AC$2,$AC$3)</f>
        <v>1</v>
      </c>
      <c r="E576">
        <f>IF(ISBLANK(C576),0,VLOOKUP(C576,$AE$2:$AF$7,2,0))</f>
        <v>0.5</v>
      </c>
      <c r="F576">
        <f t="shared" si="17"/>
        <v>0.5</v>
      </c>
    </row>
    <row r="577" spans="1:6">
      <c r="A577" s="30">
        <f t="shared" si="19"/>
        <v>43667</v>
      </c>
      <c r="B577" s="32" t="s">
        <v>199</v>
      </c>
      <c r="C577" t="s">
        <v>203</v>
      </c>
      <c r="D577">
        <f>IF(B577=$AB$2,$AC$2,$AC$3)</f>
        <v>1</v>
      </c>
      <c r="E577">
        <f>IF(ISBLANK(C577),0,VLOOKUP(C577,$AE$2:$AF$7,2,0))</f>
        <v>0.5</v>
      </c>
      <c r="F577">
        <f t="shared" si="17"/>
        <v>0.5</v>
      </c>
    </row>
    <row r="578" spans="1:6">
      <c r="A578" s="30">
        <f t="shared" si="19"/>
        <v>43668</v>
      </c>
      <c r="B578" s="32" t="s">
        <v>199</v>
      </c>
      <c r="C578" t="s">
        <v>203</v>
      </c>
      <c r="D578">
        <f>IF(B578=$AB$2,$AC$2,$AC$3)</f>
        <v>1</v>
      </c>
      <c r="E578">
        <f>IF(ISBLANK(C578),0,VLOOKUP(C578,$AE$2:$AF$7,2,0))</f>
        <v>0.5</v>
      </c>
      <c r="F578">
        <f t="shared" si="17"/>
        <v>0.5</v>
      </c>
    </row>
    <row r="579" spans="1:6">
      <c r="A579" s="30">
        <f t="shared" si="19"/>
        <v>43669</v>
      </c>
      <c r="B579" s="32" t="s">
        <v>199</v>
      </c>
      <c r="C579" t="s">
        <v>203</v>
      </c>
      <c r="D579">
        <f>IF(B579=$AB$2,$AC$2,$AC$3)</f>
        <v>1</v>
      </c>
      <c r="E579">
        <f>IF(ISBLANK(C579),0,VLOOKUP(C579,$AE$2:$AF$7,2,0))</f>
        <v>0.5</v>
      </c>
      <c r="F579">
        <f t="shared" ref="F579:F642" si="20">D579*E579</f>
        <v>0.5</v>
      </c>
    </row>
    <row r="580" spans="1:6">
      <c r="A580" s="30">
        <f t="shared" si="19"/>
        <v>43670</v>
      </c>
      <c r="B580" s="32" t="s">
        <v>199</v>
      </c>
      <c r="C580" t="s">
        <v>203</v>
      </c>
      <c r="D580">
        <f>IF(B580=$AB$2,$AC$2,$AC$3)</f>
        <v>1</v>
      </c>
      <c r="E580">
        <f>IF(ISBLANK(C580),0,VLOOKUP(C580,$AE$2:$AF$7,2,0))</f>
        <v>0.5</v>
      </c>
      <c r="F580">
        <f t="shared" si="20"/>
        <v>0.5</v>
      </c>
    </row>
    <row r="581" spans="1:6">
      <c r="A581" s="30">
        <f t="shared" si="19"/>
        <v>43671</v>
      </c>
      <c r="B581" s="32" t="s">
        <v>199</v>
      </c>
      <c r="C581" t="s">
        <v>203</v>
      </c>
      <c r="D581">
        <f>IF(B581=$AB$2,$AC$2,$AC$3)</f>
        <v>1</v>
      </c>
      <c r="E581">
        <f>IF(ISBLANK(C581),0,VLOOKUP(C581,$AE$2:$AF$7,2,0))</f>
        <v>0.5</v>
      </c>
      <c r="F581">
        <f t="shared" si="20"/>
        <v>0.5</v>
      </c>
    </row>
    <row r="582" spans="1:6">
      <c r="A582" s="30">
        <f t="shared" si="19"/>
        <v>43672</v>
      </c>
      <c r="B582" s="32" t="s">
        <v>199</v>
      </c>
      <c r="C582" t="s">
        <v>203</v>
      </c>
      <c r="D582">
        <f>IF(B582=$AB$2,$AC$2,$AC$3)</f>
        <v>1</v>
      </c>
      <c r="E582">
        <f>IF(ISBLANK(C582),0,VLOOKUP(C582,$AE$2:$AF$7,2,0))</f>
        <v>0.5</v>
      </c>
      <c r="F582">
        <f t="shared" si="20"/>
        <v>0.5</v>
      </c>
    </row>
    <row r="583" spans="1:6">
      <c r="A583" s="30">
        <f t="shared" si="19"/>
        <v>43673</v>
      </c>
      <c r="B583" s="32" t="s">
        <v>199</v>
      </c>
      <c r="C583" t="s">
        <v>203</v>
      </c>
      <c r="D583">
        <f>IF(B583=$AB$2,$AC$2,$AC$3)</f>
        <v>1</v>
      </c>
      <c r="E583">
        <f>IF(ISBLANK(C583),0,VLOOKUP(C583,$AE$2:$AF$7,2,0))</f>
        <v>0.5</v>
      </c>
      <c r="F583">
        <f t="shared" si="20"/>
        <v>0.5</v>
      </c>
    </row>
    <row r="584" spans="1:6">
      <c r="A584" s="30">
        <f t="shared" si="19"/>
        <v>43674</v>
      </c>
      <c r="B584" s="32" t="s">
        <v>199</v>
      </c>
      <c r="C584" t="s">
        <v>203</v>
      </c>
      <c r="D584">
        <f>IF(B584=$AB$2,$AC$2,$AC$3)</f>
        <v>1</v>
      </c>
      <c r="E584">
        <f>IF(ISBLANK(C584),0,VLOOKUP(C584,$AE$2:$AF$7,2,0))</f>
        <v>0.5</v>
      </c>
      <c r="F584">
        <f t="shared" si="20"/>
        <v>0.5</v>
      </c>
    </row>
    <row r="585" spans="1:6">
      <c r="A585" s="30">
        <f t="shared" si="19"/>
        <v>43675</v>
      </c>
      <c r="B585" s="32" t="s">
        <v>199</v>
      </c>
      <c r="C585" t="s">
        <v>203</v>
      </c>
      <c r="D585">
        <f>IF(B585=$AB$2,$AC$2,$AC$3)</f>
        <v>1</v>
      </c>
      <c r="E585">
        <f>IF(ISBLANK(C585),0,VLOOKUP(C585,$AE$2:$AF$7,2,0))</f>
        <v>0.5</v>
      </c>
      <c r="F585">
        <f t="shared" si="20"/>
        <v>0.5</v>
      </c>
    </row>
    <row r="586" spans="1:6">
      <c r="A586" s="30">
        <f t="shared" si="19"/>
        <v>43676</v>
      </c>
      <c r="B586" s="32" t="s">
        <v>199</v>
      </c>
      <c r="C586" t="s">
        <v>203</v>
      </c>
      <c r="D586">
        <f>IF(B586=$AB$2,$AC$2,$AC$3)</f>
        <v>1</v>
      </c>
      <c r="E586">
        <f>IF(ISBLANK(C586),0,VLOOKUP(C586,$AE$2:$AF$7,2,0))</f>
        <v>0.5</v>
      </c>
      <c r="F586">
        <f t="shared" si="20"/>
        <v>0.5</v>
      </c>
    </row>
    <row r="587" spans="1:6">
      <c r="A587" s="30">
        <f t="shared" si="19"/>
        <v>43677</v>
      </c>
      <c r="B587" s="32" t="s">
        <v>199</v>
      </c>
      <c r="C587" t="s">
        <v>203</v>
      </c>
      <c r="D587">
        <f>IF(B587=$AB$2,$AC$2,$AC$3)</f>
        <v>1</v>
      </c>
      <c r="E587">
        <f>IF(ISBLANK(C587),0,VLOOKUP(C587,$AE$2:$AF$7,2,0))</f>
        <v>0.5</v>
      </c>
      <c r="F587">
        <f t="shared" si="20"/>
        <v>0.5</v>
      </c>
    </row>
    <row r="588" spans="1:6">
      <c r="A588" s="30">
        <f t="shared" si="19"/>
        <v>43678</v>
      </c>
      <c r="B588" s="32" t="s">
        <v>199</v>
      </c>
      <c r="C588" t="s">
        <v>203</v>
      </c>
      <c r="D588">
        <f>IF(B588=$AB$2,$AC$2,$AC$3)</f>
        <v>1</v>
      </c>
      <c r="E588">
        <f>IF(ISBLANK(C588),0,VLOOKUP(C588,$AE$2:$AF$7,2,0))</f>
        <v>0.5</v>
      </c>
      <c r="F588">
        <f t="shared" si="20"/>
        <v>0.5</v>
      </c>
    </row>
    <row r="589" spans="1:6">
      <c r="A589" s="30">
        <f t="shared" si="19"/>
        <v>43679</v>
      </c>
      <c r="B589" s="32" t="s">
        <v>199</v>
      </c>
      <c r="C589" t="s">
        <v>203</v>
      </c>
      <c r="D589">
        <f>IF(B589=$AB$2,$AC$2,$AC$3)</f>
        <v>1</v>
      </c>
      <c r="E589">
        <f>IF(ISBLANK(C589),0,VLOOKUP(C589,$AE$2:$AF$7,2,0))</f>
        <v>0.5</v>
      </c>
      <c r="F589">
        <f t="shared" si="20"/>
        <v>0.5</v>
      </c>
    </row>
    <row r="590" spans="1:6">
      <c r="A590" s="30">
        <f t="shared" si="19"/>
        <v>43680</v>
      </c>
      <c r="B590" s="32" t="s">
        <v>199</v>
      </c>
      <c r="C590" t="s">
        <v>203</v>
      </c>
      <c r="D590">
        <f>IF(B590=$AB$2,$AC$2,$AC$3)</f>
        <v>1</v>
      </c>
      <c r="E590">
        <f>IF(ISBLANK(C590),0,VLOOKUP(C590,$AE$2:$AF$7,2,0))</f>
        <v>0.5</v>
      </c>
      <c r="F590">
        <f t="shared" si="20"/>
        <v>0.5</v>
      </c>
    </row>
    <row r="591" spans="1:6">
      <c r="A591" s="30">
        <f t="shared" si="19"/>
        <v>43681</v>
      </c>
      <c r="B591" s="32" t="s">
        <v>199</v>
      </c>
      <c r="C591" t="s">
        <v>203</v>
      </c>
      <c r="D591">
        <f>IF(B591=$AB$2,$AC$2,$AC$3)</f>
        <v>1</v>
      </c>
      <c r="E591">
        <f>IF(ISBLANK(C591),0,VLOOKUP(C591,$AE$2:$AF$7,2,0))</f>
        <v>0.5</v>
      </c>
      <c r="F591">
        <f t="shared" si="20"/>
        <v>0.5</v>
      </c>
    </row>
    <row r="592" spans="1:6">
      <c r="A592" s="30">
        <f t="shared" si="19"/>
        <v>43682</v>
      </c>
      <c r="B592" s="32" t="s">
        <v>199</v>
      </c>
      <c r="C592" t="s">
        <v>203</v>
      </c>
      <c r="D592">
        <f>IF(B592=$AB$2,$AC$2,$AC$3)</f>
        <v>1</v>
      </c>
      <c r="E592">
        <f>IF(ISBLANK(C592),0,VLOOKUP(C592,$AE$2:$AF$7,2,0))</f>
        <v>0.5</v>
      </c>
      <c r="F592">
        <f t="shared" si="20"/>
        <v>0.5</v>
      </c>
    </row>
    <row r="593" spans="1:6">
      <c r="A593" s="30">
        <f t="shared" si="19"/>
        <v>43683</v>
      </c>
      <c r="B593" s="32" t="s">
        <v>199</v>
      </c>
      <c r="C593" t="s">
        <v>203</v>
      </c>
      <c r="D593">
        <f>IF(B593=$AB$2,$AC$2,$AC$3)</f>
        <v>1</v>
      </c>
      <c r="E593">
        <f>IF(ISBLANK(C593),0,VLOOKUP(C593,$AE$2:$AF$7,2,0))</f>
        <v>0.5</v>
      </c>
      <c r="F593">
        <f t="shared" si="20"/>
        <v>0.5</v>
      </c>
    </row>
    <row r="594" spans="1:6">
      <c r="A594" s="30">
        <f t="shared" si="19"/>
        <v>43684</v>
      </c>
      <c r="B594" s="32" t="s">
        <v>199</v>
      </c>
      <c r="C594" t="s">
        <v>203</v>
      </c>
      <c r="D594">
        <f>IF(B594=$AB$2,$AC$2,$AC$3)</f>
        <v>1</v>
      </c>
      <c r="E594">
        <f>IF(ISBLANK(C594),0,VLOOKUP(C594,$AE$2:$AF$7,2,0))</f>
        <v>0.5</v>
      </c>
      <c r="F594">
        <f t="shared" si="20"/>
        <v>0.5</v>
      </c>
    </row>
    <row r="595" spans="1:6">
      <c r="A595" s="30">
        <f t="shared" si="19"/>
        <v>43685</v>
      </c>
      <c r="B595" s="32" t="s">
        <v>199</v>
      </c>
      <c r="C595" t="s">
        <v>203</v>
      </c>
      <c r="D595">
        <f>IF(B595=$AB$2,$AC$2,$AC$3)</f>
        <v>1</v>
      </c>
      <c r="E595">
        <f>IF(ISBLANK(C595),0,VLOOKUP(C595,$AE$2:$AF$7,2,0))</f>
        <v>0.5</v>
      </c>
      <c r="F595">
        <f t="shared" si="20"/>
        <v>0.5</v>
      </c>
    </row>
    <row r="596" spans="1:6">
      <c r="A596" s="30">
        <f t="shared" si="19"/>
        <v>43686</v>
      </c>
      <c r="B596" s="32" t="s">
        <v>199</v>
      </c>
      <c r="C596" t="s">
        <v>203</v>
      </c>
      <c r="D596">
        <f>IF(B596=$AB$2,$AC$2,$AC$3)</f>
        <v>1</v>
      </c>
      <c r="E596">
        <f>IF(ISBLANK(C596),0,VLOOKUP(C596,$AE$2:$AF$7,2,0))</f>
        <v>0.5</v>
      </c>
      <c r="F596">
        <f t="shared" si="20"/>
        <v>0.5</v>
      </c>
    </row>
    <row r="597" spans="1:6">
      <c r="A597" s="30">
        <f t="shared" si="19"/>
        <v>43687</v>
      </c>
      <c r="B597" s="32" t="s">
        <v>199</v>
      </c>
      <c r="C597" t="s">
        <v>203</v>
      </c>
      <c r="D597">
        <f>IF(B597=$AB$2,$AC$2,$AC$3)</f>
        <v>1</v>
      </c>
      <c r="E597">
        <f>IF(ISBLANK(C597),0,VLOOKUP(C597,$AE$2:$AF$7,2,0))</f>
        <v>0.5</v>
      </c>
      <c r="F597">
        <f t="shared" si="20"/>
        <v>0.5</v>
      </c>
    </row>
    <row r="598" spans="1:6">
      <c r="A598" s="30">
        <f t="shared" si="19"/>
        <v>43688</v>
      </c>
      <c r="B598" s="32" t="s">
        <v>199</v>
      </c>
      <c r="C598" t="s">
        <v>203</v>
      </c>
      <c r="D598">
        <f>IF(B598=$AB$2,$AC$2,$AC$3)</f>
        <v>1</v>
      </c>
      <c r="E598">
        <f>IF(ISBLANK(C598),0,VLOOKUP(C598,$AE$2:$AF$7,2,0))</f>
        <v>0.5</v>
      </c>
      <c r="F598">
        <f t="shared" si="20"/>
        <v>0.5</v>
      </c>
    </row>
    <row r="599" spans="1:6">
      <c r="A599" s="30">
        <f t="shared" si="19"/>
        <v>43689</v>
      </c>
      <c r="B599" s="32" t="s">
        <v>199</v>
      </c>
      <c r="C599" t="s">
        <v>203</v>
      </c>
      <c r="D599">
        <f>IF(B599=$AB$2,$AC$2,$AC$3)</f>
        <v>1</v>
      </c>
      <c r="E599">
        <f>IF(ISBLANK(C599),0,VLOOKUP(C599,$AE$2:$AF$7,2,0))</f>
        <v>0.5</v>
      </c>
      <c r="F599">
        <f t="shared" si="20"/>
        <v>0.5</v>
      </c>
    </row>
    <row r="600" spans="1:6">
      <c r="A600" s="30">
        <f t="shared" si="19"/>
        <v>43690</v>
      </c>
      <c r="B600" s="32" t="s">
        <v>199</v>
      </c>
      <c r="C600" t="s">
        <v>203</v>
      </c>
      <c r="D600">
        <f>IF(B600=$AB$2,$AC$2,$AC$3)</f>
        <v>1</v>
      </c>
      <c r="E600">
        <f>IF(ISBLANK(C600),0,VLOOKUP(C600,$AE$2:$AF$7,2,0))</f>
        <v>0.5</v>
      </c>
      <c r="F600">
        <f t="shared" si="20"/>
        <v>0.5</v>
      </c>
    </row>
    <row r="601" spans="1:6">
      <c r="A601" s="30">
        <f t="shared" si="19"/>
        <v>43691</v>
      </c>
      <c r="B601" s="32" t="s">
        <v>199</v>
      </c>
      <c r="C601" t="s">
        <v>203</v>
      </c>
      <c r="D601">
        <f>IF(B601=$AB$2,$AC$2,$AC$3)</f>
        <v>1</v>
      </c>
      <c r="E601">
        <f>IF(ISBLANK(C601),0,VLOOKUP(C601,$AE$2:$AF$7,2,0))</f>
        <v>0.5</v>
      </c>
      <c r="F601">
        <f t="shared" si="20"/>
        <v>0.5</v>
      </c>
    </row>
    <row r="602" spans="1:6">
      <c r="A602" s="30">
        <f t="shared" si="19"/>
        <v>43692</v>
      </c>
      <c r="B602" s="32" t="s">
        <v>199</v>
      </c>
      <c r="C602" t="s">
        <v>203</v>
      </c>
      <c r="D602">
        <f>IF(B602=$AB$2,$AC$2,$AC$3)</f>
        <v>1</v>
      </c>
      <c r="E602">
        <f>IF(ISBLANK(C602),0,VLOOKUP(C602,$AE$2:$AF$7,2,0))</f>
        <v>0.5</v>
      </c>
      <c r="F602">
        <f t="shared" si="20"/>
        <v>0.5</v>
      </c>
    </row>
    <row r="603" spans="1:6">
      <c r="A603" s="30">
        <f t="shared" si="19"/>
        <v>43693</v>
      </c>
      <c r="B603" s="32" t="s">
        <v>199</v>
      </c>
      <c r="C603" t="s">
        <v>203</v>
      </c>
      <c r="D603">
        <f>IF(B603=$AB$2,$AC$2,$AC$3)</f>
        <v>1</v>
      </c>
      <c r="E603">
        <f>IF(ISBLANK(C603),0,VLOOKUP(C603,$AE$2:$AF$7,2,0))</f>
        <v>0.5</v>
      </c>
      <c r="F603">
        <f t="shared" si="20"/>
        <v>0.5</v>
      </c>
    </row>
    <row r="604" spans="1:6">
      <c r="A604" s="30">
        <f t="shared" si="19"/>
        <v>43694</v>
      </c>
      <c r="B604" s="32" t="s">
        <v>199</v>
      </c>
      <c r="C604" t="s">
        <v>203</v>
      </c>
      <c r="D604">
        <f>IF(B604=$AB$2,$AC$2,$AC$3)</f>
        <v>1</v>
      </c>
      <c r="E604">
        <f>IF(ISBLANK(C604),0,VLOOKUP(C604,$AE$2:$AF$7,2,0))</f>
        <v>0.5</v>
      </c>
      <c r="F604">
        <f t="shared" si="20"/>
        <v>0.5</v>
      </c>
    </row>
    <row r="605" spans="1:6">
      <c r="A605" s="30">
        <f t="shared" si="19"/>
        <v>43695</v>
      </c>
      <c r="B605" s="32" t="s">
        <v>199</v>
      </c>
      <c r="C605" t="s">
        <v>203</v>
      </c>
      <c r="D605">
        <f>IF(B605=$AB$2,$AC$2,$AC$3)</f>
        <v>1</v>
      </c>
      <c r="E605">
        <f>IF(ISBLANK(C605),0,VLOOKUP(C605,$AE$2:$AF$7,2,0))</f>
        <v>0.5</v>
      </c>
      <c r="F605">
        <f t="shared" si="20"/>
        <v>0.5</v>
      </c>
    </row>
    <row r="606" spans="1:6">
      <c r="A606" s="30">
        <f t="shared" si="19"/>
        <v>43696</v>
      </c>
      <c r="B606" s="32" t="s">
        <v>199</v>
      </c>
      <c r="C606" t="s">
        <v>203</v>
      </c>
      <c r="D606">
        <f>IF(B606=$AB$2,$AC$2,$AC$3)</f>
        <v>1</v>
      </c>
      <c r="E606">
        <f>IF(ISBLANK(C606),0,VLOOKUP(C606,$AE$2:$AF$7,2,0))</f>
        <v>0.5</v>
      </c>
      <c r="F606">
        <f t="shared" si="20"/>
        <v>0.5</v>
      </c>
    </row>
    <row r="607" spans="1:6">
      <c r="A607" s="30">
        <f t="shared" si="19"/>
        <v>43697</v>
      </c>
      <c r="B607" s="32" t="s">
        <v>199</v>
      </c>
      <c r="C607" t="s">
        <v>203</v>
      </c>
      <c r="D607">
        <f>IF(B607=$AB$2,$AC$2,$AC$3)</f>
        <v>1</v>
      </c>
      <c r="E607">
        <f>IF(ISBLANK(C607),0,VLOOKUP(C607,$AE$2:$AF$7,2,0))</f>
        <v>0.5</v>
      </c>
      <c r="F607">
        <f t="shared" si="20"/>
        <v>0.5</v>
      </c>
    </row>
    <row r="608" spans="1:6">
      <c r="A608" s="30">
        <f t="shared" si="19"/>
        <v>43698</v>
      </c>
      <c r="B608" s="32" t="s">
        <v>199</v>
      </c>
      <c r="C608" t="s">
        <v>203</v>
      </c>
      <c r="D608">
        <f>IF(B608=$AB$2,$AC$2,$AC$3)</f>
        <v>1</v>
      </c>
      <c r="E608">
        <f>IF(ISBLANK(C608),0,VLOOKUP(C608,$AE$2:$AF$7,2,0))</f>
        <v>0.5</v>
      </c>
      <c r="F608">
        <f t="shared" si="20"/>
        <v>0.5</v>
      </c>
    </row>
    <row r="609" spans="1:6">
      <c r="A609" s="30">
        <f t="shared" si="19"/>
        <v>43699</v>
      </c>
      <c r="B609" s="32" t="s">
        <v>199</v>
      </c>
      <c r="C609" t="s">
        <v>203</v>
      </c>
      <c r="D609">
        <f>IF(B609=$AB$2,$AC$2,$AC$3)</f>
        <v>1</v>
      </c>
      <c r="E609">
        <f>IF(ISBLANK(C609),0,VLOOKUP(C609,$AE$2:$AF$7,2,0))</f>
        <v>0.5</v>
      </c>
      <c r="F609">
        <f t="shared" si="20"/>
        <v>0.5</v>
      </c>
    </row>
    <row r="610" spans="1:6">
      <c r="A610" s="30">
        <f t="shared" si="19"/>
        <v>43700</v>
      </c>
      <c r="B610" s="32" t="s">
        <v>199</v>
      </c>
      <c r="C610" t="s">
        <v>203</v>
      </c>
      <c r="D610">
        <f>IF(B610=$AB$2,$AC$2,$AC$3)</f>
        <v>1</v>
      </c>
      <c r="E610">
        <f>IF(ISBLANK(C610),0,VLOOKUP(C610,$AE$2:$AF$7,2,0))</f>
        <v>0.5</v>
      </c>
      <c r="F610">
        <f t="shared" si="20"/>
        <v>0.5</v>
      </c>
    </row>
    <row r="611" spans="1:6">
      <c r="A611" s="30">
        <f t="shared" si="19"/>
        <v>43701</v>
      </c>
      <c r="B611" s="32" t="s">
        <v>199</v>
      </c>
      <c r="C611" t="s">
        <v>203</v>
      </c>
      <c r="D611">
        <f>IF(B611=$AB$2,$AC$2,$AC$3)</f>
        <v>1</v>
      </c>
      <c r="E611">
        <f>IF(ISBLANK(C611),0,VLOOKUP(C611,$AE$2:$AF$7,2,0))</f>
        <v>0.5</v>
      </c>
      <c r="F611">
        <f t="shared" si="20"/>
        <v>0.5</v>
      </c>
    </row>
    <row r="612" spans="1:6">
      <c r="A612" s="30">
        <f t="shared" si="19"/>
        <v>43702</v>
      </c>
      <c r="B612" s="32" t="s">
        <v>199</v>
      </c>
      <c r="C612" t="s">
        <v>203</v>
      </c>
      <c r="D612">
        <f>IF(B612=$AB$2,$AC$2,$AC$3)</f>
        <v>1</v>
      </c>
      <c r="E612">
        <f>IF(ISBLANK(C612),0,VLOOKUP(C612,$AE$2:$AF$7,2,0))</f>
        <v>0.5</v>
      </c>
      <c r="F612">
        <f t="shared" si="20"/>
        <v>0.5</v>
      </c>
    </row>
    <row r="613" spans="1:6">
      <c r="A613" s="30">
        <f t="shared" si="19"/>
        <v>43703</v>
      </c>
      <c r="B613" s="32" t="s">
        <v>199</v>
      </c>
      <c r="C613" t="s">
        <v>203</v>
      </c>
      <c r="D613">
        <f>IF(B613=$AB$2,$AC$2,$AC$3)</f>
        <v>1</v>
      </c>
      <c r="E613">
        <f>IF(ISBLANK(C613),0,VLOOKUP(C613,$AE$2:$AF$7,2,0))</f>
        <v>0.5</v>
      </c>
      <c r="F613">
        <f t="shared" si="20"/>
        <v>0.5</v>
      </c>
    </row>
    <row r="614" spans="1:6">
      <c r="A614" s="30">
        <f t="shared" si="19"/>
        <v>43704</v>
      </c>
      <c r="B614" s="32" t="s">
        <v>199</v>
      </c>
      <c r="C614" t="s">
        <v>203</v>
      </c>
      <c r="D614">
        <f>IF(B614=$AB$2,$AC$2,$AC$3)</f>
        <v>1</v>
      </c>
      <c r="E614">
        <f>IF(ISBLANK(C614),0,VLOOKUP(C614,$AE$2:$AF$7,2,0))</f>
        <v>0.5</v>
      </c>
      <c r="F614">
        <f t="shared" si="20"/>
        <v>0.5</v>
      </c>
    </row>
    <row r="615" spans="1:6">
      <c r="A615" s="30">
        <f t="shared" si="19"/>
        <v>43705</v>
      </c>
      <c r="B615" s="32" t="s">
        <v>199</v>
      </c>
      <c r="C615" t="s">
        <v>203</v>
      </c>
      <c r="D615">
        <f>IF(B615=$AB$2,$AC$2,$AC$3)</f>
        <v>1</v>
      </c>
      <c r="E615">
        <f>IF(ISBLANK(C615),0,VLOOKUP(C615,$AE$2:$AF$7,2,0))</f>
        <v>0.5</v>
      </c>
      <c r="F615">
        <f t="shared" si="20"/>
        <v>0.5</v>
      </c>
    </row>
    <row r="616" spans="1:6">
      <c r="A616" s="30">
        <f t="shared" si="19"/>
        <v>43706</v>
      </c>
      <c r="B616" s="32" t="s">
        <v>199</v>
      </c>
      <c r="C616" t="s">
        <v>203</v>
      </c>
      <c r="D616">
        <f>IF(B616=$AB$2,$AC$2,$AC$3)</f>
        <v>1</v>
      </c>
      <c r="E616">
        <f>IF(ISBLANK(C616),0,VLOOKUP(C616,$AE$2:$AF$7,2,0))</f>
        <v>0.5</v>
      </c>
      <c r="F616">
        <f t="shared" si="20"/>
        <v>0.5</v>
      </c>
    </row>
    <row r="617" spans="1:6">
      <c r="A617" s="30">
        <f t="shared" si="19"/>
        <v>43707</v>
      </c>
      <c r="B617" s="32" t="s">
        <v>199</v>
      </c>
      <c r="C617" t="s">
        <v>203</v>
      </c>
      <c r="D617">
        <f>IF(B617=$AB$2,$AC$2,$AC$3)</f>
        <v>1</v>
      </c>
      <c r="E617">
        <f>IF(ISBLANK(C617),0,VLOOKUP(C617,$AE$2:$AF$7,2,0))</f>
        <v>0.5</v>
      </c>
      <c r="F617">
        <f t="shared" si="20"/>
        <v>0.5</v>
      </c>
    </row>
    <row r="618" spans="1:6">
      <c r="A618" s="30">
        <f t="shared" si="19"/>
        <v>43708</v>
      </c>
      <c r="B618" s="32" t="s">
        <v>199</v>
      </c>
      <c r="C618" t="s">
        <v>203</v>
      </c>
      <c r="D618">
        <f>IF(B618=$AB$2,$AC$2,$AC$3)</f>
        <v>1</v>
      </c>
      <c r="E618">
        <f>IF(ISBLANK(C618),0,VLOOKUP(C618,$AE$2:$AF$7,2,0))</f>
        <v>0.5</v>
      </c>
      <c r="F618">
        <f t="shared" si="20"/>
        <v>0.5</v>
      </c>
    </row>
    <row r="619" spans="1:6">
      <c r="A619" s="30">
        <f t="shared" si="19"/>
        <v>43709</v>
      </c>
      <c r="B619" s="32" t="s">
        <v>199</v>
      </c>
      <c r="C619" t="s">
        <v>203</v>
      </c>
      <c r="D619">
        <f>IF(B619=$AB$2,$AC$2,$AC$3)</f>
        <v>1</v>
      </c>
      <c r="E619">
        <f>IF(ISBLANK(C619),0,VLOOKUP(C619,$AE$2:$AF$7,2,0))</f>
        <v>0.5</v>
      </c>
      <c r="F619">
        <f t="shared" si="20"/>
        <v>0.5</v>
      </c>
    </row>
    <row r="620" spans="1:6">
      <c r="A620" s="30">
        <f t="shared" si="19"/>
        <v>43710</v>
      </c>
      <c r="B620" s="32" t="s">
        <v>199</v>
      </c>
      <c r="C620" t="s">
        <v>203</v>
      </c>
      <c r="D620">
        <f>IF(B620=$AB$2,$AC$2,$AC$3)</f>
        <v>1</v>
      </c>
      <c r="E620">
        <f>IF(ISBLANK(C620),0,VLOOKUP(C620,$AE$2:$AF$7,2,0))</f>
        <v>0.5</v>
      </c>
      <c r="F620">
        <f t="shared" si="20"/>
        <v>0.5</v>
      </c>
    </row>
    <row r="621" spans="1:6">
      <c r="A621" s="30">
        <f t="shared" si="19"/>
        <v>43711</v>
      </c>
      <c r="B621" s="32" t="s">
        <v>199</v>
      </c>
      <c r="C621" t="s">
        <v>203</v>
      </c>
      <c r="D621">
        <f>IF(B621=$AB$2,$AC$2,$AC$3)</f>
        <v>1</v>
      </c>
      <c r="E621">
        <f>IF(ISBLANK(C621),0,VLOOKUP(C621,$AE$2:$AF$7,2,0))</f>
        <v>0.5</v>
      </c>
      <c r="F621">
        <f t="shared" si="20"/>
        <v>0.5</v>
      </c>
    </row>
    <row r="622" spans="1:6">
      <c r="A622" s="30">
        <f t="shared" si="19"/>
        <v>43712</v>
      </c>
      <c r="B622" s="32" t="s">
        <v>199</v>
      </c>
      <c r="C622" t="s">
        <v>203</v>
      </c>
      <c r="D622">
        <f>IF(B622=$AB$2,$AC$2,$AC$3)</f>
        <v>1</v>
      </c>
      <c r="E622">
        <f>IF(ISBLANK(C622),0,VLOOKUP(C622,$AE$2:$AF$7,2,0))</f>
        <v>0.5</v>
      </c>
      <c r="F622">
        <f t="shared" si="20"/>
        <v>0.5</v>
      </c>
    </row>
    <row r="623" spans="1:6">
      <c r="A623" s="30">
        <f t="shared" si="19"/>
        <v>43713</v>
      </c>
      <c r="B623" s="32" t="s">
        <v>199</v>
      </c>
      <c r="C623" t="s">
        <v>203</v>
      </c>
      <c r="D623">
        <f>IF(B623=$AB$2,$AC$2,$AC$3)</f>
        <v>1</v>
      </c>
      <c r="E623">
        <f>IF(ISBLANK(C623),0,VLOOKUP(C623,$AE$2:$AF$7,2,0))</f>
        <v>0.5</v>
      </c>
      <c r="F623">
        <f t="shared" si="20"/>
        <v>0.5</v>
      </c>
    </row>
    <row r="624" spans="1:6">
      <c r="A624" s="30">
        <f t="shared" si="19"/>
        <v>43714</v>
      </c>
      <c r="B624" s="32" t="s">
        <v>199</v>
      </c>
      <c r="C624" t="s">
        <v>203</v>
      </c>
      <c r="D624">
        <f>IF(B624=$AB$2,$AC$2,$AC$3)</f>
        <v>1</v>
      </c>
      <c r="E624">
        <f>IF(ISBLANK(C624),0,VLOOKUP(C624,$AE$2:$AF$7,2,0))</f>
        <v>0.5</v>
      </c>
      <c r="F624">
        <f t="shared" si="20"/>
        <v>0.5</v>
      </c>
    </row>
    <row r="625" spans="1:6">
      <c r="A625" s="30">
        <f t="shared" si="19"/>
        <v>43715</v>
      </c>
      <c r="B625" s="32" t="s">
        <v>199</v>
      </c>
      <c r="C625" t="s">
        <v>203</v>
      </c>
      <c r="D625">
        <f>IF(B625=$AB$2,$AC$2,$AC$3)</f>
        <v>1</v>
      </c>
      <c r="E625">
        <f>IF(ISBLANK(C625),0,VLOOKUP(C625,$AE$2:$AF$7,2,0))</f>
        <v>0.5</v>
      </c>
      <c r="F625">
        <f t="shared" si="20"/>
        <v>0.5</v>
      </c>
    </row>
    <row r="626" spans="1:6">
      <c r="A626" s="30">
        <f t="shared" si="19"/>
        <v>43716</v>
      </c>
      <c r="B626" s="32" t="s">
        <v>199</v>
      </c>
      <c r="C626" t="s">
        <v>203</v>
      </c>
      <c r="D626">
        <f>IF(B626=$AB$2,$AC$2,$AC$3)</f>
        <v>1</v>
      </c>
      <c r="E626">
        <f>IF(ISBLANK(C626),0,VLOOKUP(C626,$AE$2:$AF$7,2,0))</f>
        <v>0.5</v>
      </c>
      <c r="F626">
        <f t="shared" si="20"/>
        <v>0.5</v>
      </c>
    </row>
    <row r="627" spans="1:6">
      <c r="A627" s="30">
        <f t="shared" si="19"/>
        <v>43717</v>
      </c>
      <c r="B627" s="32" t="s">
        <v>199</v>
      </c>
      <c r="C627" t="s">
        <v>203</v>
      </c>
      <c r="D627">
        <f>IF(B627=$AB$2,$AC$2,$AC$3)</f>
        <v>1</v>
      </c>
      <c r="E627">
        <f>IF(ISBLANK(C627),0,VLOOKUP(C627,$AE$2:$AF$7,2,0))</f>
        <v>0.5</v>
      </c>
      <c r="F627">
        <f t="shared" si="20"/>
        <v>0.5</v>
      </c>
    </row>
    <row r="628" spans="1:6">
      <c r="A628" s="30">
        <f t="shared" si="19"/>
        <v>43718</v>
      </c>
      <c r="B628" s="32" t="s">
        <v>199</v>
      </c>
      <c r="C628" t="s">
        <v>203</v>
      </c>
      <c r="D628">
        <f>IF(B628=$AB$2,$AC$2,$AC$3)</f>
        <v>1</v>
      </c>
      <c r="E628">
        <f>IF(ISBLANK(C628),0,VLOOKUP(C628,$AE$2:$AF$7,2,0))</f>
        <v>0.5</v>
      </c>
      <c r="F628">
        <f t="shared" si="20"/>
        <v>0.5</v>
      </c>
    </row>
    <row r="629" spans="1:6">
      <c r="A629" s="30">
        <f t="shared" si="19"/>
        <v>43719</v>
      </c>
      <c r="B629" s="32" t="s">
        <v>199</v>
      </c>
      <c r="C629" t="s">
        <v>203</v>
      </c>
      <c r="D629">
        <f>IF(B629=$AB$2,$AC$2,$AC$3)</f>
        <v>1</v>
      </c>
      <c r="E629">
        <f>IF(ISBLANK(C629),0,VLOOKUP(C629,$AE$2:$AF$7,2,0))</f>
        <v>0.5</v>
      </c>
      <c r="F629">
        <f t="shared" si="20"/>
        <v>0.5</v>
      </c>
    </row>
    <row r="630" spans="1:6">
      <c r="A630" s="30">
        <f t="shared" si="19"/>
        <v>43720</v>
      </c>
      <c r="B630" s="32" t="s">
        <v>199</v>
      </c>
      <c r="C630" t="s">
        <v>203</v>
      </c>
      <c r="D630">
        <f>IF(B630=$AB$2,$AC$2,$AC$3)</f>
        <v>1</v>
      </c>
      <c r="E630">
        <f>IF(ISBLANK(C630),0,VLOOKUP(C630,$AE$2:$AF$7,2,0))</f>
        <v>0.5</v>
      </c>
      <c r="F630">
        <f t="shared" si="20"/>
        <v>0.5</v>
      </c>
    </row>
    <row r="631" spans="1:6">
      <c r="A631" s="30">
        <f t="shared" si="19"/>
        <v>43721</v>
      </c>
      <c r="B631" s="32" t="s">
        <v>199</v>
      </c>
      <c r="C631" t="s">
        <v>203</v>
      </c>
      <c r="D631">
        <f>IF(B631=$AB$2,$AC$2,$AC$3)</f>
        <v>1</v>
      </c>
      <c r="E631">
        <f>IF(ISBLANK(C631),0,VLOOKUP(C631,$AE$2:$AF$7,2,0))</f>
        <v>0.5</v>
      </c>
      <c r="F631">
        <f t="shared" si="20"/>
        <v>0.5</v>
      </c>
    </row>
    <row r="632" spans="1:6">
      <c r="A632" s="30">
        <f t="shared" si="19"/>
        <v>43722</v>
      </c>
      <c r="B632" s="32" t="s">
        <v>199</v>
      </c>
      <c r="C632" t="s">
        <v>203</v>
      </c>
      <c r="D632">
        <f>IF(B632=$AB$2,$AC$2,$AC$3)</f>
        <v>1</v>
      </c>
      <c r="E632">
        <f>IF(ISBLANK(C632),0,VLOOKUP(C632,$AE$2:$AF$7,2,0))</f>
        <v>0.5</v>
      </c>
      <c r="F632">
        <f t="shared" si="20"/>
        <v>0.5</v>
      </c>
    </row>
    <row r="633" spans="1:6">
      <c r="A633" s="30">
        <f t="shared" si="19"/>
        <v>43723</v>
      </c>
      <c r="B633" s="32" t="s">
        <v>199</v>
      </c>
      <c r="C633" t="s">
        <v>203</v>
      </c>
      <c r="D633">
        <f>IF(B633=$AB$2,$AC$2,$AC$3)</f>
        <v>1</v>
      </c>
      <c r="E633">
        <f>IF(ISBLANK(C633),0,VLOOKUP(C633,$AE$2:$AF$7,2,0))</f>
        <v>0.5</v>
      </c>
      <c r="F633">
        <f t="shared" si="20"/>
        <v>0.5</v>
      </c>
    </row>
    <row r="634" spans="1:6">
      <c r="A634" s="30">
        <f t="shared" si="19"/>
        <v>43724</v>
      </c>
      <c r="B634" s="32" t="s">
        <v>199</v>
      </c>
      <c r="C634" t="s">
        <v>203</v>
      </c>
      <c r="D634">
        <f>IF(B634=$AB$2,$AC$2,$AC$3)</f>
        <v>1</v>
      </c>
      <c r="E634">
        <f>IF(ISBLANK(C634),0,VLOOKUP(C634,$AE$2:$AF$7,2,0))</f>
        <v>0.5</v>
      </c>
      <c r="F634">
        <f t="shared" si="20"/>
        <v>0.5</v>
      </c>
    </row>
    <row r="635" spans="1:6">
      <c r="A635" s="30">
        <f t="shared" si="19"/>
        <v>43725</v>
      </c>
      <c r="B635" s="32" t="s">
        <v>199</v>
      </c>
      <c r="C635" t="s">
        <v>203</v>
      </c>
      <c r="D635">
        <f>IF(B635=$AB$2,$AC$2,$AC$3)</f>
        <v>1</v>
      </c>
      <c r="E635">
        <f>IF(ISBLANK(C635),0,VLOOKUP(C635,$AE$2:$AF$7,2,0))</f>
        <v>0.5</v>
      </c>
      <c r="F635">
        <f t="shared" si="20"/>
        <v>0.5</v>
      </c>
    </row>
    <row r="636" spans="1:6">
      <c r="A636" s="30">
        <f t="shared" si="19"/>
        <v>43726</v>
      </c>
      <c r="B636" s="32" t="s">
        <v>199</v>
      </c>
      <c r="C636" t="s">
        <v>203</v>
      </c>
      <c r="D636">
        <f>IF(B636=$AB$2,$AC$2,$AC$3)</f>
        <v>1</v>
      </c>
      <c r="E636">
        <f>IF(ISBLANK(C636),0,VLOOKUP(C636,$AE$2:$AF$7,2,0))</f>
        <v>0.5</v>
      </c>
      <c r="F636">
        <f t="shared" si="20"/>
        <v>0.5</v>
      </c>
    </row>
    <row r="637" spans="1:6">
      <c r="A637" s="30">
        <f t="shared" si="19"/>
        <v>43727</v>
      </c>
      <c r="B637" s="32" t="s">
        <v>199</v>
      </c>
      <c r="C637" t="s">
        <v>203</v>
      </c>
      <c r="D637">
        <f>IF(B637=$AB$2,$AC$2,$AC$3)</f>
        <v>1</v>
      </c>
      <c r="E637">
        <f>IF(ISBLANK(C637),0,VLOOKUP(C637,$AE$2:$AF$7,2,0))</f>
        <v>0.5</v>
      </c>
      <c r="F637">
        <f t="shared" si="20"/>
        <v>0.5</v>
      </c>
    </row>
    <row r="638" spans="1:6">
      <c r="A638" s="30">
        <f t="shared" ref="A638:A686" si="21">A637+1</f>
        <v>43728</v>
      </c>
      <c r="B638" s="32" t="s">
        <v>199</v>
      </c>
      <c r="C638" t="s">
        <v>203</v>
      </c>
      <c r="D638">
        <f>IF(B638=$AB$2,$AC$2,$AC$3)</f>
        <v>1</v>
      </c>
      <c r="E638">
        <f>IF(ISBLANK(C638),0,VLOOKUP(C638,$AE$2:$AF$7,2,0))</f>
        <v>0.5</v>
      </c>
      <c r="F638">
        <f t="shared" si="20"/>
        <v>0.5</v>
      </c>
    </row>
    <row r="639" spans="1:6">
      <c r="A639" s="30">
        <f t="shared" si="21"/>
        <v>43729</v>
      </c>
      <c r="B639" s="32" t="s">
        <v>199</v>
      </c>
      <c r="C639" t="s">
        <v>203</v>
      </c>
      <c r="D639">
        <f>IF(B639=$AB$2,$AC$2,$AC$3)</f>
        <v>1</v>
      </c>
      <c r="E639">
        <f>IF(ISBLANK(C639),0,VLOOKUP(C639,$AE$2:$AF$7,2,0))</f>
        <v>0.5</v>
      </c>
      <c r="F639">
        <f t="shared" si="20"/>
        <v>0.5</v>
      </c>
    </row>
    <row r="640" spans="1:6">
      <c r="A640" s="30">
        <f t="shared" si="21"/>
        <v>43730</v>
      </c>
      <c r="B640" s="32" t="s">
        <v>199</v>
      </c>
      <c r="C640" t="s">
        <v>203</v>
      </c>
      <c r="D640">
        <f>IF(B640=$AB$2,$AC$2,$AC$3)</f>
        <v>1</v>
      </c>
      <c r="E640">
        <f>IF(ISBLANK(C640),0,VLOOKUP(C640,$AE$2:$AF$7,2,0))</f>
        <v>0.5</v>
      </c>
      <c r="F640">
        <f t="shared" si="20"/>
        <v>0.5</v>
      </c>
    </row>
    <row r="641" spans="1:6">
      <c r="A641" s="30">
        <f t="shared" si="21"/>
        <v>43731</v>
      </c>
      <c r="B641" s="32" t="s">
        <v>199</v>
      </c>
      <c r="C641" t="s">
        <v>203</v>
      </c>
      <c r="D641">
        <f>IF(B641=$AB$2,$AC$2,$AC$3)</f>
        <v>1</v>
      </c>
      <c r="E641">
        <f>IF(ISBLANK(C641),0,VLOOKUP(C641,$AE$2:$AF$7,2,0))</f>
        <v>0.5</v>
      </c>
      <c r="F641">
        <f t="shared" si="20"/>
        <v>0.5</v>
      </c>
    </row>
    <row r="642" spans="1:6">
      <c r="A642" s="30">
        <f t="shared" si="21"/>
        <v>43732</v>
      </c>
      <c r="B642" s="32" t="s">
        <v>199</v>
      </c>
      <c r="C642" t="s">
        <v>203</v>
      </c>
      <c r="D642">
        <f>IF(B642=$AB$2,$AC$2,$AC$3)</f>
        <v>1</v>
      </c>
      <c r="E642">
        <f>IF(ISBLANK(C642),0,VLOOKUP(C642,$AE$2:$AF$7,2,0))</f>
        <v>0.5</v>
      </c>
      <c r="F642">
        <f t="shared" si="20"/>
        <v>0.5</v>
      </c>
    </row>
    <row r="643" spans="1:6">
      <c r="A643" s="30">
        <f t="shared" si="21"/>
        <v>43733</v>
      </c>
      <c r="B643" s="32" t="s">
        <v>199</v>
      </c>
      <c r="C643" t="s">
        <v>203</v>
      </c>
      <c r="D643">
        <f>IF(B643=$AB$2,$AC$2,$AC$3)</f>
        <v>1</v>
      </c>
      <c r="E643">
        <f>IF(ISBLANK(C643),0,VLOOKUP(C643,$AE$2:$AF$7,2,0))</f>
        <v>0.5</v>
      </c>
      <c r="F643">
        <f t="shared" ref="F643:F706" si="22">D643*E643</f>
        <v>0.5</v>
      </c>
    </row>
    <row r="644" spans="1:6">
      <c r="A644" s="30">
        <f t="shared" si="21"/>
        <v>43734</v>
      </c>
      <c r="B644" s="32" t="s">
        <v>199</v>
      </c>
      <c r="C644" t="s">
        <v>203</v>
      </c>
      <c r="D644">
        <f>IF(B644=$AB$2,$AC$2,$AC$3)</f>
        <v>1</v>
      </c>
      <c r="E644">
        <f>IF(ISBLANK(C644),0,VLOOKUP(C644,$AE$2:$AF$7,2,0))</f>
        <v>0.5</v>
      </c>
      <c r="F644">
        <f t="shared" si="22"/>
        <v>0.5</v>
      </c>
    </row>
    <row r="645" spans="1:6">
      <c r="A645" s="30">
        <f t="shared" si="21"/>
        <v>43735</v>
      </c>
      <c r="B645" s="32" t="s">
        <v>199</v>
      </c>
      <c r="C645" t="s">
        <v>203</v>
      </c>
      <c r="D645">
        <f>IF(B645=$AB$2,$AC$2,$AC$3)</f>
        <v>1</v>
      </c>
      <c r="E645">
        <f>IF(ISBLANK(C645),0,VLOOKUP(C645,$AE$2:$AF$7,2,0))</f>
        <v>0.5</v>
      </c>
      <c r="F645">
        <f t="shared" si="22"/>
        <v>0.5</v>
      </c>
    </row>
    <row r="646" spans="1:6">
      <c r="A646" s="30">
        <f t="shared" si="21"/>
        <v>43736</v>
      </c>
      <c r="B646" s="32" t="s">
        <v>199</v>
      </c>
      <c r="C646" t="s">
        <v>203</v>
      </c>
      <c r="D646">
        <f>IF(B646=$AB$2,$AC$2,$AC$3)</f>
        <v>1</v>
      </c>
      <c r="E646">
        <f>IF(ISBLANK(C646),0,VLOOKUP(C646,$AE$2:$AF$7,2,0))</f>
        <v>0.5</v>
      </c>
      <c r="F646">
        <f t="shared" si="22"/>
        <v>0.5</v>
      </c>
    </row>
    <row r="647" spans="1:6">
      <c r="A647" s="30">
        <f t="shared" si="21"/>
        <v>43737</v>
      </c>
      <c r="B647" s="32" t="s">
        <v>199</v>
      </c>
      <c r="C647" t="s">
        <v>203</v>
      </c>
      <c r="D647">
        <f>IF(B647=$AB$2,$AC$2,$AC$3)</f>
        <v>1</v>
      </c>
      <c r="E647">
        <f>IF(ISBLANK(C647),0,VLOOKUP(C647,$AE$2:$AF$7,2,0))</f>
        <v>0.5</v>
      </c>
      <c r="F647">
        <f t="shared" si="22"/>
        <v>0.5</v>
      </c>
    </row>
    <row r="648" spans="1:6">
      <c r="A648" s="30">
        <f t="shared" si="21"/>
        <v>43738</v>
      </c>
      <c r="B648" s="32" t="s">
        <v>199</v>
      </c>
      <c r="C648" t="s">
        <v>203</v>
      </c>
      <c r="D648">
        <f>IF(B648=$AB$2,$AC$2,$AC$3)</f>
        <v>1</v>
      </c>
      <c r="E648">
        <f>IF(ISBLANK(C648),0,VLOOKUP(C648,$AE$2:$AF$7,2,0))</f>
        <v>0.5</v>
      </c>
      <c r="F648">
        <f t="shared" si="22"/>
        <v>0.5</v>
      </c>
    </row>
    <row r="649" spans="1:6">
      <c r="A649" s="30">
        <f t="shared" si="21"/>
        <v>43739</v>
      </c>
      <c r="B649" s="32" t="s">
        <v>199</v>
      </c>
      <c r="C649" t="s">
        <v>203</v>
      </c>
      <c r="D649">
        <f>IF(B649=$AB$2,$AC$2,$AC$3)</f>
        <v>1</v>
      </c>
      <c r="E649">
        <f>IF(ISBLANK(C649),0,VLOOKUP(C649,$AE$2:$AF$7,2,0))</f>
        <v>0.5</v>
      </c>
      <c r="F649">
        <f t="shared" si="22"/>
        <v>0.5</v>
      </c>
    </row>
    <row r="650" spans="1:6">
      <c r="A650" s="30">
        <f t="shared" si="21"/>
        <v>43740</v>
      </c>
      <c r="B650" s="32" t="s">
        <v>199</v>
      </c>
      <c r="C650" t="s">
        <v>203</v>
      </c>
      <c r="D650">
        <f>IF(B650=$AB$2,$AC$2,$AC$3)</f>
        <v>1</v>
      </c>
      <c r="E650">
        <f>IF(ISBLANK(C650),0,VLOOKUP(C650,$AE$2:$AF$7,2,0))</f>
        <v>0.5</v>
      </c>
      <c r="F650">
        <f t="shared" si="22"/>
        <v>0.5</v>
      </c>
    </row>
    <row r="651" spans="1:6">
      <c r="A651" s="30">
        <f t="shared" si="21"/>
        <v>43741</v>
      </c>
      <c r="B651" s="32" t="s">
        <v>199</v>
      </c>
      <c r="C651" t="s">
        <v>203</v>
      </c>
      <c r="D651">
        <f>IF(B651=$AB$2,$AC$2,$AC$3)</f>
        <v>1</v>
      </c>
      <c r="E651">
        <f>IF(ISBLANK(C651),0,VLOOKUP(C651,$AE$2:$AF$7,2,0))</f>
        <v>0.5</v>
      </c>
      <c r="F651">
        <f t="shared" si="22"/>
        <v>0.5</v>
      </c>
    </row>
    <row r="652" spans="1:6">
      <c r="A652" s="30">
        <f t="shared" si="21"/>
        <v>43742</v>
      </c>
      <c r="B652" s="32" t="s">
        <v>199</v>
      </c>
      <c r="C652" t="s">
        <v>203</v>
      </c>
      <c r="D652">
        <f>IF(B652=$AB$2,$AC$2,$AC$3)</f>
        <v>1</v>
      </c>
      <c r="E652">
        <f>IF(ISBLANK(C652),0,VLOOKUP(C652,$AE$2:$AF$7,2,0))</f>
        <v>0.5</v>
      </c>
      <c r="F652">
        <f t="shared" si="22"/>
        <v>0.5</v>
      </c>
    </row>
    <row r="653" spans="1:6">
      <c r="A653" s="30">
        <f t="shared" si="21"/>
        <v>43743</v>
      </c>
      <c r="B653" s="32" t="s">
        <v>199</v>
      </c>
      <c r="C653" t="s">
        <v>203</v>
      </c>
      <c r="D653">
        <f>IF(B653=$AB$2,$AC$2,$AC$3)</f>
        <v>1</v>
      </c>
      <c r="E653">
        <f>IF(ISBLANK(C653),0,VLOOKUP(C653,$AE$2:$AF$7,2,0))</f>
        <v>0.5</v>
      </c>
      <c r="F653">
        <f t="shared" si="22"/>
        <v>0.5</v>
      </c>
    </row>
    <row r="654" spans="1:6">
      <c r="A654" s="30">
        <f t="shared" si="21"/>
        <v>43744</v>
      </c>
      <c r="B654" s="32" t="s">
        <v>199</v>
      </c>
      <c r="C654" t="s">
        <v>203</v>
      </c>
      <c r="D654">
        <f>IF(B654=$AB$2,$AC$2,$AC$3)</f>
        <v>1</v>
      </c>
      <c r="E654">
        <f>IF(ISBLANK(C654),0,VLOOKUP(C654,$AE$2:$AF$7,2,0))</f>
        <v>0.5</v>
      </c>
      <c r="F654">
        <f t="shared" si="22"/>
        <v>0.5</v>
      </c>
    </row>
    <row r="655" spans="1:6">
      <c r="A655" s="30">
        <f t="shared" si="21"/>
        <v>43745</v>
      </c>
      <c r="B655" s="32" t="s">
        <v>199</v>
      </c>
      <c r="C655" t="s">
        <v>203</v>
      </c>
      <c r="D655">
        <f>IF(B655=$AB$2,$AC$2,$AC$3)</f>
        <v>1</v>
      </c>
      <c r="E655">
        <f>IF(ISBLANK(C655),0,VLOOKUP(C655,$AE$2:$AF$7,2,0))</f>
        <v>0.5</v>
      </c>
      <c r="F655">
        <f t="shared" si="22"/>
        <v>0.5</v>
      </c>
    </row>
    <row r="656" spans="1:6">
      <c r="A656" s="30">
        <f t="shared" si="21"/>
        <v>43746</v>
      </c>
      <c r="B656" s="32" t="s">
        <v>199</v>
      </c>
      <c r="C656" t="s">
        <v>203</v>
      </c>
      <c r="D656">
        <f>IF(B656=$AB$2,$AC$2,$AC$3)</f>
        <v>1</v>
      </c>
      <c r="E656">
        <f>IF(ISBLANK(C656),0,VLOOKUP(C656,$AE$2:$AF$7,2,0))</f>
        <v>0.5</v>
      </c>
      <c r="F656">
        <f t="shared" si="22"/>
        <v>0.5</v>
      </c>
    </row>
    <row r="657" spans="1:6">
      <c r="A657" s="30">
        <f t="shared" si="21"/>
        <v>43747</v>
      </c>
      <c r="B657" s="32" t="s">
        <v>199</v>
      </c>
      <c r="C657" t="s">
        <v>203</v>
      </c>
      <c r="D657">
        <f>IF(B657=$AB$2,$AC$2,$AC$3)</f>
        <v>1</v>
      </c>
      <c r="E657">
        <f>IF(ISBLANK(C657),0,VLOOKUP(C657,$AE$2:$AF$7,2,0))</f>
        <v>0.5</v>
      </c>
      <c r="F657">
        <f t="shared" si="22"/>
        <v>0.5</v>
      </c>
    </row>
    <row r="658" spans="1:6">
      <c r="A658" s="30">
        <f t="shared" si="21"/>
        <v>43748</v>
      </c>
      <c r="B658" s="32" t="s">
        <v>199</v>
      </c>
      <c r="C658" t="s">
        <v>203</v>
      </c>
      <c r="D658">
        <f>IF(B658=$AB$2,$AC$2,$AC$3)</f>
        <v>1</v>
      </c>
      <c r="E658">
        <f>IF(ISBLANK(C658),0,VLOOKUP(C658,$AE$2:$AF$7,2,0))</f>
        <v>0.5</v>
      </c>
      <c r="F658">
        <f t="shared" si="22"/>
        <v>0.5</v>
      </c>
    </row>
    <row r="659" spans="1:6">
      <c r="A659" s="30">
        <f t="shared" si="21"/>
        <v>43749</v>
      </c>
      <c r="B659" s="32" t="s">
        <v>199</v>
      </c>
      <c r="C659" t="s">
        <v>203</v>
      </c>
      <c r="D659">
        <f>IF(B659=$AB$2,$AC$2,$AC$3)</f>
        <v>1</v>
      </c>
      <c r="E659">
        <f>IF(ISBLANK(C659),0,VLOOKUP(C659,$AE$2:$AF$7,2,0))</f>
        <v>0.5</v>
      </c>
      <c r="F659">
        <f t="shared" si="22"/>
        <v>0.5</v>
      </c>
    </row>
    <row r="660" spans="1:6">
      <c r="A660" s="30">
        <f t="shared" si="21"/>
        <v>43750</v>
      </c>
      <c r="B660" s="32" t="s">
        <v>199</v>
      </c>
      <c r="C660" t="s">
        <v>203</v>
      </c>
      <c r="D660">
        <f>IF(B660=$AB$2,$AC$2,$AC$3)</f>
        <v>1</v>
      </c>
      <c r="E660">
        <f>IF(ISBLANK(C660),0,VLOOKUP(C660,$AE$2:$AF$7,2,0))</f>
        <v>0.5</v>
      </c>
      <c r="F660">
        <f t="shared" si="22"/>
        <v>0.5</v>
      </c>
    </row>
    <row r="661" spans="1:6">
      <c r="A661" s="30">
        <f t="shared" si="21"/>
        <v>43751</v>
      </c>
      <c r="B661" s="32" t="s">
        <v>199</v>
      </c>
      <c r="C661" t="s">
        <v>203</v>
      </c>
      <c r="D661">
        <f>IF(B661=$AB$2,$AC$2,$AC$3)</f>
        <v>1</v>
      </c>
      <c r="E661">
        <f>IF(ISBLANK(C661),0,VLOOKUP(C661,$AE$2:$AF$7,2,0))</f>
        <v>0.5</v>
      </c>
      <c r="F661">
        <f t="shared" si="22"/>
        <v>0.5</v>
      </c>
    </row>
    <row r="662" spans="1:6">
      <c r="A662" s="30">
        <f t="shared" si="21"/>
        <v>43752</v>
      </c>
      <c r="B662" s="32" t="s">
        <v>199</v>
      </c>
      <c r="C662" t="s">
        <v>203</v>
      </c>
      <c r="D662">
        <f>IF(B662=$AB$2,$AC$2,$AC$3)</f>
        <v>1</v>
      </c>
      <c r="E662">
        <f>IF(ISBLANK(C662),0,VLOOKUP(C662,$AE$2:$AF$7,2,0))</f>
        <v>0.5</v>
      </c>
      <c r="F662">
        <f t="shared" si="22"/>
        <v>0.5</v>
      </c>
    </row>
    <row r="663" spans="1:6">
      <c r="A663" s="30">
        <f t="shared" si="21"/>
        <v>43753</v>
      </c>
      <c r="B663" s="32" t="s">
        <v>199</v>
      </c>
      <c r="C663" t="s">
        <v>203</v>
      </c>
      <c r="D663">
        <f>IF(B663=$AB$2,$AC$2,$AC$3)</f>
        <v>1</v>
      </c>
      <c r="E663">
        <f>IF(ISBLANK(C663),0,VLOOKUP(C663,$AE$2:$AF$7,2,0))</f>
        <v>0.5</v>
      </c>
      <c r="F663">
        <f t="shared" si="22"/>
        <v>0.5</v>
      </c>
    </row>
    <row r="664" spans="1:6">
      <c r="A664" s="30">
        <f t="shared" si="21"/>
        <v>43754</v>
      </c>
      <c r="B664" s="32" t="s">
        <v>199</v>
      </c>
      <c r="C664" t="s">
        <v>203</v>
      </c>
      <c r="D664">
        <f>IF(B664=$AB$2,$AC$2,$AC$3)</f>
        <v>1</v>
      </c>
      <c r="E664">
        <f>IF(ISBLANK(C664),0,VLOOKUP(C664,$AE$2:$AF$7,2,0))</f>
        <v>0.5</v>
      </c>
      <c r="F664">
        <f t="shared" si="22"/>
        <v>0.5</v>
      </c>
    </row>
    <row r="665" spans="1:6">
      <c r="A665" s="30">
        <f t="shared" si="21"/>
        <v>43755</v>
      </c>
      <c r="B665" s="32" t="s">
        <v>199</v>
      </c>
      <c r="C665" t="s">
        <v>203</v>
      </c>
      <c r="D665">
        <f>IF(B665=$AB$2,$AC$2,$AC$3)</f>
        <v>1</v>
      </c>
      <c r="E665">
        <f>IF(ISBLANK(C665),0,VLOOKUP(C665,$AE$2:$AF$7,2,0))</f>
        <v>0.5</v>
      </c>
      <c r="F665">
        <f t="shared" si="22"/>
        <v>0.5</v>
      </c>
    </row>
    <row r="666" spans="1:6">
      <c r="A666" s="30">
        <f t="shared" si="21"/>
        <v>43756</v>
      </c>
      <c r="B666" s="32" t="s">
        <v>199</v>
      </c>
      <c r="C666" t="s">
        <v>203</v>
      </c>
      <c r="D666">
        <f>IF(B666=$AB$2,$AC$2,$AC$3)</f>
        <v>1</v>
      </c>
      <c r="E666">
        <f>IF(ISBLANK(C666),0,VLOOKUP(C666,$AE$2:$AF$7,2,0))</f>
        <v>0.5</v>
      </c>
      <c r="F666">
        <f t="shared" si="22"/>
        <v>0.5</v>
      </c>
    </row>
    <row r="667" spans="1:6">
      <c r="A667" s="30">
        <f t="shared" si="21"/>
        <v>43757</v>
      </c>
      <c r="B667" s="32" t="s">
        <v>199</v>
      </c>
      <c r="C667" t="s">
        <v>203</v>
      </c>
      <c r="D667">
        <f>IF(B667=$AB$2,$AC$2,$AC$3)</f>
        <v>1</v>
      </c>
      <c r="E667">
        <f>IF(ISBLANK(C667),0,VLOOKUP(C667,$AE$2:$AF$7,2,0))</f>
        <v>0.5</v>
      </c>
      <c r="F667">
        <f t="shared" si="22"/>
        <v>0.5</v>
      </c>
    </row>
    <row r="668" spans="1:6">
      <c r="A668" s="30">
        <f t="shared" si="21"/>
        <v>43758</v>
      </c>
      <c r="B668" s="32" t="s">
        <v>199</v>
      </c>
      <c r="C668" t="s">
        <v>203</v>
      </c>
      <c r="D668">
        <f>IF(B668=$AB$2,$AC$2,$AC$3)</f>
        <v>1</v>
      </c>
      <c r="E668">
        <f>IF(ISBLANK(C668),0,VLOOKUP(C668,$AE$2:$AF$7,2,0))</f>
        <v>0.5</v>
      </c>
      <c r="F668">
        <f t="shared" si="22"/>
        <v>0.5</v>
      </c>
    </row>
    <row r="669" spans="1:6">
      <c r="A669" s="30">
        <f t="shared" si="21"/>
        <v>43759</v>
      </c>
      <c r="B669" s="32" t="s">
        <v>199</v>
      </c>
      <c r="C669" t="s">
        <v>203</v>
      </c>
      <c r="D669">
        <f>IF(B669=$AB$2,$AC$2,$AC$3)</f>
        <v>1</v>
      </c>
      <c r="E669">
        <f>IF(ISBLANK(C669),0,VLOOKUP(C669,$AE$2:$AF$7,2,0))</f>
        <v>0.5</v>
      </c>
      <c r="F669">
        <f t="shared" si="22"/>
        <v>0.5</v>
      </c>
    </row>
    <row r="670" spans="1:6">
      <c r="A670" s="30">
        <f t="shared" si="21"/>
        <v>43760</v>
      </c>
      <c r="B670" s="32" t="s">
        <v>199</v>
      </c>
      <c r="C670" t="s">
        <v>203</v>
      </c>
      <c r="D670">
        <f>IF(B670=$AB$2,$AC$2,$AC$3)</f>
        <v>1</v>
      </c>
      <c r="E670">
        <f>IF(ISBLANK(C670),0,VLOOKUP(C670,$AE$2:$AF$7,2,0))</f>
        <v>0.5</v>
      </c>
      <c r="F670">
        <f t="shared" si="22"/>
        <v>0.5</v>
      </c>
    </row>
    <row r="671" spans="1:6">
      <c r="A671" s="30">
        <f t="shared" si="21"/>
        <v>43761</v>
      </c>
      <c r="B671" s="32" t="s">
        <v>199</v>
      </c>
      <c r="C671" t="s">
        <v>203</v>
      </c>
      <c r="D671">
        <f>IF(B671=$AB$2,$AC$2,$AC$3)</f>
        <v>1</v>
      </c>
      <c r="E671">
        <f>IF(ISBLANK(C671),0,VLOOKUP(C671,$AE$2:$AF$7,2,0))</f>
        <v>0.5</v>
      </c>
      <c r="F671">
        <f t="shared" si="22"/>
        <v>0.5</v>
      </c>
    </row>
    <row r="672" spans="1:6">
      <c r="A672" s="30">
        <f t="shared" si="21"/>
        <v>43762</v>
      </c>
      <c r="B672" s="32" t="s">
        <v>199</v>
      </c>
      <c r="C672" t="s">
        <v>203</v>
      </c>
      <c r="D672">
        <f>IF(B672=$AB$2,$AC$2,$AC$3)</f>
        <v>1</v>
      </c>
      <c r="E672">
        <f>IF(ISBLANK(C672),0,VLOOKUP(C672,$AE$2:$AF$7,2,0))</f>
        <v>0.5</v>
      </c>
      <c r="F672">
        <f t="shared" si="22"/>
        <v>0.5</v>
      </c>
    </row>
    <row r="673" spans="1:6">
      <c r="A673" s="30">
        <f t="shared" si="21"/>
        <v>43763</v>
      </c>
      <c r="B673" s="32" t="s">
        <v>199</v>
      </c>
      <c r="C673" t="s">
        <v>203</v>
      </c>
      <c r="D673">
        <f>IF(B673=$AB$2,$AC$2,$AC$3)</f>
        <v>1</v>
      </c>
      <c r="E673">
        <f>IF(ISBLANK(C673),0,VLOOKUP(C673,$AE$2:$AF$7,2,0))</f>
        <v>0.5</v>
      </c>
      <c r="F673">
        <f t="shared" si="22"/>
        <v>0.5</v>
      </c>
    </row>
    <row r="674" spans="1:6">
      <c r="A674" s="30">
        <f t="shared" si="21"/>
        <v>43764</v>
      </c>
      <c r="B674" s="32" t="s">
        <v>199</v>
      </c>
      <c r="C674" t="s">
        <v>203</v>
      </c>
      <c r="D674">
        <f>IF(B674=$AB$2,$AC$2,$AC$3)</f>
        <v>1</v>
      </c>
      <c r="E674">
        <f>IF(ISBLANK(C674),0,VLOOKUP(C674,$AE$2:$AF$7,2,0))</f>
        <v>0.5</v>
      </c>
      <c r="F674">
        <f t="shared" si="22"/>
        <v>0.5</v>
      </c>
    </row>
    <row r="675" spans="1:6">
      <c r="A675" s="30">
        <f t="shared" si="21"/>
        <v>43765</v>
      </c>
      <c r="B675" s="32" t="s">
        <v>199</v>
      </c>
      <c r="C675" t="s">
        <v>203</v>
      </c>
      <c r="D675">
        <f>IF(B675=$AB$2,$AC$2,$AC$3)</f>
        <v>1</v>
      </c>
      <c r="E675">
        <f>IF(ISBLANK(C675),0,VLOOKUP(C675,$AE$2:$AF$7,2,0))</f>
        <v>0.5</v>
      </c>
      <c r="F675">
        <f t="shared" si="22"/>
        <v>0.5</v>
      </c>
    </row>
    <row r="676" spans="1:6">
      <c r="A676" s="30">
        <f t="shared" si="21"/>
        <v>43766</v>
      </c>
      <c r="B676" s="32" t="s">
        <v>199</v>
      </c>
      <c r="C676" t="s">
        <v>203</v>
      </c>
      <c r="D676">
        <f>IF(B676=$AB$2,$AC$2,$AC$3)</f>
        <v>1</v>
      </c>
      <c r="E676">
        <f>IF(ISBLANK(C676),0,VLOOKUP(C676,$AE$2:$AF$7,2,0))</f>
        <v>0.5</v>
      </c>
      <c r="F676">
        <f t="shared" si="22"/>
        <v>0.5</v>
      </c>
    </row>
    <row r="677" spans="1:6">
      <c r="A677" s="30">
        <f t="shared" si="21"/>
        <v>43767</v>
      </c>
      <c r="B677" s="32" t="s">
        <v>199</v>
      </c>
      <c r="C677" t="s">
        <v>203</v>
      </c>
      <c r="D677">
        <f>IF(B677=$AB$2,$AC$2,$AC$3)</f>
        <v>1</v>
      </c>
      <c r="E677">
        <f>IF(ISBLANK(C677),0,VLOOKUP(C677,$AE$2:$AF$7,2,0))</f>
        <v>0.5</v>
      </c>
      <c r="F677">
        <f t="shared" si="22"/>
        <v>0.5</v>
      </c>
    </row>
    <row r="678" spans="1:6">
      <c r="A678" s="30">
        <f t="shared" si="21"/>
        <v>43768</v>
      </c>
      <c r="B678" s="32" t="s">
        <v>199</v>
      </c>
      <c r="C678" t="s">
        <v>203</v>
      </c>
      <c r="D678">
        <f>IF(B678=$AB$2,$AC$2,$AC$3)</f>
        <v>1</v>
      </c>
      <c r="E678">
        <f>IF(ISBLANK(C678),0,VLOOKUP(C678,$AE$2:$AF$7,2,0))</f>
        <v>0.5</v>
      </c>
      <c r="F678">
        <f t="shared" si="22"/>
        <v>0.5</v>
      </c>
    </row>
    <row r="679" spans="1:6">
      <c r="A679" s="30">
        <f t="shared" si="21"/>
        <v>43769</v>
      </c>
      <c r="B679" s="32" t="s">
        <v>199</v>
      </c>
      <c r="C679" t="s">
        <v>203</v>
      </c>
      <c r="D679">
        <f>IF(B679=$AB$2,$AC$2,$AC$3)</f>
        <v>1</v>
      </c>
      <c r="E679">
        <f>IF(ISBLANK(C679),0,VLOOKUP(C679,$AE$2:$AF$7,2,0))</f>
        <v>0.5</v>
      </c>
      <c r="F679">
        <f t="shared" si="22"/>
        <v>0.5</v>
      </c>
    </row>
    <row r="680" spans="1:6">
      <c r="A680" s="30">
        <f t="shared" si="21"/>
        <v>43770</v>
      </c>
      <c r="B680" s="32" t="s">
        <v>199</v>
      </c>
      <c r="C680" t="s">
        <v>203</v>
      </c>
      <c r="D680">
        <f>IF(B680=$AB$2,$AC$2,$AC$3)</f>
        <v>1</v>
      </c>
      <c r="E680">
        <f>IF(ISBLANK(C680),0,VLOOKUP(C680,$AE$2:$AF$7,2,0))</f>
        <v>0.5</v>
      </c>
      <c r="F680">
        <f t="shared" si="22"/>
        <v>0.5</v>
      </c>
    </row>
    <row r="681" spans="1:6">
      <c r="A681" s="30">
        <f t="shared" si="21"/>
        <v>43771</v>
      </c>
      <c r="B681" s="32" t="s">
        <v>199</v>
      </c>
      <c r="C681" t="s">
        <v>203</v>
      </c>
      <c r="D681">
        <f>IF(B681=$AB$2,$AC$2,$AC$3)</f>
        <v>1</v>
      </c>
      <c r="E681">
        <f>IF(ISBLANK(C681),0,VLOOKUP(C681,$AE$2:$AF$7,2,0))</f>
        <v>0.5</v>
      </c>
      <c r="F681">
        <f t="shared" si="22"/>
        <v>0.5</v>
      </c>
    </row>
    <row r="682" spans="1:6">
      <c r="A682" s="30">
        <f t="shared" si="21"/>
        <v>43772</v>
      </c>
      <c r="B682" s="32" t="s">
        <v>199</v>
      </c>
      <c r="C682" t="s">
        <v>203</v>
      </c>
      <c r="D682">
        <f>IF(B682=$AB$2,$AC$2,$AC$3)</f>
        <v>1</v>
      </c>
      <c r="E682">
        <f>IF(ISBLANK(C682),0,VLOOKUP(C682,$AE$2:$AF$7,2,0))</f>
        <v>0.5</v>
      </c>
      <c r="F682">
        <f t="shared" si="22"/>
        <v>0.5</v>
      </c>
    </row>
    <row r="683" spans="1:6">
      <c r="A683" s="30">
        <f t="shared" si="21"/>
        <v>43773</v>
      </c>
      <c r="B683" s="32" t="s">
        <v>199</v>
      </c>
      <c r="C683" t="s">
        <v>203</v>
      </c>
      <c r="D683">
        <f>IF(B683=$AB$2,$AC$2,$AC$3)</f>
        <v>1</v>
      </c>
      <c r="E683">
        <f>IF(ISBLANK(C683),0,VLOOKUP(C683,$AE$2:$AF$7,2,0))</f>
        <v>0.5</v>
      </c>
      <c r="F683">
        <f t="shared" si="22"/>
        <v>0.5</v>
      </c>
    </row>
    <row r="684" spans="1:6">
      <c r="A684" s="30">
        <f t="shared" si="21"/>
        <v>43774</v>
      </c>
      <c r="B684" s="32" t="s">
        <v>199</v>
      </c>
      <c r="C684" t="s">
        <v>203</v>
      </c>
      <c r="D684">
        <f>IF(B684=$AB$2,$AC$2,$AC$3)</f>
        <v>1</v>
      </c>
      <c r="E684">
        <f>IF(ISBLANK(C684),0,VLOOKUP(C684,$AE$2:$AF$7,2,0))</f>
        <v>0.5</v>
      </c>
      <c r="F684">
        <f t="shared" si="22"/>
        <v>0.5</v>
      </c>
    </row>
    <row r="685" spans="1:6">
      <c r="A685" s="30">
        <f t="shared" si="21"/>
        <v>43775</v>
      </c>
      <c r="B685" s="32" t="s">
        <v>199</v>
      </c>
      <c r="C685" t="s">
        <v>203</v>
      </c>
      <c r="D685">
        <f>IF(B685=$AB$2,$AC$2,$AC$3)</f>
        <v>1</v>
      </c>
      <c r="E685">
        <f>IF(ISBLANK(C685),0,VLOOKUP(C685,$AE$2:$AF$7,2,0))</f>
        <v>0.5</v>
      </c>
      <c r="F685">
        <f t="shared" si="22"/>
        <v>0.5</v>
      </c>
    </row>
    <row r="686" spans="1:6">
      <c r="A686" s="30">
        <f t="shared" si="21"/>
        <v>43776</v>
      </c>
      <c r="B686" s="32" t="s">
        <v>199</v>
      </c>
      <c r="C686" t="s">
        <v>203</v>
      </c>
      <c r="D686">
        <f>IF(B686=$AB$2,$AC$2,$AC$3)</f>
        <v>1</v>
      </c>
      <c r="E686">
        <f>IF(ISBLANK(C686),0,VLOOKUP(C686,$AE$2:$AF$7,2,0))</f>
        <v>0.5</v>
      </c>
      <c r="F686">
        <f t="shared" si="22"/>
        <v>0.5</v>
      </c>
    </row>
    <row r="687" spans="1:6">
      <c r="A687" s="30">
        <f>A686+1</f>
        <v>43777</v>
      </c>
      <c r="B687" s="32" t="s">
        <v>199</v>
      </c>
      <c r="C687" t="s">
        <v>203</v>
      </c>
      <c r="D687">
        <f>IF(B687=$AB$2,$AC$2,$AC$3)</f>
        <v>1</v>
      </c>
      <c r="E687">
        <f>IF(ISBLANK(C687),0,VLOOKUP(C687,$AE$2:$AF$7,2,0))</f>
        <v>0.5</v>
      </c>
      <c r="F687">
        <f t="shared" si="22"/>
        <v>0.5</v>
      </c>
    </row>
    <row r="688" spans="1:6">
      <c r="A688" s="30">
        <f t="shared" ref="A688:A751" si="23">A687+1</f>
        <v>43778</v>
      </c>
      <c r="B688" s="32" t="s">
        <v>199</v>
      </c>
      <c r="C688" t="s">
        <v>203</v>
      </c>
      <c r="D688">
        <f>IF(B688=$AB$2,$AC$2,$AC$3)</f>
        <v>1</v>
      </c>
      <c r="E688">
        <f>IF(ISBLANK(C688),0,VLOOKUP(C688,$AE$2:$AF$7,2,0))</f>
        <v>0.5</v>
      </c>
      <c r="F688">
        <f t="shared" si="22"/>
        <v>0.5</v>
      </c>
    </row>
    <row r="689" spans="1:6">
      <c r="A689" s="30">
        <f t="shared" si="23"/>
        <v>43779</v>
      </c>
      <c r="B689" s="32" t="s">
        <v>199</v>
      </c>
      <c r="C689" t="s">
        <v>203</v>
      </c>
      <c r="D689">
        <f>IF(B689=$AB$2,$AC$2,$AC$3)</f>
        <v>1</v>
      </c>
      <c r="E689">
        <f>IF(ISBLANK(C689),0,VLOOKUP(C689,$AE$2:$AF$7,2,0))</f>
        <v>0.5</v>
      </c>
      <c r="F689">
        <f t="shared" si="22"/>
        <v>0.5</v>
      </c>
    </row>
    <row r="690" spans="1:6">
      <c r="A690" s="30">
        <f t="shared" si="23"/>
        <v>43780</v>
      </c>
      <c r="B690" s="32" t="s">
        <v>199</v>
      </c>
      <c r="C690" t="s">
        <v>203</v>
      </c>
      <c r="D690">
        <f>IF(B690=$AB$2,$AC$2,$AC$3)</f>
        <v>1</v>
      </c>
      <c r="E690">
        <f>IF(ISBLANK(C690),0,VLOOKUP(C690,$AE$2:$AF$7,2,0))</f>
        <v>0.5</v>
      </c>
      <c r="F690">
        <f t="shared" si="22"/>
        <v>0.5</v>
      </c>
    </row>
    <row r="691" spans="1:6">
      <c r="A691" s="30">
        <f t="shared" si="23"/>
        <v>43781</v>
      </c>
      <c r="B691" s="32" t="s">
        <v>199</v>
      </c>
      <c r="C691" t="s">
        <v>203</v>
      </c>
      <c r="D691">
        <f>IF(B691=$AB$2,$AC$2,$AC$3)</f>
        <v>1</v>
      </c>
      <c r="E691">
        <f>IF(ISBLANK(C691),0,VLOOKUP(C691,$AE$2:$AF$7,2,0))</f>
        <v>0.5</v>
      </c>
      <c r="F691">
        <f t="shared" si="22"/>
        <v>0.5</v>
      </c>
    </row>
    <row r="692" spans="1:6">
      <c r="A692" s="30">
        <f t="shared" si="23"/>
        <v>43782</v>
      </c>
      <c r="B692" s="32" t="s">
        <v>199</v>
      </c>
      <c r="C692" t="s">
        <v>203</v>
      </c>
      <c r="D692">
        <f>IF(B692=$AB$2,$AC$2,$AC$3)</f>
        <v>1</v>
      </c>
      <c r="E692">
        <f>IF(ISBLANK(C692),0,VLOOKUP(C692,$AE$2:$AF$7,2,0))</f>
        <v>0.5</v>
      </c>
      <c r="F692">
        <f t="shared" si="22"/>
        <v>0.5</v>
      </c>
    </row>
    <row r="693" spans="1:6">
      <c r="A693" s="30">
        <f t="shared" si="23"/>
        <v>43783</v>
      </c>
      <c r="B693" s="32" t="s">
        <v>199</v>
      </c>
      <c r="C693" t="s">
        <v>203</v>
      </c>
      <c r="D693">
        <f>IF(B693=$AB$2,$AC$2,$AC$3)</f>
        <v>1</v>
      </c>
      <c r="E693">
        <f>IF(ISBLANK(C693),0,VLOOKUP(C693,$AE$2:$AF$7,2,0))</f>
        <v>0.5</v>
      </c>
      <c r="F693">
        <f t="shared" si="22"/>
        <v>0.5</v>
      </c>
    </row>
    <row r="694" spans="1:6">
      <c r="A694" s="30">
        <f t="shared" si="23"/>
        <v>43784</v>
      </c>
      <c r="B694" s="32" t="s">
        <v>199</v>
      </c>
      <c r="C694" t="s">
        <v>203</v>
      </c>
      <c r="D694">
        <f>IF(B694=$AB$2,$AC$2,$AC$3)</f>
        <v>1</v>
      </c>
      <c r="E694">
        <f>IF(ISBLANK(C694),0,VLOOKUP(C694,$AE$2:$AF$7,2,0))</f>
        <v>0.5</v>
      </c>
      <c r="F694">
        <f t="shared" si="22"/>
        <v>0.5</v>
      </c>
    </row>
    <row r="695" spans="1:6">
      <c r="A695" s="30">
        <f t="shared" si="23"/>
        <v>43785</v>
      </c>
      <c r="B695" s="32" t="s">
        <v>199</v>
      </c>
      <c r="C695" t="s">
        <v>203</v>
      </c>
      <c r="D695">
        <f>IF(B695=$AB$2,$AC$2,$AC$3)</f>
        <v>1</v>
      </c>
      <c r="E695">
        <f>IF(ISBLANK(C695),0,VLOOKUP(C695,$AE$2:$AF$7,2,0))</f>
        <v>0.5</v>
      </c>
      <c r="F695">
        <f t="shared" si="22"/>
        <v>0.5</v>
      </c>
    </row>
    <row r="696" spans="1:6">
      <c r="A696" s="30">
        <f t="shared" si="23"/>
        <v>43786</v>
      </c>
      <c r="B696" s="32" t="s">
        <v>199</v>
      </c>
      <c r="C696" t="s">
        <v>203</v>
      </c>
      <c r="D696">
        <f>IF(B696=$AB$2,$AC$2,$AC$3)</f>
        <v>1</v>
      </c>
      <c r="E696">
        <f>IF(ISBLANK(C696),0,VLOOKUP(C696,$AE$2:$AF$7,2,0))</f>
        <v>0.5</v>
      </c>
      <c r="F696">
        <f t="shared" si="22"/>
        <v>0.5</v>
      </c>
    </row>
    <row r="697" spans="1:6">
      <c r="A697" s="30">
        <f t="shared" si="23"/>
        <v>43787</v>
      </c>
      <c r="B697" s="32" t="s">
        <v>199</v>
      </c>
      <c r="C697" t="s">
        <v>203</v>
      </c>
      <c r="D697">
        <f>IF(B697=$AB$2,$AC$2,$AC$3)</f>
        <v>1</v>
      </c>
      <c r="E697">
        <f>IF(ISBLANK(C697),0,VLOOKUP(C697,$AE$2:$AF$7,2,0))</f>
        <v>0.5</v>
      </c>
      <c r="F697">
        <f t="shared" si="22"/>
        <v>0.5</v>
      </c>
    </row>
    <row r="698" spans="1:6">
      <c r="A698" s="30">
        <f t="shared" si="23"/>
        <v>43788</v>
      </c>
      <c r="B698" s="32" t="s">
        <v>199</v>
      </c>
      <c r="C698" t="s">
        <v>203</v>
      </c>
      <c r="D698">
        <f>IF(B698=$AB$2,$AC$2,$AC$3)</f>
        <v>1</v>
      </c>
      <c r="E698">
        <f>IF(ISBLANK(C698),0,VLOOKUP(C698,$AE$2:$AF$7,2,0))</f>
        <v>0.5</v>
      </c>
      <c r="F698">
        <f t="shared" si="22"/>
        <v>0.5</v>
      </c>
    </row>
    <row r="699" spans="1:6">
      <c r="A699" s="30">
        <f t="shared" si="23"/>
        <v>43789</v>
      </c>
      <c r="B699" s="32" t="s">
        <v>199</v>
      </c>
      <c r="C699" t="s">
        <v>203</v>
      </c>
      <c r="D699">
        <f>IF(B699=$AB$2,$AC$2,$AC$3)</f>
        <v>1</v>
      </c>
      <c r="E699">
        <f>IF(ISBLANK(C699),0,VLOOKUP(C699,$AE$2:$AF$7,2,0))</f>
        <v>0.5</v>
      </c>
      <c r="F699">
        <f t="shared" si="22"/>
        <v>0.5</v>
      </c>
    </row>
    <row r="700" spans="1:6">
      <c r="A700" s="30">
        <f t="shared" si="23"/>
        <v>43790</v>
      </c>
      <c r="B700" s="32" t="s">
        <v>199</v>
      </c>
      <c r="C700" t="s">
        <v>203</v>
      </c>
      <c r="D700">
        <f>IF(B700=$AB$2,$AC$2,$AC$3)</f>
        <v>1</v>
      </c>
      <c r="E700">
        <f>IF(ISBLANK(C700),0,VLOOKUP(C700,$AE$2:$AF$7,2,0))</f>
        <v>0.5</v>
      </c>
      <c r="F700">
        <f t="shared" si="22"/>
        <v>0.5</v>
      </c>
    </row>
    <row r="701" spans="1:6">
      <c r="A701" s="30">
        <f t="shared" si="23"/>
        <v>43791</v>
      </c>
      <c r="B701" s="32" t="s">
        <v>199</v>
      </c>
      <c r="C701" t="s">
        <v>203</v>
      </c>
      <c r="D701">
        <f>IF(B701=$AB$2,$AC$2,$AC$3)</f>
        <v>1</v>
      </c>
      <c r="E701">
        <f>IF(ISBLANK(C701),0,VLOOKUP(C701,$AE$2:$AF$7,2,0))</f>
        <v>0.5</v>
      </c>
      <c r="F701">
        <f t="shared" si="22"/>
        <v>0.5</v>
      </c>
    </row>
    <row r="702" spans="1:6">
      <c r="A702" s="30">
        <f t="shared" si="23"/>
        <v>43792</v>
      </c>
      <c r="B702" s="32" t="s">
        <v>199</v>
      </c>
      <c r="C702" t="s">
        <v>203</v>
      </c>
      <c r="D702">
        <f>IF(B702=$AB$2,$AC$2,$AC$3)</f>
        <v>1</v>
      </c>
      <c r="E702">
        <f>IF(ISBLANK(C702),0,VLOOKUP(C702,$AE$2:$AF$7,2,0))</f>
        <v>0.5</v>
      </c>
      <c r="F702">
        <f t="shared" si="22"/>
        <v>0.5</v>
      </c>
    </row>
    <row r="703" spans="1:6">
      <c r="A703" s="30">
        <f t="shared" si="23"/>
        <v>43793</v>
      </c>
      <c r="B703" s="32" t="s">
        <v>199</v>
      </c>
      <c r="C703" t="s">
        <v>203</v>
      </c>
      <c r="D703">
        <f>IF(B703=$AB$2,$AC$2,$AC$3)</f>
        <v>1</v>
      </c>
      <c r="E703">
        <f>IF(ISBLANK(C703),0,VLOOKUP(C703,$AE$2:$AF$7,2,0))</f>
        <v>0.5</v>
      </c>
      <c r="F703">
        <f t="shared" si="22"/>
        <v>0.5</v>
      </c>
    </row>
    <row r="704" spans="1:6">
      <c r="A704" s="30">
        <f t="shared" si="23"/>
        <v>43794</v>
      </c>
      <c r="B704" s="32" t="s">
        <v>199</v>
      </c>
      <c r="C704" t="s">
        <v>203</v>
      </c>
      <c r="D704">
        <f>IF(B704=$AB$2,$AC$2,$AC$3)</f>
        <v>1</v>
      </c>
      <c r="E704">
        <f>IF(ISBLANK(C704),0,VLOOKUP(C704,$AE$2:$AF$7,2,0))</f>
        <v>0.5</v>
      </c>
      <c r="F704">
        <f t="shared" si="22"/>
        <v>0.5</v>
      </c>
    </row>
    <row r="705" spans="1:6">
      <c r="A705" s="30">
        <f t="shared" si="23"/>
        <v>43795</v>
      </c>
      <c r="B705" s="32" t="s">
        <v>199</v>
      </c>
      <c r="C705" t="s">
        <v>203</v>
      </c>
      <c r="D705">
        <f>IF(B705=$AB$2,$AC$2,$AC$3)</f>
        <v>1</v>
      </c>
      <c r="E705">
        <f>IF(ISBLANK(C705),0,VLOOKUP(C705,$AE$2:$AF$7,2,0))</f>
        <v>0.5</v>
      </c>
      <c r="F705">
        <f t="shared" si="22"/>
        <v>0.5</v>
      </c>
    </row>
    <row r="706" spans="1:6">
      <c r="A706" s="30">
        <f t="shared" si="23"/>
        <v>43796</v>
      </c>
      <c r="B706" s="32" t="s">
        <v>199</v>
      </c>
      <c r="C706" t="s">
        <v>203</v>
      </c>
      <c r="D706">
        <f>IF(B706=$AB$2,$AC$2,$AC$3)</f>
        <v>1</v>
      </c>
      <c r="E706">
        <f>IF(ISBLANK(C706),0,VLOOKUP(C706,$AE$2:$AF$7,2,0))</f>
        <v>0.5</v>
      </c>
      <c r="F706">
        <f t="shared" si="22"/>
        <v>0.5</v>
      </c>
    </row>
    <row r="707" spans="1:6">
      <c r="A707" s="30">
        <f t="shared" si="23"/>
        <v>43797</v>
      </c>
      <c r="B707" s="32" t="s">
        <v>199</v>
      </c>
      <c r="C707" t="s">
        <v>203</v>
      </c>
      <c r="D707">
        <f>IF(B707=$AB$2,$AC$2,$AC$3)</f>
        <v>1</v>
      </c>
      <c r="E707">
        <f>IF(ISBLANK(C707),0,VLOOKUP(C707,$AE$2:$AF$7,2,0))</f>
        <v>0.5</v>
      </c>
      <c r="F707">
        <f t="shared" ref="F707:F770" si="24">D707*E707</f>
        <v>0.5</v>
      </c>
    </row>
    <row r="708" spans="1:6">
      <c r="A708" s="30">
        <f t="shared" si="23"/>
        <v>43798</v>
      </c>
      <c r="B708" s="32" t="s">
        <v>199</v>
      </c>
      <c r="C708" t="s">
        <v>203</v>
      </c>
      <c r="D708">
        <f>IF(B708=$AB$2,$AC$2,$AC$3)</f>
        <v>1</v>
      </c>
      <c r="E708">
        <f>IF(ISBLANK(C708),0,VLOOKUP(C708,$AE$2:$AF$7,2,0))</f>
        <v>0.5</v>
      </c>
      <c r="F708">
        <f t="shared" si="24"/>
        <v>0.5</v>
      </c>
    </row>
    <row r="709" spans="1:6">
      <c r="A709" s="30">
        <f t="shared" si="23"/>
        <v>43799</v>
      </c>
      <c r="B709" s="32" t="s">
        <v>199</v>
      </c>
      <c r="C709" t="s">
        <v>203</v>
      </c>
      <c r="D709">
        <f>IF(B709=$AB$2,$AC$2,$AC$3)</f>
        <v>1</v>
      </c>
      <c r="E709">
        <f>IF(ISBLANK(C709),0,VLOOKUP(C709,$AE$2:$AF$7,2,0))</f>
        <v>0.5</v>
      </c>
      <c r="F709">
        <f t="shared" si="24"/>
        <v>0.5</v>
      </c>
    </row>
    <row r="710" spans="1:6">
      <c r="A710" s="30">
        <f t="shared" si="23"/>
        <v>43800</v>
      </c>
      <c r="B710" s="32" t="s">
        <v>199</v>
      </c>
      <c r="C710" t="s">
        <v>203</v>
      </c>
      <c r="D710">
        <f>IF(B710=$AB$2,$AC$2,$AC$3)</f>
        <v>1</v>
      </c>
      <c r="E710">
        <f>IF(ISBLANK(C710),0,VLOOKUP(C710,$AE$2:$AF$7,2,0))</f>
        <v>0.5</v>
      </c>
      <c r="F710">
        <f t="shared" si="24"/>
        <v>0.5</v>
      </c>
    </row>
    <row r="711" spans="1:6">
      <c r="A711" s="30">
        <f t="shared" si="23"/>
        <v>43801</v>
      </c>
      <c r="B711" s="32" t="s">
        <v>199</v>
      </c>
      <c r="C711" t="s">
        <v>203</v>
      </c>
      <c r="D711">
        <f>IF(B711=$AB$2,$AC$2,$AC$3)</f>
        <v>1</v>
      </c>
      <c r="E711">
        <f>IF(ISBLANK(C711),0,VLOOKUP(C711,$AE$2:$AF$7,2,0))</f>
        <v>0.5</v>
      </c>
      <c r="F711">
        <f t="shared" si="24"/>
        <v>0.5</v>
      </c>
    </row>
    <row r="712" spans="1:6">
      <c r="A712" s="30">
        <f t="shared" si="23"/>
        <v>43802</v>
      </c>
      <c r="B712" s="32" t="s">
        <v>199</v>
      </c>
      <c r="C712" t="s">
        <v>203</v>
      </c>
      <c r="D712">
        <f>IF(B712=$AB$2,$AC$2,$AC$3)</f>
        <v>1</v>
      </c>
      <c r="E712">
        <f>IF(ISBLANK(C712),0,VLOOKUP(C712,$AE$2:$AF$7,2,0))</f>
        <v>0.5</v>
      </c>
      <c r="F712">
        <f t="shared" si="24"/>
        <v>0.5</v>
      </c>
    </row>
    <row r="713" spans="1:6">
      <c r="A713" s="30">
        <f t="shared" si="23"/>
        <v>43803</v>
      </c>
      <c r="B713" s="32" t="s">
        <v>199</v>
      </c>
      <c r="C713" t="s">
        <v>203</v>
      </c>
      <c r="D713">
        <f>IF(B713=$AB$2,$AC$2,$AC$3)</f>
        <v>1</v>
      </c>
      <c r="E713">
        <f>IF(ISBLANK(C713),0,VLOOKUP(C713,$AE$2:$AF$7,2,0))</f>
        <v>0.5</v>
      </c>
      <c r="F713">
        <f t="shared" si="24"/>
        <v>0.5</v>
      </c>
    </row>
    <row r="714" spans="1:6">
      <c r="A714" s="30">
        <f t="shared" si="23"/>
        <v>43804</v>
      </c>
      <c r="B714" s="32" t="s">
        <v>199</v>
      </c>
      <c r="C714" t="s">
        <v>203</v>
      </c>
      <c r="D714">
        <f>IF(B714=$AB$2,$AC$2,$AC$3)</f>
        <v>1</v>
      </c>
      <c r="E714">
        <f>IF(ISBLANK(C714),0,VLOOKUP(C714,$AE$2:$AF$7,2,0))</f>
        <v>0.5</v>
      </c>
      <c r="F714">
        <f t="shared" si="24"/>
        <v>0.5</v>
      </c>
    </row>
    <row r="715" spans="1:6">
      <c r="A715" s="30">
        <f t="shared" si="23"/>
        <v>43805</v>
      </c>
      <c r="B715" s="32" t="s">
        <v>199</v>
      </c>
      <c r="C715" t="s">
        <v>203</v>
      </c>
      <c r="D715">
        <f>IF(B715=$AB$2,$AC$2,$AC$3)</f>
        <v>1</v>
      </c>
      <c r="E715">
        <f>IF(ISBLANK(C715),0,VLOOKUP(C715,$AE$2:$AF$7,2,0))</f>
        <v>0.5</v>
      </c>
      <c r="F715">
        <f t="shared" si="24"/>
        <v>0.5</v>
      </c>
    </row>
    <row r="716" spans="1:6">
      <c r="A716" s="30">
        <f t="shared" si="23"/>
        <v>43806</v>
      </c>
      <c r="B716" s="32" t="s">
        <v>199</v>
      </c>
      <c r="C716" t="s">
        <v>203</v>
      </c>
      <c r="D716">
        <f>IF(B716=$AB$2,$AC$2,$AC$3)</f>
        <v>1</v>
      </c>
      <c r="E716">
        <f>IF(ISBLANK(C716),0,VLOOKUP(C716,$AE$2:$AF$7,2,0))</f>
        <v>0.5</v>
      </c>
      <c r="F716">
        <f t="shared" si="24"/>
        <v>0.5</v>
      </c>
    </row>
    <row r="717" spans="1:6">
      <c r="A717" s="30">
        <f t="shared" si="23"/>
        <v>43807</v>
      </c>
      <c r="B717" s="32" t="s">
        <v>199</v>
      </c>
      <c r="C717" t="s">
        <v>203</v>
      </c>
      <c r="D717">
        <f>IF(B717=$AB$2,$AC$2,$AC$3)</f>
        <v>1</v>
      </c>
      <c r="E717">
        <f>IF(ISBLANK(C717),0,VLOOKUP(C717,$AE$2:$AF$7,2,0))</f>
        <v>0.5</v>
      </c>
      <c r="F717">
        <f t="shared" si="24"/>
        <v>0.5</v>
      </c>
    </row>
    <row r="718" spans="1:6">
      <c r="A718" s="30">
        <f t="shared" si="23"/>
        <v>43808</v>
      </c>
      <c r="B718" s="32" t="s">
        <v>199</v>
      </c>
      <c r="C718" t="s">
        <v>203</v>
      </c>
      <c r="D718">
        <f>IF(B718=$AB$2,$AC$2,$AC$3)</f>
        <v>1</v>
      </c>
      <c r="E718">
        <f>IF(ISBLANK(C718),0,VLOOKUP(C718,$AE$2:$AF$7,2,0))</f>
        <v>0.5</v>
      </c>
      <c r="F718">
        <f t="shared" si="24"/>
        <v>0.5</v>
      </c>
    </row>
    <row r="719" spans="1:6">
      <c r="A719" s="30">
        <f t="shared" si="23"/>
        <v>43809</v>
      </c>
      <c r="B719" s="32" t="s">
        <v>199</v>
      </c>
      <c r="C719" t="s">
        <v>203</v>
      </c>
      <c r="D719">
        <f>IF(B719=$AB$2,$AC$2,$AC$3)</f>
        <v>1</v>
      </c>
      <c r="E719">
        <f>IF(ISBLANK(C719),0,VLOOKUP(C719,$AE$2:$AF$7,2,0))</f>
        <v>0.5</v>
      </c>
      <c r="F719">
        <f t="shared" si="24"/>
        <v>0.5</v>
      </c>
    </row>
    <row r="720" spans="1:6">
      <c r="A720" s="30">
        <f t="shared" si="23"/>
        <v>43810</v>
      </c>
      <c r="B720" s="32" t="s">
        <v>199</v>
      </c>
      <c r="C720" t="s">
        <v>203</v>
      </c>
      <c r="D720">
        <f>IF(B720=$AB$2,$AC$2,$AC$3)</f>
        <v>1</v>
      </c>
      <c r="E720">
        <f>IF(ISBLANK(C720),0,VLOOKUP(C720,$AE$2:$AF$7,2,0))</f>
        <v>0.5</v>
      </c>
      <c r="F720">
        <f t="shared" si="24"/>
        <v>0.5</v>
      </c>
    </row>
    <row r="721" spans="1:6">
      <c r="A721" s="30">
        <f t="shared" si="23"/>
        <v>43811</v>
      </c>
      <c r="B721" s="32" t="s">
        <v>199</v>
      </c>
      <c r="C721" t="s">
        <v>203</v>
      </c>
      <c r="D721">
        <f>IF(B721=$AB$2,$AC$2,$AC$3)</f>
        <v>1</v>
      </c>
      <c r="E721">
        <f>IF(ISBLANK(C721),0,VLOOKUP(C721,$AE$2:$AF$7,2,0))</f>
        <v>0.5</v>
      </c>
      <c r="F721">
        <f t="shared" si="24"/>
        <v>0.5</v>
      </c>
    </row>
    <row r="722" spans="1:6">
      <c r="A722" s="30">
        <f t="shared" si="23"/>
        <v>43812</v>
      </c>
      <c r="B722" s="32" t="s">
        <v>199</v>
      </c>
      <c r="C722" t="s">
        <v>203</v>
      </c>
      <c r="D722">
        <f>IF(B722=$AB$2,$AC$2,$AC$3)</f>
        <v>1</v>
      </c>
      <c r="E722">
        <f>IF(ISBLANK(C722),0,VLOOKUP(C722,$AE$2:$AF$7,2,0))</f>
        <v>0.5</v>
      </c>
      <c r="F722">
        <f t="shared" si="24"/>
        <v>0.5</v>
      </c>
    </row>
    <row r="723" spans="1:6">
      <c r="A723" s="30">
        <f t="shared" si="23"/>
        <v>43813</v>
      </c>
      <c r="B723" s="32" t="s">
        <v>199</v>
      </c>
      <c r="C723" t="s">
        <v>203</v>
      </c>
      <c r="D723">
        <f>IF(B723=$AB$2,$AC$2,$AC$3)</f>
        <v>1</v>
      </c>
      <c r="E723">
        <f>IF(ISBLANK(C723),0,VLOOKUP(C723,$AE$2:$AF$7,2,0))</f>
        <v>0.5</v>
      </c>
      <c r="F723">
        <f t="shared" si="24"/>
        <v>0.5</v>
      </c>
    </row>
    <row r="724" spans="1:6">
      <c r="A724" s="30">
        <f t="shared" si="23"/>
        <v>43814</v>
      </c>
      <c r="B724" s="32" t="s">
        <v>199</v>
      </c>
      <c r="C724" t="s">
        <v>203</v>
      </c>
      <c r="D724">
        <f>IF(B724=$AB$2,$AC$2,$AC$3)</f>
        <v>1</v>
      </c>
      <c r="E724">
        <f>IF(ISBLANK(C724),0,VLOOKUP(C724,$AE$2:$AF$7,2,0))</f>
        <v>0.5</v>
      </c>
      <c r="F724">
        <f t="shared" si="24"/>
        <v>0.5</v>
      </c>
    </row>
    <row r="725" spans="1:6">
      <c r="A725" s="30">
        <f t="shared" si="23"/>
        <v>43815</v>
      </c>
      <c r="B725" s="32" t="s">
        <v>199</v>
      </c>
      <c r="C725" t="s">
        <v>203</v>
      </c>
      <c r="D725">
        <f>IF(B725=$AB$2,$AC$2,$AC$3)</f>
        <v>1</v>
      </c>
      <c r="E725">
        <f>IF(ISBLANK(C725),0,VLOOKUP(C725,$AE$2:$AF$7,2,0))</f>
        <v>0.5</v>
      </c>
      <c r="F725">
        <f t="shared" si="24"/>
        <v>0.5</v>
      </c>
    </row>
    <row r="726" spans="1:6">
      <c r="A726" s="30">
        <f t="shared" si="23"/>
        <v>43816</v>
      </c>
      <c r="B726" s="32" t="s">
        <v>199</v>
      </c>
      <c r="C726" t="s">
        <v>203</v>
      </c>
      <c r="D726">
        <f>IF(B726=$AB$2,$AC$2,$AC$3)</f>
        <v>1</v>
      </c>
      <c r="E726">
        <f>IF(ISBLANK(C726),0,VLOOKUP(C726,$AE$2:$AF$7,2,0))</f>
        <v>0.5</v>
      </c>
      <c r="F726">
        <f t="shared" si="24"/>
        <v>0.5</v>
      </c>
    </row>
    <row r="727" spans="1:6">
      <c r="A727" s="30">
        <f t="shared" si="23"/>
        <v>43817</v>
      </c>
      <c r="B727" s="32" t="s">
        <v>199</v>
      </c>
      <c r="C727" t="s">
        <v>203</v>
      </c>
      <c r="D727">
        <f>IF(B727=$AB$2,$AC$2,$AC$3)</f>
        <v>1</v>
      </c>
      <c r="E727">
        <f>IF(ISBLANK(C727),0,VLOOKUP(C727,$AE$2:$AF$7,2,0))</f>
        <v>0.5</v>
      </c>
      <c r="F727">
        <f t="shared" si="24"/>
        <v>0.5</v>
      </c>
    </row>
    <row r="728" spans="1:6">
      <c r="A728" s="30">
        <f t="shared" si="23"/>
        <v>43818</v>
      </c>
      <c r="B728" s="32" t="s">
        <v>199</v>
      </c>
      <c r="C728" t="s">
        <v>203</v>
      </c>
      <c r="D728">
        <f>IF(B728=$AB$2,$AC$2,$AC$3)</f>
        <v>1</v>
      </c>
      <c r="E728">
        <f>IF(ISBLANK(C728),0,VLOOKUP(C728,$AE$2:$AF$7,2,0))</f>
        <v>0.5</v>
      </c>
      <c r="F728">
        <f t="shared" si="24"/>
        <v>0.5</v>
      </c>
    </row>
    <row r="729" spans="1:6">
      <c r="A729" s="30">
        <f t="shared" si="23"/>
        <v>43819</v>
      </c>
      <c r="B729" s="32" t="s">
        <v>199</v>
      </c>
      <c r="C729" t="s">
        <v>203</v>
      </c>
      <c r="D729">
        <f>IF(B729=$AB$2,$AC$2,$AC$3)</f>
        <v>1</v>
      </c>
      <c r="E729">
        <f>IF(ISBLANK(C729),0,VLOOKUP(C729,$AE$2:$AF$7,2,0))</f>
        <v>0.5</v>
      </c>
      <c r="F729">
        <f t="shared" si="24"/>
        <v>0.5</v>
      </c>
    </row>
    <row r="730" spans="1:6">
      <c r="A730" s="30">
        <f t="shared" si="23"/>
        <v>43820</v>
      </c>
      <c r="B730" s="32" t="s">
        <v>199</v>
      </c>
      <c r="C730" t="s">
        <v>203</v>
      </c>
      <c r="D730">
        <f>IF(B730=$AB$2,$AC$2,$AC$3)</f>
        <v>1</v>
      </c>
      <c r="E730">
        <f>IF(ISBLANK(C730),0,VLOOKUP(C730,$AE$2:$AF$7,2,0))</f>
        <v>0.5</v>
      </c>
      <c r="F730">
        <f t="shared" si="24"/>
        <v>0.5</v>
      </c>
    </row>
    <row r="731" spans="1:6">
      <c r="A731" s="30">
        <f t="shared" si="23"/>
        <v>43821</v>
      </c>
      <c r="B731" s="32" t="s">
        <v>199</v>
      </c>
      <c r="C731" t="s">
        <v>203</v>
      </c>
      <c r="D731">
        <f>IF(B731=$AB$2,$AC$2,$AC$3)</f>
        <v>1</v>
      </c>
      <c r="E731">
        <f>IF(ISBLANK(C731),0,VLOOKUP(C731,$AE$2:$AF$7,2,0))</f>
        <v>0.5</v>
      </c>
      <c r="F731">
        <f t="shared" si="24"/>
        <v>0.5</v>
      </c>
    </row>
    <row r="732" spans="1:6">
      <c r="A732" s="30">
        <f t="shared" si="23"/>
        <v>43822</v>
      </c>
      <c r="B732" s="32" t="s">
        <v>199</v>
      </c>
      <c r="C732" t="s">
        <v>207</v>
      </c>
      <c r="D732">
        <f>IF(B732=$AB$2,$AC$2,$AC$3)</f>
        <v>1</v>
      </c>
      <c r="E732">
        <f>IF(ISBLANK(C732),0,VLOOKUP(C732,$AE$2:$AF$7,2,0))</f>
        <v>0.5</v>
      </c>
      <c r="F732">
        <f t="shared" si="24"/>
        <v>0.5</v>
      </c>
    </row>
    <row r="733" spans="1:6">
      <c r="A733" s="30">
        <f t="shared" si="23"/>
        <v>43823</v>
      </c>
      <c r="B733" s="32" t="s">
        <v>199</v>
      </c>
      <c r="C733" t="s">
        <v>207</v>
      </c>
      <c r="D733">
        <f>IF(B733=$AB$2,$AC$2,$AC$3)</f>
        <v>1</v>
      </c>
      <c r="E733">
        <f>IF(ISBLANK(C733),0,VLOOKUP(C733,$AE$2:$AF$7,2,0))</f>
        <v>0.5</v>
      </c>
      <c r="F733">
        <f t="shared" si="24"/>
        <v>0.5</v>
      </c>
    </row>
    <row r="734" spans="1:6">
      <c r="A734" s="30">
        <f t="shared" si="23"/>
        <v>43824</v>
      </c>
      <c r="B734" s="32" t="s">
        <v>199</v>
      </c>
      <c r="C734" t="s">
        <v>207</v>
      </c>
      <c r="D734">
        <f>IF(B734=$AB$2,$AC$2,$AC$3)</f>
        <v>1</v>
      </c>
      <c r="E734">
        <f>IF(ISBLANK(C734),0,VLOOKUP(C734,$AE$2:$AF$7,2,0))</f>
        <v>0.5</v>
      </c>
      <c r="F734">
        <f t="shared" si="24"/>
        <v>0.5</v>
      </c>
    </row>
    <row r="735" spans="1:6">
      <c r="A735" s="30">
        <f t="shared" si="23"/>
        <v>43825</v>
      </c>
      <c r="B735" s="32" t="s">
        <v>199</v>
      </c>
      <c r="C735" t="s">
        <v>207</v>
      </c>
      <c r="D735">
        <f>IF(B735=$AB$2,$AC$2,$AC$3)</f>
        <v>1</v>
      </c>
      <c r="E735">
        <f>IF(ISBLANK(C735),0,VLOOKUP(C735,$AE$2:$AF$7,2,0))</f>
        <v>0.5</v>
      </c>
      <c r="F735">
        <f t="shared" si="24"/>
        <v>0.5</v>
      </c>
    </row>
    <row r="736" spans="1:6">
      <c r="A736" s="30">
        <f t="shared" si="23"/>
        <v>43826</v>
      </c>
      <c r="B736" s="32" t="s">
        <v>199</v>
      </c>
      <c r="C736" t="s">
        <v>207</v>
      </c>
      <c r="D736">
        <f>IF(B736=$AB$2,$AC$2,$AC$3)</f>
        <v>1</v>
      </c>
      <c r="E736">
        <f>IF(ISBLANK(C736),0,VLOOKUP(C736,$AE$2:$AF$7,2,0))</f>
        <v>0.5</v>
      </c>
      <c r="F736">
        <f t="shared" si="24"/>
        <v>0.5</v>
      </c>
    </row>
    <row r="737" spans="1:6">
      <c r="A737" s="30">
        <f t="shared" si="23"/>
        <v>43827</v>
      </c>
      <c r="B737" s="32" t="s">
        <v>199</v>
      </c>
      <c r="C737" t="s">
        <v>207</v>
      </c>
      <c r="D737">
        <f>IF(B737=$AB$2,$AC$2,$AC$3)</f>
        <v>1</v>
      </c>
      <c r="E737">
        <f>IF(ISBLANK(C737),0,VLOOKUP(C737,$AE$2:$AF$7,2,0))</f>
        <v>0.5</v>
      </c>
      <c r="F737">
        <f t="shared" si="24"/>
        <v>0.5</v>
      </c>
    </row>
    <row r="738" spans="1:6">
      <c r="A738" s="30">
        <f t="shared" si="23"/>
        <v>43828</v>
      </c>
      <c r="B738" s="32" t="s">
        <v>199</v>
      </c>
      <c r="C738" t="s">
        <v>207</v>
      </c>
      <c r="D738">
        <f>IF(B738=$AB$2,$AC$2,$AC$3)</f>
        <v>1</v>
      </c>
      <c r="E738">
        <f>IF(ISBLANK(C738),0,VLOOKUP(C738,$AE$2:$AF$7,2,0))</f>
        <v>0.5</v>
      </c>
      <c r="F738">
        <f t="shared" si="24"/>
        <v>0.5</v>
      </c>
    </row>
    <row r="739" spans="1:6">
      <c r="A739" s="30">
        <f t="shared" si="23"/>
        <v>43829</v>
      </c>
      <c r="B739" s="32" t="s">
        <v>199</v>
      </c>
      <c r="C739" t="s">
        <v>207</v>
      </c>
      <c r="D739">
        <f>IF(B739=$AB$2,$AC$2,$AC$3)</f>
        <v>1</v>
      </c>
      <c r="E739">
        <f>IF(ISBLANK(C739),0,VLOOKUP(C739,$AE$2:$AF$7,2,0))</f>
        <v>0.5</v>
      </c>
      <c r="F739">
        <f t="shared" si="24"/>
        <v>0.5</v>
      </c>
    </row>
    <row r="740" spans="1:6">
      <c r="A740" s="30">
        <f t="shared" si="23"/>
        <v>43830</v>
      </c>
      <c r="B740" s="32" t="s">
        <v>199</v>
      </c>
      <c r="C740" t="s">
        <v>207</v>
      </c>
      <c r="D740">
        <f>IF(B740=$AB$2,$AC$2,$AC$3)</f>
        <v>1</v>
      </c>
      <c r="E740">
        <f>IF(ISBLANK(C740),0,VLOOKUP(C740,$AE$2:$AF$7,2,0))</f>
        <v>0.5</v>
      </c>
      <c r="F740">
        <f t="shared" si="24"/>
        <v>0.5</v>
      </c>
    </row>
    <row r="741" spans="1:6">
      <c r="A741" s="30">
        <f t="shared" si="23"/>
        <v>43831</v>
      </c>
      <c r="B741" s="32" t="s">
        <v>199</v>
      </c>
      <c r="C741" t="s">
        <v>207</v>
      </c>
      <c r="D741">
        <f>IF(B741=$AB$2,$AC$2,$AC$3)</f>
        <v>1</v>
      </c>
      <c r="E741">
        <f>IF(ISBLANK(C741),0,VLOOKUP(C741,$AE$2:$AF$7,2,0))</f>
        <v>0.5</v>
      </c>
      <c r="F741">
        <f t="shared" si="24"/>
        <v>0.5</v>
      </c>
    </row>
    <row r="742" spans="1:6">
      <c r="A742" s="30">
        <f t="shared" si="23"/>
        <v>43832</v>
      </c>
      <c r="B742" s="32" t="s">
        <v>199</v>
      </c>
      <c r="C742" t="s">
        <v>207</v>
      </c>
      <c r="D742">
        <f>IF(B742=$AB$2,$AC$2,$AC$3)</f>
        <v>1</v>
      </c>
      <c r="E742">
        <f>IF(ISBLANK(C742),0,VLOOKUP(C742,$AE$2:$AF$7,2,0))</f>
        <v>0.5</v>
      </c>
      <c r="F742">
        <f t="shared" si="24"/>
        <v>0.5</v>
      </c>
    </row>
    <row r="743" spans="1:6">
      <c r="A743" s="30">
        <f t="shared" si="23"/>
        <v>43833</v>
      </c>
      <c r="B743" s="32" t="s">
        <v>199</v>
      </c>
      <c r="C743" t="s">
        <v>207</v>
      </c>
      <c r="D743">
        <f>IF(B743=$AB$2,$AC$2,$AC$3)</f>
        <v>1</v>
      </c>
      <c r="E743">
        <f>IF(ISBLANK(C743),0,VLOOKUP(C743,$AE$2:$AF$7,2,0))</f>
        <v>0.5</v>
      </c>
      <c r="F743">
        <f t="shared" si="24"/>
        <v>0.5</v>
      </c>
    </row>
    <row r="744" spans="1:6">
      <c r="A744" s="30">
        <f t="shared" si="23"/>
        <v>43834</v>
      </c>
      <c r="B744" s="32" t="s">
        <v>199</v>
      </c>
      <c r="C744" t="s">
        <v>207</v>
      </c>
      <c r="D744">
        <f>IF(B744=$AB$2,$AC$2,$AC$3)</f>
        <v>1</v>
      </c>
      <c r="E744">
        <f>IF(ISBLANK(C744),0,VLOOKUP(C744,$AE$2:$AF$7,2,0))</f>
        <v>0.5</v>
      </c>
      <c r="F744">
        <f t="shared" si="24"/>
        <v>0.5</v>
      </c>
    </row>
    <row r="745" spans="1:6">
      <c r="A745" s="30">
        <f t="shared" si="23"/>
        <v>43835</v>
      </c>
      <c r="B745" s="32" t="s">
        <v>199</v>
      </c>
      <c r="C745" t="s">
        <v>207</v>
      </c>
      <c r="D745">
        <f>IF(B745=$AB$2,$AC$2,$AC$3)</f>
        <v>1</v>
      </c>
      <c r="E745">
        <f>IF(ISBLANK(C745),0,VLOOKUP(C745,$AE$2:$AF$7,2,0))</f>
        <v>0.5</v>
      </c>
      <c r="F745">
        <f t="shared" si="24"/>
        <v>0.5</v>
      </c>
    </row>
    <row r="746" spans="1:6">
      <c r="A746" s="30">
        <f t="shared" si="23"/>
        <v>43836</v>
      </c>
      <c r="B746" s="32" t="s">
        <v>199</v>
      </c>
      <c r="C746" t="s">
        <v>207</v>
      </c>
      <c r="D746">
        <f>IF(B746=$AB$2,$AC$2,$AC$3)</f>
        <v>1</v>
      </c>
      <c r="E746">
        <f>IF(ISBLANK(C746),0,VLOOKUP(C746,$AE$2:$AF$7,2,0))</f>
        <v>0.5</v>
      </c>
      <c r="F746">
        <f t="shared" si="24"/>
        <v>0.5</v>
      </c>
    </row>
    <row r="747" spans="1:6">
      <c r="A747" s="30">
        <f t="shared" si="23"/>
        <v>43837</v>
      </c>
      <c r="B747" s="32" t="s">
        <v>199</v>
      </c>
      <c r="C747" t="s">
        <v>207</v>
      </c>
      <c r="D747">
        <f>IF(B747=$AB$2,$AC$2,$AC$3)</f>
        <v>1</v>
      </c>
      <c r="E747">
        <f>IF(ISBLANK(C747),0,VLOOKUP(C747,$AE$2:$AF$7,2,0))</f>
        <v>0.5</v>
      </c>
      <c r="F747">
        <f t="shared" si="24"/>
        <v>0.5</v>
      </c>
    </row>
    <row r="748" spans="1:6">
      <c r="A748" s="30">
        <f t="shared" si="23"/>
        <v>43838</v>
      </c>
      <c r="B748" s="32" t="s">
        <v>199</v>
      </c>
      <c r="C748" t="s">
        <v>207</v>
      </c>
      <c r="D748">
        <f>IF(B748=$AB$2,$AC$2,$AC$3)</f>
        <v>1</v>
      </c>
      <c r="E748">
        <f>IF(ISBLANK(C748),0,VLOOKUP(C748,$AE$2:$AF$7,2,0))</f>
        <v>0.5</v>
      </c>
      <c r="F748">
        <f t="shared" si="24"/>
        <v>0.5</v>
      </c>
    </row>
    <row r="749" spans="1:6">
      <c r="A749" s="30">
        <f t="shared" si="23"/>
        <v>43839</v>
      </c>
      <c r="B749" s="32" t="s">
        <v>199</v>
      </c>
      <c r="C749" t="s">
        <v>207</v>
      </c>
      <c r="D749">
        <f>IF(B749=$AB$2,$AC$2,$AC$3)</f>
        <v>1</v>
      </c>
      <c r="E749">
        <f>IF(ISBLANK(C749),0,VLOOKUP(C749,$AE$2:$AF$7,2,0))</f>
        <v>0.5</v>
      </c>
      <c r="F749">
        <f t="shared" si="24"/>
        <v>0.5</v>
      </c>
    </row>
    <row r="750" spans="1:6">
      <c r="A750" s="30">
        <f t="shared" si="23"/>
        <v>43840</v>
      </c>
      <c r="B750" s="32" t="s">
        <v>199</v>
      </c>
      <c r="C750" t="s">
        <v>207</v>
      </c>
      <c r="D750">
        <f>IF(B750=$AB$2,$AC$2,$AC$3)</f>
        <v>1</v>
      </c>
      <c r="E750">
        <f>IF(ISBLANK(C750),0,VLOOKUP(C750,$AE$2:$AF$7,2,0))</f>
        <v>0.5</v>
      </c>
      <c r="F750">
        <f t="shared" si="24"/>
        <v>0.5</v>
      </c>
    </row>
    <row r="751" spans="1:6">
      <c r="A751" s="30">
        <f t="shared" si="23"/>
        <v>43841</v>
      </c>
      <c r="B751" s="32" t="s">
        <v>199</v>
      </c>
      <c r="C751" t="s">
        <v>207</v>
      </c>
      <c r="D751">
        <f>IF(B751=$AB$2,$AC$2,$AC$3)</f>
        <v>1</v>
      </c>
      <c r="E751">
        <f>IF(ISBLANK(C751),0,VLOOKUP(C751,$AE$2:$AF$7,2,0))</f>
        <v>0.5</v>
      </c>
      <c r="F751">
        <f t="shared" si="24"/>
        <v>0.5</v>
      </c>
    </row>
    <row r="752" spans="1:6">
      <c r="A752" s="30">
        <f t="shared" ref="A752:A800" si="25">A751+1</f>
        <v>43842</v>
      </c>
      <c r="B752" s="32" t="s">
        <v>199</v>
      </c>
      <c r="C752" t="s">
        <v>207</v>
      </c>
      <c r="D752">
        <f>IF(B752=$AB$2,$AC$2,$AC$3)</f>
        <v>1</v>
      </c>
      <c r="E752">
        <f>IF(ISBLANK(C752),0,VLOOKUP(C752,$AE$2:$AF$7,2,0))</f>
        <v>0.5</v>
      </c>
      <c r="F752">
        <f t="shared" si="24"/>
        <v>0.5</v>
      </c>
    </row>
    <row r="753" spans="1:6">
      <c r="A753" s="30">
        <f t="shared" si="25"/>
        <v>43843</v>
      </c>
      <c r="B753" s="32" t="s">
        <v>199</v>
      </c>
      <c r="C753" t="s">
        <v>207</v>
      </c>
      <c r="D753">
        <f>IF(B753=$AB$2,$AC$2,$AC$3)</f>
        <v>1</v>
      </c>
      <c r="E753">
        <f>IF(ISBLANK(C753),0,VLOOKUP(C753,$AE$2:$AF$7,2,0))</f>
        <v>0.5</v>
      </c>
      <c r="F753">
        <f t="shared" si="24"/>
        <v>0.5</v>
      </c>
    </row>
    <row r="754" spans="1:6">
      <c r="A754" s="30">
        <f t="shared" si="25"/>
        <v>43844</v>
      </c>
      <c r="B754" s="32" t="s">
        <v>199</v>
      </c>
      <c r="C754" t="s">
        <v>207</v>
      </c>
      <c r="D754">
        <f>IF(B754=$AB$2,$AC$2,$AC$3)</f>
        <v>1</v>
      </c>
      <c r="E754">
        <f>IF(ISBLANK(C754),0,VLOOKUP(C754,$AE$2:$AF$7,2,0))</f>
        <v>0.5</v>
      </c>
      <c r="F754">
        <f t="shared" si="24"/>
        <v>0.5</v>
      </c>
    </row>
    <row r="755" spans="1:6">
      <c r="A755" s="30">
        <f t="shared" si="25"/>
        <v>43845</v>
      </c>
      <c r="B755" s="32" t="s">
        <v>199</v>
      </c>
      <c r="C755" t="s">
        <v>207</v>
      </c>
      <c r="D755">
        <f>IF(B755=$AB$2,$AC$2,$AC$3)</f>
        <v>1</v>
      </c>
      <c r="E755">
        <f>IF(ISBLANK(C755),0,VLOOKUP(C755,$AE$2:$AF$7,2,0))</f>
        <v>0.5</v>
      </c>
      <c r="F755">
        <f t="shared" si="24"/>
        <v>0.5</v>
      </c>
    </row>
    <row r="756" spans="1:6">
      <c r="A756" s="30">
        <f t="shared" si="25"/>
        <v>43846</v>
      </c>
      <c r="B756" s="32" t="s">
        <v>199</v>
      </c>
      <c r="C756" t="s">
        <v>207</v>
      </c>
      <c r="D756">
        <f>IF(B756=$AB$2,$AC$2,$AC$3)</f>
        <v>1</v>
      </c>
      <c r="E756">
        <f>IF(ISBLANK(C756),0,VLOOKUP(C756,$AE$2:$AF$7,2,0))</f>
        <v>0.5</v>
      </c>
      <c r="F756">
        <f t="shared" si="24"/>
        <v>0.5</v>
      </c>
    </row>
    <row r="757" spans="1:6">
      <c r="A757" s="30">
        <f t="shared" si="25"/>
        <v>43847</v>
      </c>
      <c r="B757" s="32" t="s">
        <v>199</v>
      </c>
      <c r="C757" t="s">
        <v>207</v>
      </c>
      <c r="D757">
        <f>IF(B757=$AB$2,$AC$2,$AC$3)</f>
        <v>1</v>
      </c>
      <c r="E757">
        <f>IF(ISBLANK(C757),0,VLOOKUP(C757,$AE$2:$AF$7,2,0))</f>
        <v>0.5</v>
      </c>
      <c r="F757">
        <f t="shared" si="24"/>
        <v>0.5</v>
      </c>
    </row>
    <row r="758" spans="1:6">
      <c r="A758" s="30">
        <f t="shared" si="25"/>
        <v>43848</v>
      </c>
      <c r="B758" s="32" t="s">
        <v>199</v>
      </c>
      <c r="C758" t="s">
        <v>207</v>
      </c>
      <c r="D758">
        <f>IF(B758=$AB$2,$AC$2,$AC$3)</f>
        <v>1</v>
      </c>
      <c r="E758">
        <f>IF(ISBLANK(C758),0,VLOOKUP(C758,$AE$2:$AF$7,2,0))</f>
        <v>0.5</v>
      </c>
      <c r="F758">
        <f t="shared" si="24"/>
        <v>0.5</v>
      </c>
    </row>
    <row r="759" spans="1:6">
      <c r="A759" s="30">
        <f t="shared" si="25"/>
        <v>43849</v>
      </c>
      <c r="B759" s="32" t="s">
        <v>199</v>
      </c>
      <c r="C759" t="s">
        <v>207</v>
      </c>
      <c r="D759">
        <f>IF(B759=$AB$2,$AC$2,$AC$3)</f>
        <v>1</v>
      </c>
      <c r="E759">
        <f>IF(ISBLANK(C759),0,VLOOKUP(C759,$AE$2:$AF$7,2,0))</f>
        <v>0.5</v>
      </c>
      <c r="F759">
        <f t="shared" si="24"/>
        <v>0.5</v>
      </c>
    </row>
    <row r="760" spans="1:6">
      <c r="A760" s="30">
        <f t="shared" si="25"/>
        <v>43850</v>
      </c>
      <c r="B760" s="32" t="s">
        <v>199</v>
      </c>
      <c r="C760" t="s">
        <v>207</v>
      </c>
      <c r="D760">
        <f>IF(B760=$AB$2,$AC$2,$AC$3)</f>
        <v>1</v>
      </c>
      <c r="E760">
        <f>IF(ISBLANK(C760),0,VLOOKUP(C760,$AE$2:$AF$7,2,0))</f>
        <v>0.5</v>
      </c>
      <c r="F760">
        <f t="shared" si="24"/>
        <v>0.5</v>
      </c>
    </row>
    <row r="761" spans="1:6">
      <c r="A761" s="30">
        <f t="shared" si="25"/>
        <v>43851</v>
      </c>
      <c r="B761" s="32" t="s">
        <v>199</v>
      </c>
      <c r="C761" t="s">
        <v>207</v>
      </c>
      <c r="D761">
        <f>IF(B761=$AB$2,$AC$2,$AC$3)</f>
        <v>1</v>
      </c>
      <c r="E761">
        <f>IF(ISBLANK(C761),0,VLOOKUP(C761,$AE$2:$AF$7,2,0))</f>
        <v>0.5</v>
      </c>
      <c r="F761">
        <f t="shared" si="24"/>
        <v>0.5</v>
      </c>
    </row>
    <row r="762" spans="1:6">
      <c r="A762" s="30">
        <f t="shared" si="25"/>
        <v>43852</v>
      </c>
      <c r="B762" s="32" t="s">
        <v>199</v>
      </c>
      <c r="C762" t="s">
        <v>207</v>
      </c>
      <c r="D762">
        <f>IF(B762=$AB$2,$AC$2,$AC$3)</f>
        <v>1</v>
      </c>
      <c r="E762">
        <f>IF(ISBLANK(C762),0,VLOOKUP(C762,$AE$2:$AF$7,2,0))</f>
        <v>0.5</v>
      </c>
      <c r="F762">
        <f t="shared" si="24"/>
        <v>0.5</v>
      </c>
    </row>
    <row r="763" spans="1:6">
      <c r="A763" s="30">
        <f t="shared" si="25"/>
        <v>43853</v>
      </c>
      <c r="B763" s="32" t="s">
        <v>199</v>
      </c>
      <c r="C763" t="s">
        <v>207</v>
      </c>
      <c r="D763">
        <f>IF(B763=$AB$2,$AC$2,$AC$3)</f>
        <v>1</v>
      </c>
      <c r="E763">
        <f>IF(ISBLANK(C763),0,VLOOKUP(C763,$AE$2:$AF$7,2,0))</f>
        <v>0.5</v>
      </c>
      <c r="F763">
        <f t="shared" si="24"/>
        <v>0.5</v>
      </c>
    </row>
    <row r="764" spans="1:6">
      <c r="A764" s="30">
        <f t="shared" si="25"/>
        <v>43854</v>
      </c>
      <c r="B764" s="32" t="s">
        <v>199</v>
      </c>
      <c r="C764" t="s">
        <v>207</v>
      </c>
      <c r="D764">
        <f>IF(B764=$AB$2,$AC$2,$AC$3)</f>
        <v>1</v>
      </c>
      <c r="E764">
        <f>IF(ISBLANK(C764),0,VLOOKUP(C764,$AE$2:$AF$7,2,0))</f>
        <v>0.5</v>
      </c>
      <c r="F764">
        <f t="shared" si="24"/>
        <v>0.5</v>
      </c>
    </row>
    <row r="765" spans="1:6">
      <c r="A765" s="30">
        <f t="shared" si="25"/>
        <v>43855</v>
      </c>
      <c r="B765" s="32" t="s">
        <v>199</v>
      </c>
      <c r="C765" t="s">
        <v>207</v>
      </c>
      <c r="D765">
        <f>IF(B765=$AB$2,$AC$2,$AC$3)</f>
        <v>1</v>
      </c>
      <c r="E765">
        <f>IF(ISBLANK(C765),0,VLOOKUP(C765,$AE$2:$AF$7,2,0))</f>
        <v>0.5</v>
      </c>
      <c r="F765">
        <f t="shared" si="24"/>
        <v>0.5</v>
      </c>
    </row>
    <row r="766" spans="1:6">
      <c r="A766" s="30">
        <f t="shared" si="25"/>
        <v>43856</v>
      </c>
      <c r="B766" s="32" t="s">
        <v>199</v>
      </c>
      <c r="C766" t="s">
        <v>207</v>
      </c>
      <c r="D766">
        <f>IF(B766=$AB$2,$AC$2,$AC$3)</f>
        <v>1</v>
      </c>
      <c r="E766">
        <f>IF(ISBLANK(C766),0,VLOOKUP(C766,$AE$2:$AF$7,2,0))</f>
        <v>0.5</v>
      </c>
      <c r="F766">
        <f t="shared" si="24"/>
        <v>0.5</v>
      </c>
    </row>
    <row r="767" spans="1:6">
      <c r="A767" s="30">
        <f t="shared" si="25"/>
        <v>43857</v>
      </c>
      <c r="B767" s="32" t="s">
        <v>199</v>
      </c>
      <c r="C767" t="s">
        <v>207</v>
      </c>
      <c r="D767">
        <f>IF(B767=$AB$2,$AC$2,$AC$3)</f>
        <v>1</v>
      </c>
      <c r="E767">
        <f>IF(ISBLANK(C767),0,VLOOKUP(C767,$AE$2:$AF$7,2,0))</f>
        <v>0.5</v>
      </c>
      <c r="F767">
        <f t="shared" si="24"/>
        <v>0.5</v>
      </c>
    </row>
    <row r="768" spans="1:6">
      <c r="A768" s="30">
        <f t="shared" si="25"/>
        <v>43858</v>
      </c>
      <c r="B768" s="32" t="s">
        <v>199</v>
      </c>
      <c r="C768" t="s">
        <v>207</v>
      </c>
      <c r="D768">
        <f>IF(B768=$AB$2,$AC$2,$AC$3)</f>
        <v>1</v>
      </c>
      <c r="E768">
        <f>IF(ISBLANK(C768),0,VLOOKUP(C768,$AE$2:$AF$7,2,0))</f>
        <v>0.5</v>
      </c>
      <c r="F768">
        <f t="shared" si="24"/>
        <v>0.5</v>
      </c>
    </row>
    <row r="769" spans="1:6">
      <c r="A769" s="30">
        <f t="shared" si="25"/>
        <v>43859</v>
      </c>
      <c r="B769" s="32" t="s">
        <v>199</v>
      </c>
      <c r="C769" t="s">
        <v>207</v>
      </c>
      <c r="D769">
        <f>IF(B769=$AB$2,$AC$2,$AC$3)</f>
        <v>1</v>
      </c>
      <c r="E769">
        <f>IF(ISBLANK(C769),0,VLOOKUP(C769,$AE$2:$AF$7,2,0))</f>
        <v>0.5</v>
      </c>
      <c r="F769">
        <f t="shared" si="24"/>
        <v>0.5</v>
      </c>
    </row>
    <row r="770" spans="1:6">
      <c r="A770" s="30">
        <f t="shared" si="25"/>
        <v>43860</v>
      </c>
      <c r="B770" s="32" t="s">
        <v>199</v>
      </c>
      <c r="C770" t="s">
        <v>207</v>
      </c>
      <c r="D770">
        <f>IF(B770=$AB$2,$AC$2,$AC$3)</f>
        <v>1</v>
      </c>
      <c r="E770">
        <f>IF(ISBLANK(C770),0,VLOOKUP(C770,$AE$2:$AF$7,2,0))</f>
        <v>0.5</v>
      </c>
      <c r="F770">
        <f t="shared" si="24"/>
        <v>0.5</v>
      </c>
    </row>
    <row r="771" spans="1:6">
      <c r="A771" s="30">
        <f t="shared" si="25"/>
        <v>43861</v>
      </c>
      <c r="B771" s="32" t="s">
        <v>199</v>
      </c>
      <c r="C771" t="s">
        <v>207</v>
      </c>
      <c r="D771">
        <f>IF(B771=$AB$2,$AC$2,$AC$3)</f>
        <v>1</v>
      </c>
      <c r="E771">
        <f>IF(ISBLANK(C771),0,VLOOKUP(C771,$AE$2:$AF$7,2,0))</f>
        <v>0.5</v>
      </c>
      <c r="F771">
        <f t="shared" ref="F771:F834" si="26">D771*E771</f>
        <v>0.5</v>
      </c>
    </row>
    <row r="772" spans="1:6">
      <c r="A772" s="30">
        <f t="shared" si="25"/>
        <v>43862</v>
      </c>
      <c r="B772" s="32" t="s">
        <v>199</v>
      </c>
      <c r="C772" t="s">
        <v>207</v>
      </c>
      <c r="D772">
        <f>IF(B772=$AB$2,$AC$2,$AC$3)</f>
        <v>1</v>
      </c>
      <c r="E772">
        <f>IF(ISBLANK(C772),0,VLOOKUP(C772,$AE$2:$AF$7,2,0))</f>
        <v>0.5</v>
      </c>
      <c r="F772">
        <f t="shared" si="26"/>
        <v>0.5</v>
      </c>
    </row>
    <row r="773" spans="1:6">
      <c r="A773" s="30">
        <f t="shared" si="25"/>
        <v>43863</v>
      </c>
      <c r="B773" s="32" t="s">
        <v>199</v>
      </c>
      <c r="C773" t="s">
        <v>207</v>
      </c>
      <c r="D773">
        <f>IF(B773=$AB$2,$AC$2,$AC$3)</f>
        <v>1</v>
      </c>
      <c r="E773">
        <f>IF(ISBLANK(C773),0,VLOOKUP(C773,$AE$2:$AF$7,2,0))</f>
        <v>0.5</v>
      </c>
      <c r="F773">
        <f t="shared" si="26"/>
        <v>0.5</v>
      </c>
    </row>
    <row r="774" spans="1:6">
      <c r="A774" s="30">
        <f t="shared" si="25"/>
        <v>43864</v>
      </c>
      <c r="B774" s="32" t="s">
        <v>199</v>
      </c>
      <c r="C774" t="s">
        <v>207</v>
      </c>
      <c r="D774">
        <f>IF(B774=$AB$2,$AC$2,$AC$3)</f>
        <v>1</v>
      </c>
      <c r="E774">
        <f>IF(ISBLANK(C774),0,VLOOKUP(C774,$AE$2:$AF$7,2,0))</f>
        <v>0.5</v>
      </c>
      <c r="F774">
        <f t="shared" si="26"/>
        <v>0.5</v>
      </c>
    </row>
    <row r="775" spans="1:6">
      <c r="A775" s="30">
        <f t="shared" si="25"/>
        <v>43865</v>
      </c>
      <c r="B775" s="32" t="s">
        <v>199</v>
      </c>
      <c r="C775" t="s">
        <v>207</v>
      </c>
      <c r="D775">
        <f>IF(B775=$AB$2,$AC$2,$AC$3)</f>
        <v>1</v>
      </c>
      <c r="E775">
        <f>IF(ISBLANK(C775),0,VLOOKUP(C775,$AE$2:$AF$7,2,0))</f>
        <v>0.5</v>
      </c>
      <c r="F775">
        <f t="shared" si="26"/>
        <v>0.5</v>
      </c>
    </row>
    <row r="776" spans="1:6">
      <c r="A776" s="30">
        <f t="shared" si="25"/>
        <v>43866</v>
      </c>
      <c r="B776" s="32" t="s">
        <v>199</v>
      </c>
      <c r="C776" t="s">
        <v>207</v>
      </c>
      <c r="D776">
        <f>IF(B776=$AB$2,$AC$2,$AC$3)</f>
        <v>1</v>
      </c>
      <c r="E776">
        <f>IF(ISBLANK(C776),0,VLOOKUP(C776,$AE$2:$AF$7,2,0))</f>
        <v>0.5</v>
      </c>
      <c r="F776">
        <f t="shared" si="26"/>
        <v>0.5</v>
      </c>
    </row>
    <row r="777" spans="1:6">
      <c r="A777" s="30">
        <f t="shared" si="25"/>
        <v>43867</v>
      </c>
      <c r="B777" s="32" t="s">
        <v>199</v>
      </c>
      <c r="C777" t="s">
        <v>207</v>
      </c>
      <c r="D777">
        <f>IF(B777=$AB$2,$AC$2,$AC$3)</f>
        <v>1</v>
      </c>
      <c r="E777">
        <f>IF(ISBLANK(C777),0,VLOOKUP(C777,$AE$2:$AF$7,2,0))</f>
        <v>0.5</v>
      </c>
      <c r="F777">
        <f t="shared" si="26"/>
        <v>0.5</v>
      </c>
    </row>
    <row r="778" spans="1:6">
      <c r="A778" s="30">
        <f t="shared" si="25"/>
        <v>43868</v>
      </c>
      <c r="B778" s="32" t="s">
        <v>199</v>
      </c>
      <c r="C778" t="s">
        <v>207</v>
      </c>
      <c r="D778">
        <f>IF(B778=$AB$2,$AC$2,$AC$3)</f>
        <v>1</v>
      </c>
      <c r="E778">
        <f>IF(ISBLANK(C778),0,VLOOKUP(C778,$AE$2:$AF$7,2,0))</f>
        <v>0.5</v>
      </c>
      <c r="F778">
        <f t="shared" si="26"/>
        <v>0.5</v>
      </c>
    </row>
    <row r="779" spans="1:6">
      <c r="A779" s="30">
        <f t="shared" si="25"/>
        <v>43869</v>
      </c>
      <c r="B779" s="32" t="s">
        <v>199</v>
      </c>
      <c r="C779" t="s">
        <v>207</v>
      </c>
      <c r="D779">
        <f>IF(B779=$AB$2,$AC$2,$AC$3)</f>
        <v>1</v>
      </c>
      <c r="E779">
        <f>IF(ISBLANK(C779),0,VLOOKUP(C779,$AE$2:$AF$7,2,0))</f>
        <v>0.5</v>
      </c>
      <c r="F779">
        <f t="shared" si="26"/>
        <v>0.5</v>
      </c>
    </row>
    <row r="780" spans="1:6">
      <c r="A780" s="30">
        <f t="shared" si="25"/>
        <v>43870</v>
      </c>
      <c r="B780" s="32" t="s">
        <v>199</v>
      </c>
      <c r="C780" t="s">
        <v>207</v>
      </c>
      <c r="D780">
        <f>IF(B780=$AB$2,$AC$2,$AC$3)</f>
        <v>1</v>
      </c>
      <c r="E780">
        <f>IF(ISBLANK(C780),0,VLOOKUP(C780,$AE$2:$AF$7,2,0))</f>
        <v>0.5</v>
      </c>
      <c r="F780">
        <f t="shared" si="26"/>
        <v>0.5</v>
      </c>
    </row>
    <row r="781" spans="1:6">
      <c r="A781" s="30">
        <f t="shared" si="25"/>
        <v>43871</v>
      </c>
      <c r="B781" s="32" t="s">
        <v>199</v>
      </c>
      <c r="C781" t="s">
        <v>207</v>
      </c>
      <c r="D781">
        <f>IF(B781=$AB$2,$AC$2,$AC$3)</f>
        <v>1</v>
      </c>
      <c r="E781">
        <f>IF(ISBLANK(C781),0,VLOOKUP(C781,$AE$2:$AF$7,2,0))</f>
        <v>0.5</v>
      </c>
      <c r="F781">
        <f t="shared" si="26"/>
        <v>0.5</v>
      </c>
    </row>
    <row r="782" spans="1:6">
      <c r="A782" s="30">
        <f t="shared" si="25"/>
        <v>43872</v>
      </c>
      <c r="B782" s="32" t="s">
        <v>199</v>
      </c>
      <c r="C782" t="s">
        <v>207</v>
      </c>
      <c r="D782">
        <f>IF(B782=$AB$2,$AC$2,$AC$3)</f>
        <v>1</v>
      </c>
      <c r="E782">
        <f>IF(ISBLANK(C782),0,VLOOKUP(C782,$AE$2:$AF$7,2,0))</f>
        <v>0.5</v>
      </c>
      <c r="F782">
        <f t="shared" si="26"/>
        <v>0.5</v>
      </c>
    </row>
    <row r="783" spans="1:6">
      <c r="A783" s="30">
        <f t="shared" si="25"/>
        <v>43873</v>
      </c>
      <c r="B783" s="32" t="s">
        <v>199</v>
      </c>
      <c r="C783" t="s">
        <v>207</v>
      </c>
      <c r="D783">
        <f>IF(B783=$AB$2,$AC$2,$AC$3)</f>
        <v>1</v>
      </c>
      <c r="E783">
        <f>IF(ISBLANK(C783),0,VLOOKUP(C783,$AE$2:$AF$7,2,0))</f>
        <v>0.5</v>
      </c>
      <c r="F783">
        <f t="shared" si="26"/>
        <v>0.5</v>
      </c>
    </row>
    <row r="784" spans="1:6">
      <c r="A784" s="30">
        <f t="shared" si="25"/>
        <v>43874</v>
      </c>
      <c r="B784" s="32" t="s">
        <v>199</v>
      </c>
      <c r="C784" t="s">
        <v>207</v>
      </c>
      <c r="D784">
        <f>IF(B784=$AB$2,$AC$2,$AC$3)</f>
        <v>1</v>
      </c>
      <c r="E784">
        <f>IF(ISBLANK(C784),0,VLOOKUP(C784,$AE$2:$AF$7,2,0))</f>
        <v>0.5</v>
      </c>
      <c r="F784">
        <f t="shared" si="26"/>
        <v>0.5</v>
      </c>
    </row>
    <row r="785" spans="1:6">
      <c r="A785" s="30">
        <f t="shared" si="25"/>
        <v>43875</v>
      </c>
      <c r="B785" s="32" t="s">
        <v>199</v>
      </c>
      <c r="C785" t="s">
        <v>207</v>
      </c>
      <c r="D785">
        <f>IF(B785=$AB$2,$AC$2,$AC$3)</f>
        <v>1</v>
      </c>
      <c r="E785">
        <f>IF(ISBLANK(C785),0,VLOOKUP(C785,$AE$2:$AF$7,2,0))</f>
        <v>0.5</v>
      </c>
      <c r="F785">
        <f t="shared" si="26"/>
        <v>0.5</v>
      </c>
    </row>
    <row r="786" spans="1:6">
      <c r="A786" s="30">
        <f t="shared" si="25"/>
        <v>43876</v>
      </c>
      <c r="B786" s="32" t="s">
        <v>199</v>
      </c>
      <c r="C786" t="s">
        <v>207</v>
      </c>
      <c r="D786">
        <f>IF(B786=$AB$2,$AC$2,$AC$3)</f>
        <v>1</v>
      </c>
      <c r="E786">
        <f>IF(ISBLANK(C786),0,VLOOKUP(C786,$AE$2:$AF$7,2,0))</f>
        <v>0.5</v>
      </c>
      <c r="F786">
        <f t="shared" si="26"/>
        <v>0.5</v>
      </c>
    </row>
    <row r="787" spans="1:6">
      <c r="A787" s="30">
        <f t="shared" si="25"/>
        <v>43877</v>
      </c>
      <c r="B787" s="32" t="s">
        <v>199</v>
      </c>
      <c r="C787" t="s">
        <v>207</v>
      </c>
      <c r="D787">
        <f>IF(B787=$AB$2,$AC$2,$AC$3)</f>
        <v>1</v>
      </c>
      <c r="E787">
        <f>IF(ISBLANK(C787),0,VLOOKUP(C787,$AE$2:$AF$7,2,0))</f>
        <v>0.5</v>
      </c>
      <c r="F787">
        <f t="shared" si="26"/>
        <v>0.5</v>
      </c>
    </row>
    <row r="788" spans="1:6">
      <c r="A788" s="30">
        <f t="shared" si="25"/>
        <v>43878</v>
      </c>
      <c r="B788" s="32" t="s">
        <v>199</v>
      </c>
      <c r="C788" t="s">
        <v>207</v>
      </c>
      <c r="D788">
        <f>IF(B788=$AB$2,$AC$2,$AC$3)</f>
        <v>1</v>
      </c>
      <c r="E788">
        <f>IF(ISBLANK(C788),0,VLOOKUP(C788,$AE$2:$AF$7,2,0))</f>
        <v>0.5</v>
      </c>
      <c r="F788">
        <f t="shared" si="26"/>
        <v>0.5</v>
      </c>
    </row>
    <row r="789" spans="1:6">
      <c r="A789" s="30">
        <f t="shared" si="25"/>
        <v>43879</v>
      </c>
      <c r="B789" s="32" t="s">
        <v>199</v>
      </c>
      <c r="C789" t="s">
        <v>207</v>
      </c>
      <c r="D789">
        <f>IF(B789=$AB$2,$AC$2,$AC$3)</f>
        <v>1</v>
      </c>
      <c r="E789">
        <f>IF(ISBLANK(C789),0,VLOOKUP(C789,$AE$2:$AF$7,2,0))</f>
        <v>0.5</v>
      </c>
      <c r="F789">
        <f t="shared" si="26"/>
        <v>0.5</v>
      </c>
    </row>
    <row r="790" spans="1:6">
      <c r="A790" s="30">
        <f t="shared" si="25"/>
        <v>43880</v>
      </c>
      <c r="B790" s="32" t="s">
        <v>199</v>
      </c>
      <c r="C790" t="s">
        <v>207</v>
      </c>
      <c r="D790">
        <f>IF(B790=$AB$2,$AC$2,$AC$3)</f>
        <v>1</v>
      </c>
      <c r="E790">
        <f>IF(ISBLANK(C790),0,VLOOKUP(C790,$AE$2:$AF$7,2,0))</f>
        <v>0.5</v>
      </c>
      <c r="F790">
        <f t="shared" si="26"/>
        <v>0.5</v>
      </c>
    </row>
    <row r="791" spans="1:6">
      <c r="A791" s="30">
        <f t="shared" si="25"/>
        <v>43881</v>
      </c>
      <c r="B791" s="32" t="s">
        <v>199</v>
      </c>
      <c r="C791" t="s">
        <v>207</v>
      </c>
      <c r="D791">
        <f>IF(B791=$AB$2,$AC$2,$AC$3)</f>
        <v>1</v>
      </c>
      <c r="E791">
        <f>IF(ISBLANK(C791),0,VLOOKUP(C791,$AE$2:$AF$7,2,0))</f>
        <v>0.5</v>
      </c>
      <c r="F791">
        <f t="shared" si="26"/>
        <v>0.5</v>
      </c>
    </row>
    <row r="792" spans="1:6">
      <c r="A792" s="30">
        <f t="shared" si="25"/>
        <v>43882</v>
      </c>
      <c r="B792" s="32" t="s">
        <v>199</v>
      </c>
      <c r="C792" t="s">
        <v>207</v>
      </c>
      <c r="D792">
        <f>IF(B792=$AB$2,$AC$2,$AC$3)</f>
        <v>1</v>
      </c>
      <c r="E792">
        <f>IF(ISBLANK(C792),0,VLOOKUP(C792,$AE$2:$AF$7,2,0))</f>
        <v>0.5</v>
      </c>
      <c r="F792">
        <f t="shared" si="26"/>
        <v>0.5</v>
      </c>
    </row>
    <row r="793" spans="1:6">
      <c r="A793" s="30">
        <f t="shared" si="25"/>
        <v>43883</v>
      </c>
      <c r="B793" s="32" t="s">
        <v>199</v>
      </c>
      <c r="C793" t="s">
        <v>207</v>
      </c>
      <c r="D793">
        <f>IF(B793=$AB$2,$AC$2,$AC$3)</f>
        <v>1</v>
      </c>
      <c r="E793">
        <f>IF(ISBLANK(C793),0,VLOOKUP(C793,$AE$2:$AF$7,2,0))</f>
        <v>0.5</v>
      </c>
      <c r="F793">
        <f t="shared" si="26"/>
        <v>0.5</v>
      </c>
    </row>
    <row r="794" spans="1:6">
      <c r="A794" s="30">
        <f t="shared" si="25"/>
        <v>43884</v>
      </c>
      <c r="B794" s="32" t="s">
        <v>199</v>
      </c>
      <c r="C794" t="s">
        <v>207</v>
      </c>
      <c r="D794">
        <f>IF(B794=$AB$2,$AC$2,$AC$3)</f>
        <v>1</v>
      </c>
      <c r="E794">
        <f>IF(ISBLANK(C794),0,VLOOKUP(C794,$AE$2:$AF$7,2,0))</f>
        <v>0.5</v>
      </c>
      <c r="F794">
        <f t="shared" si="26"/>
        <v>0.5</v>
      </c>
    </row>
    <row r="795" spans="1:6">
      <c r="A795" s="30">
        <f t="shared" si="25"/>
        <v>43885</v>
      </c>
      <c r="B795" s="32" t="s">
        <v>199</v>
      </c>
      <c r="C795" t="s">
        <v>207</v>
      </c>
      <c r="D795">
        <f>IF(B795=$AB$2,$AC$2,$AC$3)</f>
        <v>1</v>
      </c>
      <c r="E795">
        <f>IF(ISBLANK(C795),0,VLOOKUP(C795,$AE$2:$AF$7,2,0))</f>
        <v>0.5</v>
      </c>
      <c r="F795">
        <f t="shared" si="26"/>
        <v>0.5</v>
      </c>
    </row>
    <row r="796" spans="1:6">
      <c r="A796" s="30">
        <f t="shared" si="25"/>
        <v>43886</v>
      </c>
      <c r="B796" s="32" t="s">
        <v>199</v>
      </c>
      <c r="C796" t="s">
        <v>207</v>
      </c>
      <c r="D796">
        <f>IF(B796=$AB$2,$AC$2,$AC$3)</f>
        <v>1</v>
      </c>
      <c r="E796">
        <f>IF(ISBLANK(C796),0,VLOOKUP(C796,$AE$2:$AF$7,2,0))</f>
        <v>0.5</v>
      </c>
      <c r="F796">
        <f t="shared" si="26"/>
        <v>0.5</v>
      </c>
    </row>
    <row r="797" spans="1:6">
      <c r="A797" s="30">
        <f t="shared" si="25"/>
        <v>43887</v>
      </c>
      <c r="B797" s="32" t="s">
        <v>199</v>
      </c>
      <c r="C797" t="s">
        <v>207</v>
      </c>
      <c r="D797">
        <f>IF(B797=$AB$2,$AC$2,$AC$3)</f>
        <v>1</v>
      </c>
      <c r="E797">
        <f>IF(ISBLANK(C797),0,VLOOKUP(C797,$AE$2:$AF$7,2,0))</f>
        <v>0.5</v>
      </c>
      <c r="F797">
        <f t="shared" si="26"/>
        <v>0.5</v>
      </c>
    </row>
    <row r="798" spans="1:6">
      <c r="A798" s="30">
        <f t="shared" si="25"/>
        <v>43888</v>
      </c>
      <c r="B798" s="32" t="s">
        <v>199</v>
      </c>
      <c r="C798" t="s">
        <v>207</v>
      </c>
      <c r="D798">
        <f>IF(B798=$AB$2,$AC$2,$AC$3)</f>
        <v>1</v>
      </c>
      <c r="E798">
        <f>IF(ISBLANK(C798),0,VLOOKUP(C798,$AE$2:$AF$7,2,0))</f>
        <v>0.5</v>
      </c>
      <c r="F798">
        <f t="shared" si="26"/>
        <v>0.5</v>
      </c>
    </row>
    <row r="799" spans="1:6">
      <c r="A799" s="30">
        <f t="shared" si="25"/>
        <v>43889</v>
      </c>
      <c r="B799" s="32" t="s">
        <v>199</v>
      </c>
      <c r="C799" t="s">
        <v>207</v>
      </c>
      <c r="D799">
        <f>IF(B799=$AB$2,$AC$2,$AC$3)</f>
        <v>1</v>
      </c>
      <c r="E799">
        <f>IF(ISBLANK(C799),0,VLOOKUP(C799,$AE$2:$AF$7,2,0))</f>
        <v>0.5</v>
      </c>
      <c r="F799">
        <f t="shared" si="26"/>
        <v>0.5</v>
      </c>
    </row>
    <row r="800" spans="1:6">
      <c r="A800" s="30">
        <f t="shared" si="25"/>
        <v>43890</v>
      </c>
      <c r="B800" s="32" t="s">
        <v>199</v>
      </c>
      <c r="C800" t="s">
        <v>207</v>
      </c>
      <c r="D800">
        <f>IF(B800=$AB$2,$AC$2,$AC$3)</f>
        <v>1</v>
      </c>
      <c r="E800">
        <f>IF(ISBLANK(C800),0,VLOOKUP(C800,$AE$2:$AF$7,2,0))</f>
        <v>0.5</v>
      </c>
      <c r="F800">
        <f t="shared" si="26"/>
        <v>0.5</v>
      </c>
    </row>
    <row r="801" spans="1:6">
      <c r="A801" s="30">
        <f>A800+1</f>
        <v>43891</v>
      </c>
      <c r="B801" s="32" t="s">
        <v>199</v>
      </c>
      <c r="C801" t="s">
        <v>207</v>
      </c>
      <c r="D801">
        <f>IF(B801=$AB$2,$AC$2,$AC$3)</f>
        <v>1</v>
      </c>
      <c r="E801">
        <f>IF(ISBLANK(C801),0,VLOOKUP(C801,$AE$2:$AF$7,2,0))</f>
        <v>0.5</v>
      </c>
      <c r="F801">
        <f t="shared" si="26"/>
        <v>0.5</v>
      </c>
    </row>
    <row r="802" spans="1:6">
      <c r="A802" s="30">
        <f t="shared" ref="A802:A865" si="27">A801+1</f>
        <v>43892</v>
      </c>
      <c r="B802" s="32" t="s">
        <v>199</v>
      </c>
      <c r="C802" t="s">
        <v>207</v>
      </c>
      <c r="D802">
        <f>IF(B802=$AB$2,$AC$2,$AC$3)</f>
        <v>1</v>
      </c>
      <c r="E802">
        <f>IF(ISBLANK(C802),0,VLOOKUP(C802,$AE$2:$AF$7,2,0))</f>
        <v>0.5</v>
      </c>
      <c r="F802">
        <f t="shared" si="26"/>
        <v>0.5</v>
      </c>
    </row>
    <row r="803" spans="1:6">
      <c r="A803" s="30">
        <f t="shared" si="27"/>
        <v>43893</v>
      </c>
      <c r="B803" s="32" t="s">
        <v>199</v>
      </c>
      <c r="C803" t="s">
        <v>207</v>
      </c>
      <c r="D803">
        <f>IF(B803=$AB$2,$AC$2,$AC$3)</f>
        <v>1</v>
      </c>
      <c r="E803">
        <f>IF(ISBLANK(C803),0,VLOOKUP(C803,$AE$2:$AF$7,2,0))</f>
        <v>0.5</v>
      </c>
      <c r="F803">
        <f t="shared" si="26"/>
        <v>0.5</v>
      </c>
    </row>
    <row r="804" spans="1:6">
      <c r="A804" s="30">
        <f t="shared" si="27"/>
        <v>43894</v>
      </c>
      <c r="B804" s="32" t="s">
        <v>199</v>
      </c>
      <c r="C804" t="s">
        <v>207</v>
      </c>
      <c r="D804">
        <f>IF(B804=$AB$2,$AC$2,$AC$3)</f>
        <v>1</v>
      </c>
      <c r="E804">
        <f>IF(ISBLANK(C804),0,VLOOKUP(C804,$AE$2:$AF$7,2,0))</f>
        <v>0.5</v>
      </c>
      <c r="F804">
        <f t="shared" si="26"/>
        <v>0.5</v>
      </c>
    </row>
    <row r="805" spans="1:6">
      <c r="A805" s="30">
        <f t="shared" si="27"/>
        <v>43895</v>
      </c>
      <c r="B805" s="32" t="s">
        <v>199</v>
      </c>
      <c r="C805" t="s">
        <v>207</v>
      </c>
      <c r="D805">
        <f>IF(B805=$AB$2,$AC$2,$AC$3)</f>
        <v>1</v>
      </c>
      <c r="E805">
        <f>IF(ISBLANK(C805),0,VLOOKUP(C805,$AE$2:$AF$7,2,0))</f>
        <v>0.5</v>
      </c>
      <c r="F805">
        <f t="shared" si="26"/>
        <v>0.5</v>
      </c>
    </row>
    <row r="806" spans="1:6">
      <c r="A806" s="30">
        <f t="shared" si="27"/>
        <v>43896</v>
      </c>
      <c r="B806" s="32" t="s">
        <v>199</v>
      </c>
      <c r="C806" t="s">
        <v>207</v>
      </c>
      <c r="D806">
        <f>IF(B806=$AB$2,$AC$2,$AC$3)</f>
        <v>1</v>
      </c>
      <c r="E806">
        <f>IF(ISBLANK(C806),0,VLOOKUP(C806,$AE$2:$AF$7,2,0))</f>
        <v>0.5</v>
      </c>
      <c r="F806">
        <f t="shared" si="26"/>
        <v>0.5</v>
      </c>
    </row>
    <row r="807" spans="1:6">
      <c r="A807" s="30">
        <f t="shared" si="27"/>
        <v>43897</v>
      </c>
      <c r="B807" s="32" t="s">
        <v>199</v>
      </c>
      <c r="C807" t="s">
        <v>207</v>
      </c>
      <c r="D807">
        <f>IF(B807=$AB$2,$AC$2,$AC$3)</f>
        <v>1</v>
      </c>
      <c r="E807">
        <f>IF(ISBLANK(C807),0,VLOOKUP(C807,$AE$2:$AF$7,2,0))</f>
        <v>0.5</v>
      </c>
      <c r="F807">
        <f t="shared" si="26"/>
        <v>0.5</v>
      </c>
    </row>
    <row r="808" spans="1:6">
      <c r="A808" s="30">
        <f t="shared" si="27"/>
        <v>43898</v>
      </c>
      <c r="B808" s="32" t="s">
        <v>199</v>
      </c>
      <c r="C808" t="s">
        <v>207</v>
      </c>
      <c r="D808">
        <f>IF(B808=$AB$2,$AC$2,$AC$3)</f>
        <v>1</v>
      </c>
      <c r="E808">
        <f>IF(ISBLANK(C808),0,VLOOKUP(C808,$AE$2:$AF$7,2,0))</f>
        <v>0.5</v>
      </c>
      <c r="F808">
        <f t="shared" si="26"/>
        <v>0.5</v>
      </c>
    </row>
    <row r="809" spans="1:6">
      <c r="A809" s="30">
        <f t="shared" si="27"/>
        <v>43899</v>
      </c>
      <c r="B809" s="32" t="s">
        <v>199</v>
      </c>
      <c r="C809" t="s">
        <v>207</v>
      </c>
      <c r="D809">
        <f>IF(B809=$AB$2,$AC$2,$AC$3)</f>
        <v>1</v>
      </c>
      <c r="E809">
        <f>IF(ISBLANK(C809),0,VLOOKUP(C809,$AE$2:$AF$7,2,0))</f>
        <v>0.5</v>
      </c>
      <c r="F809">
        <f t="shared" si="26"/>
        <v>0.5</v>
      </c>
    </row>
    <row r="810" spans="1:6">
      <c r="A810" s="30">
        <f t="shared" si="27"/>
        <v>43900</v>
      </c>
      <c r="B810" s="32" t="s">
        <v>199</v>
      </c>
      <c r="C810" t="s">
        <v>207</v>
      </c>
      <c r="D810">
        <f>IF(B810=$AB$2,$AC$2,$AC$3)</f>
        <v>1</v>
      </c>
      <c r="E810">
        <f>IF(ISBLANK(C810),0,VLOOKUP(C810,$AE$2:$AF$7,2,0))</f>
        <v>0.5</v>
      </c>
      <c r="F810">
        <f t="shared" si="26"/>
        <v>0.5</v>
      </c>
    </row>
    <row r="811" spans="1:6">
      <c r="A811" s="30">
        <f t="shared" si="27"/>
        <v>43901</v>
      </c>
      <c r="B811" s="32" t="s">
        <v>199</v>
      </c>
      <c r="C811" t="s">
        <v>207</v>
      </c>
      <c r="D811">
        <f>IF(B811=$AB$2,$AC$2,$AC$3)</f>
        <v>1</v>
      </c>
      <c r="E811">
        <f>IF(ISBLANK(C811),0,VLOOKUP(C811,$AE$2:$AF$7,2,0))</f>
        <v>0.5</v>
      </c>
      <c r="F811">
        <f t="shared" si="26"/>
        <v>0.5</v>
      </c>
    </row>
    <row r="812" spans="1:6">
      <c r="A812" s="30">
        <f t="shared" si="27"/>
        <v>43902</v>
      </c>
      <c r="B812" s="32" t="s">
        <v>199</v>
      </c>
      <c r="C812" t="s">
        <v>207</v>
      </c>
      <c r="D812">
        <f>IF(B812=$AB$2,$AC$2,$AC$3)</f>
        <v>1</v>
      </c>
      <c r="E812">
        <f>IF(ISBLANK(C812),0,VLOOKUP(C812,$AE$2:$AF$7,2,0))</f>
        <v>0.5</v>
      </c>
      <c r="F812">
        <f t="shared" si="26"/>
        <v>0.5</v>
      </c>
    </row>
    <row r="813" spans="1:6">
      <c r="A813" s="30">
        <f t="shared" si="27"/>
        <v>43903</v>
      </c>
      <c r="B813" s="32" t="s">
        <v>199</v>
      </c>
      <c r="C813" t="s">
        <v>207</v>
      </c>
      <c r="D813">
        <f>IF(B813=$AB$2,$AC$2,$AC$3)</f>
        <v>1</v>
      </c>
      <c r="E813">
        <f>IF(ISBLANK(C813),0,VLOOKUP(C813,$AE$2:$AF$7,2,0))</f>
        <v>0.5</v>
      </c>
      <c r="F813">
        <f t="shared" si="26"/>
        <v>0.5</v>
      </c>
    </row>
    <row r="814" spans="1:6">
      <c r="A814" s="30">
        <f t="shared" si="27"/>
        <v>43904</v>
      </c>
      <c r="B814" s="32" t="s">
        <v>199</v>
      </c>
      <c r="C814" t="s">
        <v>207</v>
      </c>
      <c r="D814">
        <f>IF(B814=$AB$2,$AC$2,$AC$3)</f>
        <v>1</v>
      </c>
      <c r="E814">
        <f>IF(ISBLANK(C814),0,VLOOKUP(C814,$AE$2:$AF$7,2,0))</f>
        <v>0.5</v>
      </c>
      <c r="F814">
        <f t="shared" si="26"/>
        <v>0.5</v>
      </c>
    </row>
    <row r="815" spans="1:6">
      <c r="A815" s="30">
        <f t="shared" si="27"/>
        <v>43905</v>
      </c>
      <c r="B815" s="32" t="s">
        <v>199</v>
      </c>
      <c r="C815" t="s">
        <v>207</v>
      </c>
      <c r="D815">
        <f>IF(B815=$AB$2,$AC$2,$AC$3)</f>
        <v>1</v>
      </c>
      <c r="E815">
        <f>IF(ISBLANK(C815),0,VLOOKUP(C815,$AE$2:$AF$7,2,0))</f>
        <v>0.5</v>
      </c>
      <c r="F815">
        <f t="shared" si="26"/>
        <v>0.5</v>
      </c>
    </row>
    <row r="816" spans="1:6">
      <c r="A816" s="30">
        <f t="shared" si="27"/>
        <v>43906</v>
      </c>
      <c r="B816" s="32" t="s">
        <v>199</v>
      </c>
      <c r="C816" t="s">
        <v>207</v>
      </c>
      <c r="D816">
        <f>IF(B816=$AB$2,$AC$2,$AC$3)</f>
        <v>1</v>
      </c>
      <c r="E816">
        <f>IF(ISBLANK(C816),0,VLOOKUP(C816,$AE$2:$AF$7,2,0))</f>
        <v>0.5</v>
      </c>
      <c r="F816">
        <f t="shared" si="26"/>
        <v>0.5</v>
      </c>
    </row>
    <row r="817" spans="1:6">
      <c r="A817" s="30">
        <f t="shared" si="27"/>
        <v>43907</v>
      </c>
      <c r="B817" s="32" t="s">
        <v>199</v>
      </c>
      <c r="C817" t="s">
        <v>207</v>
      </c>
      <c r="D817">
        <f>IF(B817=$AB$2,$AC$2,$AC$3)</f>
        <v>1</v>
      </c>
      <c r="E817">
        <f>IF(ISBLANK(C817),0,VLOOKUP(C817,$AE$2:$AF$7,2,0))</f>
        <v>0.5</v>
      </c>
      <c r="F817">
        <f t="shared" si="26"/>
        <v>0.5</v>
      </c>
    </row>
    <row r="818" spans="1:6">
      <c r="A818" s="30">
        <f t="shared" si="27"/>
        <v>43908</v>
      </c>
      <c r="B818" s="32" t="s">
        <v>199</v>
      </c>
      <c r="C818" t="s">
        <v>207</v>
      </c>
      <c r="D818">
        <f>IF(B818=$AB$2,$AC$2,$AC$3)</f>
        <v>1</v>
      </c>
      <c r="E818">
        <f>IF(ISBLANK(C818),0,VLOOKUP(C818,$AE$2:$AF$7,2,0))</f>
        <v>0.5</v>
      </c>
      <c r="F818">
        <f t="shared" si="26"/>
        <v>0.5</v>
      </c>
    </row>
    <row r="819" spans="1:6">
      <c r="A819" s="30">
        <f t="shared" si="27"/>
        <v>43909</v>
      </c>
      <c r="B819" s="32" t="s">
        <v>199</v>
      </c>
      <c r="C819" t="s">
        <v>207</v>
      </c>
      <c r="D819">
        <f>IF(B819=$AB$2,$AC$2,$AC$3)</f>
        <v>1</v>
      </c>
      <c r="E819">
        <f>IF(ISBLANK(C819),0,VLOOKUP(C819,$AE$2:$AF$7,2,0))</f>
        <v>0.5</v>
      </c>
      <c r="F819">
        <f t="shared" si="26"/>
        <v>0.5</v>
      </c>
    </row>
    <row r="820" spans="1:6">
      <c r="A820" s="30">
        <f t="shared" si="27"/>
        <v>43910</v>
      </c>
      <c r="B820" s="32" t="s">
        <v>199</v>
      </c>
      <c r="C820" t="s">
        <v>207</v>
      </c>
      <c r="D820">
        <f>IF(B820=$AB$2,$AC$2,$AC$3)</f>
        <v>1</v>
      </c>
      <c r="E820">
        <f>IF(ISBLANK(C820),0,VLOOKUP(C820,$AE$2:$AF$7,2,0))</f>
        <v>0.5</v>
      </c>
      <c r="F820">
        <f t="shared" si="26"/>
        <v>0.5</v>
      </c>
    </row>
    <row r="821" spans="1:6">
      <c r="A821" s="30">
        <f t="shared" si="27"/>
        <v>43911</v>
      </c>
      <c r="B821" s="32" t="s">
        <v>199</v>
      </c>
      <c r="C821" t="s">
        <v>207</v>
      </c>
      <c r="D821">
        <f>IF(B821=$AB$2,$AC$2,$AC$3)</f>
        <v>1</v>
      </c>
      <c r="E821">
        <f>IF(ISBLANK(C821),0,VLOOKUP(C821,$AE$2:$AF$7,2,0))</f>
        <v>0.5</v>
      </c>
      <c r="F821">
        <f t="shared" si="26"/>
        <v>0.5</v>
      </c>
    </row>
    <row r="822" spans="1:6">
      <c r="A822" s="30">
        <f t="shared" si="27"/>
        <v>43912</v>
      </c>
      <c r="B822" s="32" t="s">
        <v>199</v>
      </c>
      <c r="C822" t="s">
        <v>207</v>
      </c>
      <c r="D822">
        <f>IF(B822=$AB$2,$AC$2,$AC$3)</f>
        <v>1</v>
      </c>
      <c r="E822">
        <f>IF(ISBLANK(C822),0,VLOOKUP(C822,$AE$2:$AF$7,2,0))</f>
        <v>0.5</v>
      </c>
      <c r="F822">
        <f t="shared" si="26"/>
        <v>0.5</v>
      </c>
    </row>
    <row r="823" spans="1:6">
      <c r="A823" s="30">
        <f t="shared" si="27"/>
        <v>43913</v>
      </c>
      <c r="B823" s="32" t="s">
        <v>199</v>
      </c>
      <c r="C823" t="s">
        <v>207</v>
      </c>
      <c r="D823">
        <f>IF(B823=$AB$2,$AC$2,$AC$3)</f>
        <v>1</v>
      </c>
      <c r="E823">
        <f>IF(ISBLANK(C823),0,VLOOKUP(C823,$AE$2:$AF$7,2,0))</f>
        <v>0.5</v>
      </c>
      <c r="F823">
        <f t="shared" si="26"/>
        <v>0.5</v>
      </c>
    </row>
    <row r="824" spans="1:6">
      <c r="A824" s="30">
        <f t="shared" si="27"/>
        <v>43914</v>
      </c>
      <c r="B824" s="32" t="s">
        <v>199</v>
      </c>
      <c r="C824" t="s">
        <v>207</v>
      </c>
      <c r="D824">
        <f>IF(B824=$AB$2,$AC$2,$AC$3)</f>
        <v>1</v>
      </c>
      <c r="E824">
        <f>IF(ISBLANK(C824),0,VLOOKUP(C824,$AE$2:$AF$7,2,0))</f>
        <v>0.5</v>
      </c>
      <c r="F824">
        <f t="shared" si="26"/>
        <v>0.5</v>
      </c>
    </row>
    <row r="825" spans="1:6">
      <c r="A825" s="30">
        <f t="shared" si="27"/>
        <v>43915</v>
      </c>
      <c r="B825" s="32" t="s">
        <v>199</v>
      </c>
      <c r="C825" t="s">
        <v>207</v>
      </c>
      <c r="D825">
        <f>IF(B825=$AB$2,$AC$2,$AC$3)</f>
        <v>1</v>
      </c>
      <c r="E825">
        <f>IF(ISBLANK(C825),0,VLOOKUP(C825,$AE$2:$AF$7,2,0))</f>
        <v>0.5</v>
      </c>
      <c r="F825">
        <f t="shared" si="26"/>
        <v>0.5</v>
      </c>
    </row>
    <row r="826" spans="1:6">
      <c r="A826" s="30">
        <f t="shared" si="27"/>
        <v>43916</v>
      </c>
      <c r="B826" s="32" t="s">
        <v>199</v>
      </c>
      <c r="C826" t="s">
        <v>207</v>
      </c>
      <c r="D826">
        <f>IF(B826=$AB$2,$AC$2,$AC$3)</f>
        <v>1</v>
      </c>
      <c r="E826">
        <f>IF(ISBLANK(C826),0,VLOOKUP(C826,$AE$2:$AF$7,2,0))</f>
        <v>0.5</v>
      </c>
      <c r="F826">
        <f t="shared" si="26"/>
        <v>0.5</v>
      </c>
    </row>
    <row r="827" spans="1:6">
      <c r="A827" s="30">
        <f t="shared" si="27"/>
        <v>43917</v>
      </c>
      <c r="B827" s="32" t="s">
        <v>199</v>
      </c>
      <c r="C827" t="s">
        <v>207</v>
      </c>
      <c r="D827">
        <f>IF(B827=$AB$2,$AC$2,$AC$3)</f>
        <v>1</v>
      </c>
      <c r="E827">
        <f>IF(ISBLANK(C827),0,VLOOKUP(C827,$AE$2:$AF$7,2,0))</f>
        <v>0.5</v>
      </c>
      <c r="F827">
        <f t="shared" si="26"/>
        <v>0.5</v>
      </c>
    </row>
    <row r="828" spans="1:6">
      <c r="A828" s="30">
        <f t="shared" si="27"/>
        <v>43918</v>
      </c>
      <c r="B828" s="32" t="s">
        <v>199</v>
      </c>
      <c r="C828" t="s">
        <v>207</v>
      </c>
      <c r="D828">
        <f>IF(B828=$AB$2,$AC$2,$AC$3)</f>
        <v>1</v>
      </c>
      <c r="E828">
        <f>IF(ISBLANK(C828),0,VLOOKUP(C828,$AE$2:$AF$7,2,0))</f>
        <v>0.5</v>
      </c>
      <c r="F828">
        <f t="shared" si="26"/>
        <v>0.5</v>
      </c>
    </row>
    <row r="829" spans="1:6">
      <c r="A829" s="30">
        <f t="shared" si="27"/>
        <v>43919</v>
      </c>
      <c r="B829" s="32" t="s">
        <v>199</v>
      </c>
      <c r="C829" t="s">
        <v>207</v>
      </c>
      <c r="D829">
        <f>IF(B829=$AB$2,$AC$2,$AC$3)</f>
        <v>1</v>
      </c>
      <c r="E829">
        <f>IF(ISBLANK(C829),0,VLOOKUP(C829,$AE$2:$AF$7,2,0))</f>
        <v>0.5</v>
      </c>
      <c r="F829">
        <f t="shared" si="26"/>
        <v>0.5</v>
      </c>
    </row>
    <row r="830" spans="1:6">
      <c r="A830" s="30">
        <f t="shared" si="27"/>
        <v>43920</v>
      </c>
      <c r="B830" s="32" t="s">
        <v>199</v>
      </c>
      <c r="C830" t="s">
        <v>207</v>
      </c>
      <c r="D830">
        <f>IF(B830=$AB$2,$AC$2,$AC$3)</f>
        <v>1</v>
      </c>
      <c r="E830">
        <f>IF(ISBLANK(C830),0,VLOOKUP(C830,$AE$2:$AF$7,2,0))</f>
        <v>0.5</v>
      </c>
      <c r="F830">
        <f t="shared" si="26"/>
        <v>0.5</v>
      </c>
    </row>
    <row r="831" spans="1:6">
      <c r="A831" s="30">
        <f t="shared" si="27"/>
        <v>43921</v>
      </c>
      <c r="B831" s="32" t="s">
        <v>199</v>
      </c>
      <c r="C831" t="s">
        <v>207</v>
      </c>
      <c r="D831">
        <f>IF(B831=$AB$2,$AC$2,$AC$3)</f>
        <v>1</v>
      </c>
      <c r="E831">
        <f>IF(ISBLANK(C831),0,VLOOKUP(C831,$AE$2:$AF$7,2,0))</f>
        <v>0.5</v>
      </c>
      <c r="F831">
        <f t="shared" si="26"/>
        <v>0.5</v>
      </c>
    </row>
    <row r="832" spans="1:6">
      <c r="A832" s="30">
        <f t="shared" si="27"/>
        <v>43922</v>
      </c>
      <c r="B832" s="32" t="s">
        <v>199</v>
      </c>
      <c r="C832" t="s">
        <v>207</v>
      </c>
      <c r="D832">
        <f>IF(B832=$AB$2,$AC$2,$AC$3)</f>
        <v>1</v>
      </c>
      <c r="E832">
        <f>IF(ISBLANK(C832),0,VLOOKUP(C832,$AE$2:$AF$7,2,0))</f>
        <v>0.5</v>
      </c>
      <c r="F832">
        <f t="shared" si="26"/>
        <v>0.5</v>
      </c>
    </row>
    <row r="833" spans="1:6">
      <c r="A833" s="30">
        <f t="shared" si="27"/>
        <v>43923</v>
      </c>
      <c r="B833" s="32" t="s">
        <v>199</v>
      </c>
      <c r="C833" t="s">
        <v>207</v>
      </c>
      <c r="D833">
        <f>IF(B833=$AB$2,$AC$2,$AC$3)</f>
        <v>1</v>
      </c>
      <c r="E833">
        <f>IF(ISBLANK(C833),0,VLOOKUP(C833,$AE$2:$AF$7,2,0))</f>
        <v>0.5</v>
      </c>
      <c r="F833">
        <f t="shared" si="26"/>
        <v>0.5</v>
      </c>
    </row>
    <row r="834" spans="1:6">
      <c r="A834" s="30">
        <f t="shared" si="27"/>
        <v>43924</v>
      </c>
      <c r="B834" s="32" t="s">
        <v>199</v>
      </c>
      <c r="C834" t="s">
        <v>207</v>
      </c>
      <c r="D834">
        <f>IF(B834=$AB$2,$AC$2,$AC$3)</f>
        <v>1</v>
      </c>
      <c r="E834">
        <f>IF(ISBLANK(C834),0,VLOOKUP(C834,$AE$2:$AF$7,2,0))</f>
        <v>0.5</v>
      </c>
      <c r="F834">
        <f t="shared" si="26"/>
        <v>0.5</v>
      </c>
    </row>
    <row r="835" spans="1:6">
      <c r="A835" s="30">
        <f t="shared" si="27"/>
        <v>43925</v>
      </c>
      <c r="B835" s="32" t="s">
        <v>199</v>
      </c>
      <c r="C835" t="s">
        <v>207</v>
      </c>
      <c r="D835">
        <f>IF(B835=$AB$2,$AC$2,$AC$3)</f>
        <v>1</v>
      </c>
      <c r="E835">
        <f>IF(ISBLANK(C835),0,VLOOKUP(C835,$AE$2:$AF$7,2,0))</f>
        <v>0.5</v>
      </c>
      <c r="F835">
        <f t="shared" ref="F835:F898" si="28">D835*E835</f>
        <v>0.5</v>
      </c>
    </row>
    <row r="836" spans="1:6">
      <c r="A836" s="30">
        <f t="shared" si="27"/>
        <v>43926</v>
      </c>
      <c r="B836" s="32" t="s">
        <v>199</v>
      </c>
      <c r="C836" t="s">
        <v>207</v>
      </c>
      <c r="D836">
        <f>IF(B836=$AB$2,$AC$2,$AC$3)</f>
        <v>1</v>
      </c>
      <c r="E836">
        <f>IF(ISBLANK(C836),0,VLOOKUP(C836,$AE$2:$AF$7,2,0))</f>
        <v>0.5</v>
      </c>
      <c r="F836">
        <f t="shared" si="28"/>
        <v>0.5</v>
      </c>
    </row>
    <row r="837" spans="1:6">
      <c r="A837" s="30">
        <f t="shared" si="27"/>
        <v>43927</v>
      </c>
      <c r="B837" s="32" t="s">
        <v>199</v>
      </c>
      <c r="C837" t="s">
        <v>207</v>
      </c>
      <c r="D837">
        <f>IF(B837=$AB$2,$AC$2,$AC$3)</f>
        <v>1</v>
      </c>
      <c r="E837">
        <f>IF(ISBLANK(C837),0,VLOOKUP(C837,$AE$2:$AF$7,2,0))</f>
        <v>0.5</v>
      </c>
      <c r="F837">
        <f t="shared" si="28"/>
        <v>0.5</v>
      </c>
    </row>
    <row r="838" spans="1:6">
      <c r="A838" s="30">
        <f t="shared" si="27"/>
        <v>43928</v>
      </c>
      <c r="B838" s="32" t="s">
        <v>199</v>
      </c>
      <c r="C838" t="s">
        <v>207</v>
      </c>
      <c r="D838">
        <f>IF(B838=$AB$2,$AC$2,$AC$3)</f>
        <v>1</v>
      </c>
      <c r="E838">
        <f>IF(ISBLANK(C838),0,VLOOKUP(C838,$AE$2:$AF$7,2,0))</f>
        <v>0.5</v>
      </c>
      <c r="F838">
        <f t="shared" si="28"/>
        <v>0.5</v>
      </c>
    </row>
    <row r="839" spans="1:6">
      <c r="A839" s="30">
        <f t="shared" si="27"/>
        <v>43929</v>
      </c>
      <c r="B839" s="32" t="s">
        <v>199</v>
      </c>
      <c r="C839" t="s">
        <v>207</v>
      </c>
      <c r="D839">
        <f>IF(B839=$AB$2,$AC$2,$AC$3)</f>
        <v>1</v>
      </c>
      <c r="E839">
        <f>IF(ISBLANK(C839),0,VLOOKUP(C839,$AE$2:$AF$7,2,0))</f>
        <v>0.5</v>
      </c>
      <c r="F839">
        <f t="shared" si="28"/>
        <v>0.5</v>
      </c>
    </row>
    <row r="840" spans="1:6">
      <c r="A840" s="30">
        <f t="shared" si="27"/>
        <v>43930</v>
      </c>
      <c r="B840" s="32" t="s">
        <v>199</v>
      </c>
      <c r="C840" t="s">
        <v>207</v>
      </c>
      <c r="D840">
        <f>IF(B840=$AB$2,$AC$2,$AC$3)</f>
        <v>1</v>
      </c>
      <c r="E840">
        <f>IF(ISBLANK(C840),0,VLOOKUP(C840,$AE$2:$AF$7,2,0))</f>
        <v>0.5</v>
      </c>
      <c r="F840">
        <f t="shared" si="28"/>
        <v>0.5</v>
      </c>
    </row>
    <row r="841" spans="1:6">
      <c r="A841" s="30">
        <f t="shared" si="27"/>
        <v>43931</v>
      </c>
      <c r="B841" s="32" t="s">
        <v>199</v>
      </c>
      <c r="C841" t="s">
        <v>207</v>
      </c>
      <c r="D841">
        <f>IF(B841=$AB$2,$AC$2,$AC$3)</f>
        <v>1</v>
      </c>
      <c r="E841">
        <f>IF(ISBLANK(C841),0,VLOOKUP(C841,$AE$2:$AF$7,2,0))</f>
        <v>0.5</v>
      </c>
      <c r="F841">
        <f t="shared" si="28"/>
        <v>0.5</v>
      </c>
    </row>
    <row r="842" spans="1:6">
      <c r="A842" s="30">
        <f t="shared" si="27"/>
        <v>43932</v>
      </c>
      <c r="B842" s="32" t="s">
        <v>199</v>
      </c>
      <c r="C842" t="s">
        <v>207</v>
      </c>
      <c r="D842">
        <f>IF(B842=$AB$2,$AC$2,$AC$3)</f>
        <v>1</v>
      </c>
      <c r="E842">
        <f>IF(ISBLANK(C842),0,VLOOKUP(C842,$AE$2:$AF$7,2,0))</f>
        <v>0.5</v>
      </c>
      <c r="F842">
        <f t="shared" si="28"/>
        <v>0.5</v>
      </c>
    </row>
    <row r="843" spans="1:6">
      <c r="A843" s="30">
        <f t="shared" si="27"/>
        <v>43933</v>
      </c>
      <c r="B843" s="32" t="s">
        <v>199</v>
      </c>
      <c r="C843" t="s">
        <v>207</v>
      </c>
      <c r="D843">
        <f>IF(B843=$AB$2,$AC$2,$AC$3)</f>
        <v>1</v>
      </c>
      <c r="E843">
        <f>IF(ISBLANK(C843),0,VLOOKUP(C843,$AE$2:$AF$7,2,0))</f>
        <v>0.5</v>
      </c>
      <c r="F843">
        <f t="shared" si="28"/>
        <v>0.5</v>
      </c>
    </row>
    <row r="844" spans="1:6">
      <c r="A844" s="30">
        <f t="shared" si="27"/>
        <v>43934</v>
      </c>
      <c r="B844" s="32" t="s">
        <v>199</v>
      </c>
      <c r="C844" t="s">
        <v>207</v>
      </c>
      <c r="D844">
        <f>IF(B844=$AB$2,$AC$2,$AC$3)</f>
        <v>1</v>
      </c>
      <c r="E844">
        <f>IF(ISBLANK(C844),0,VLOOKUP(C844,$AE$2:$AF$7,2,0))</f>
        <v>0.5</v>
      </c>
      <c r="F844">
        <f t="shared" si="28"/>
        <v>0.5</v>
      </c>
    </row>
    <row r="845" spans="1:6">
      <c r="A845" s="30">
        <f t="shared" si="27"/>
        <v>43935</v>
      </c>
      <c r="B845" s="32" t="s">
        <v>199</v>
      </c>
      <c r="C845" t="s">
        <v>207</v>
      </c>
      <c r="D845">
        <f>IF(B845=$AB$2,$AC$2,$AC$3)</f>
        <v>1</v>
      </c>
      <c r="E845">
        <f>IF(ISBLANK(C845),0,VLOOKUP(C845,$AE$2:$AF$7,2,0))</f>
        <v>0.5</v>
      </c>
      <c r="F845">
        <f t="shared" si="28"/>
        <v>0.5</v>
      </c>
    </row>
    <row r="846" spans="1:6">
      <c r="A846" s="30">
        <f t="shared" si="27"/>
        <v>43936</v>
      </c>
      <c r="B846" s="32" t="s">
        <v>199</v>
      </c>
      <c r="C846" t="s">
        <v>207</v>
      </c>
      <c r="D846">
        <f>IF(B846=$AB$2,$AC$2,$AC$3)</f>
        <v>1</v>
      </c>
      <c r="E846">
        <f>IF(ISBLANK(C846),0,VLOOKUP(C846,$AE$2:$AF$7,2,0))</f>
        <v>0.5</v>
      </c>
      <c r="F846">
        <f t="shared" si="28"/>
        <v>0.5</v>
      </c>
    </row>
    <row r="847" spans="1:6">
      <c r="A847" s="30">
        <f t="shared" si="27"/>
        <v>43937</v>
      </c>
      <c r="B847" s="32" t="s">
        <v>199</v>
      </c>
      <c r="C847" t="s">
        <v>207</v>
      </c>
      <c r="D847">
        <f>IF(B847=$AB$2,$AC$2,$AC$3)</f>
        <v>1</v>
      </c>
      <c r="E847">
        <f>IF(ISBLANK(C847),0,VLOOKUP(C847,$AE$2:$AF$7,2,0))</f>
        <v>0.5</v>
      </c>
      <c r="F847">
        <f t="shared" si="28"/>
        <v>0.5</v>
      </c>
    </row>
    <row r="848" spans="1:6">
      <c r="A848" s="30">
        <f t="shared" si="27"/>
        <v>43938</v>
      </c>
      <c r="B848" s="32" t="s">
        <v>199</v>
      </c>
      <c r="C848" t="s">
        <v>207</v>
      </c>
      <c r="D848">
        <f>IF(B848=$AB$2,$AC$2,$AC$3)</f>
        <v>1</v>
      </c>
      <c r="E848">
        <f>IF(ISBLANK(C848),0,VLOOKUP(C848,$AE$2:$AF$7,2,0))</f>
        <v>0.5</v>
      </c>
      <c r="F848">
        <f t="shared" si="28"/>
        <v>0.5</v>
      </c>
    </row>
    <row r="849" spans="1:6">
      <c r="A849" s="30">
        <f t="shared" si="27"/>
        <v>43939</v>
      </c>
      <c r="B849" s="32" t="s">
        <v>199</v>
      </c>
      <c r="C849" t="s">
        <v>207</v>
      </c>
      <c r="D849">
        <f>IF(B849=$AB$2,$AC$2,$AC$3)</f>
        <v>1</v>
      </c>
      <c r="E849">
        <f>IF(ISBLANK(C849),0,VLOOKUP(C849,$AE$2:$AF$7,2,0))</f>
        <v>0.5</v>
      </c>
      <c r="F849">
        <f t="shared" si="28"/>
        <v>0.5</v>
      </c>
    </row>
    <row r="850" spans="1:6">
      <c r="A850" s="30">
        <f t="shared" si="27"/>
        <v>43940</v>
      </c>
      <c r="B850" s="32" t="s">
        <v>199</v>
      </c>
      <c r="C850" t="s">
        <v>207</v>
      </c>
      <c r="D850">
        <f>IF(B850=$AB$2,$AC$2,$AC$3)</f>
        <v>1</v>
      </c>
      <c r="E850">
        <f>IF(ISBLANK(C850),0,VLOOKUP(C850,$AE$2:$AF$7,2,0))</f>
        <v>0.5</v>
      </c>
      <c r="F850">
        <f t="shared" si="28"/>
        <v>0.5</v>
      </c>
    </row>
    <row r="851" spans="1:6">
      <c r="A851" s="30">
        <f t="shared" si="27"/>
        <v>43941</v>
      </c>
      <c r="B851" s="32" t="s">
        <v>199</v>
      </c>
      <c r="C851" t="s">
        <v>207</v>
      </c>
      <c r="D851">
        <f>IF(B851=$AB$2,$AC$2,$AC$3)</f>
        <v>1</v>
      </c>
      <c r="E851">
        <f>IF(ISBLANK(C851),0,VLOOKUP(C851,$AE$2:$AF$7,2,0))</f>
        <v>0.5</v>
      </c>
      <c r="F851">
        <f t="shared" si="28"/>
        <v>0.5</v>
      </c>
    </row>
    <row r="852" spans="1:6">
      <c r="A852" s="30">
        <f t="shared" si="27"/>
        <v>43942</v>
      </c>
      <c r="B852" s="32" t="s">
        <v>199</v>
      </c>
      <c r="C852" t="s">
        <v>207</v>
      </c>
      <c r="D852">
        <f>IF(B852=$AB$2,$AC$2,$AC$3)</f>
        <v>1</v>
      </c>
      <c r="E852">
        <f>IF(ISBLANK(C852),0,VLOOKUP(C852,$AE$2:$AF$7,2,0))</f>
        <v>0.5</v>
      </c>
      <c r="F852">
        <f t="shared" si="28"/>
        <v>0.5</v>
      </c>
    </row>
    <row r="853" spans="1:6">
      <c r="A853" s="30">
        <f t="shared" si="27"/>
        <v>43943</v>
      </c>
      <c r="B853" s="32" t="s">
        <v>199</v>
      </c>
      <c r="C853" t="s">
        <v>207</v>
      </c>
      <c r="D853">
        <f>IF(B853=$AB$2,$AC$2,$AC$3)</f>
        <v>1</v>
      </c>
      <c r="E853">
        <f>IF(ISBLANK(C853),0,VLOOKUP(C853,$AE$2:$AF$7,2,0))</f>
        <v>0.5</v>
      </c>
      <c r="F853">
        <f t="shared" si="28"/>
        <v>0.5</v>
      </c>
    </row>
    <row r="854" spans="1:6">
      <c r="A854" s="30">
        <f t="shared" si="27"/>
        <v>43944</v>
      </c>
      <c r="B854" s="32" t="s">
        <v>199</v>
      </c>
      <c r="C854" t="s">
        <v>207</v>
      </c>
      <c r="D854">
        <f>IF(B854=$AB$2,$AC$2,$AC$3)</f>
        <v>1</v>
      </c>
      <c r="E854">
        <f>IF(ISBLANK(C854),0,VLOOKUP(C854,$AE$2:$AF$7,2,0))</f>
        <v>0.5</v>
      </c>
      <c r="F854">
        <f t="shared" si="28"/>
        <v>0.5</v>
      </c>
    </row>
    <row r="855" spans="1:6">
      <c r="A855" s="30">
        <f t="shared" si="27"/>
        <v>43945</v>
      </c>
      <c r="B855" s="32" t="s">
        <v>199</v>
      </c>
      <c r="C855" t="s">
        <v>207</v>
      </c>
      <c r="D855">
        <f>IF(B855=$AB$2,$AC$2,$AC$3)</f>
        <v>1</v>
      </c>
      <c r="E855">
        <f>IF(ISBLANK(C855),0,VLOOKUP(C855,$AE$2:$AF$7,2,0))</f>
        <v>0.5</v>
      </c>
      <c r="F855">
        <f t="shared" si="28"/>
        <v>0.5</v>
      </c>
    </row>
    <row r="856" spans="1:6">
      <c r="A856" s="30">
        <f t="shared" si="27"/>
        <v>43946</v>
      </c>
      <c r="B856" s="32" t="s">
        <v>199</v>
      </c>
      <c r="C856" t="s">
        <v>207</v>
      </c>
      <c r="D856">
        <f>IF(B856=$AB$2,$AC$2,$AC$3)</f>
        <v>1</v>
      </c>
      <c r="E856">
        <f>IF(ISBLANK(C856),0,VLOOKUP(C856,$AE$2:$AF$7,2,0))</f>
        <v>0.5</v>
      </c>
      <c r="F856">
        <f t="shared" si="28"/>
        <v>0.5</v>
      </c>
    </row>
    <row r="857" spans="1:6">
      <c r="A857" s="30">
        <f t="shared" si="27"/>
        <v>43947</v>
      </c>
      <c r="B857" s="32" t="s">
        <v>199</v>
      </c>
      <c r="C857" t="s">
        <v>207</v>
      </c>
      <c r="D857">
        <f>IF(B857=$AB$2,$AC$2,$AC$3)</f>
        <v>1</v>
      </c>
      <c r="E857">
        <f>IF(ISBLANK(C857),0,VLOOKUP(C857,$AE$2:$AF$7,2,0))</f>
        <v>0.5</v>
      </c>
      <c r="F857">
        <f t="shared" si="28"/>
        <v>0.5</v>
      </c>
    </row>
    <row r="858" spans="1:6">
      <c r="A858" s="30">
        <f t="shared" si="27"/>
        <v>43948</v>
      </c>
      <c r="B858" s="32" t="s">
        <v>199</v>
      </c>
      <c r="C858" t="s">
        <v>207</v>
      </c>
      <c r="D858">
        <f>IF(B858=$AB$2,$AC$2,$AC$3)</f>
        <v>1</v>
      </c>
      <c r="E858">
        <f>IF(ISBLANK(C858),0,VLOOKUP(C858,$AE$2:$AF$7,2,0))</f>
        <v>0.5</v>
      </c>
      <c r="F858">
        <f t="shared" si="28"/>
        <v>0.5</v>
      </c>
    </row>
    <row r="859" spans="1:6">
      <c r="A859" s="30">
        <f t="shared" si="27"/>
        <v>43949</v>
      </c>
      <c r="B859" s="32" t="s">
        <v>199</v>
      </c>
      <c r="C859" t="s">
        <v>207</v>
      </c>
      <c r="D859">
        <f>IF(B859=$AB$2,$AC$2,$AC$3)</f>
        <v>1</v>
      </c>
      <c r="E859">
        <f>IF(ISBLANK(C859),0,VLOOKUP(C859,$AE$2:$AF$7,2,0))</f>
        <v>0.5</v>
      </c>
      <c r="F859">
        <f t="shared" si="28"/>
        <v>0.5</v>
      </c>
    </row>
    <row r="860" spans="1:6">
      <c r="A860" s="30">
        <f t="shared" si="27"/>
        <v>43950</v>
      </c>
      <c r="B860" s="32" t="s">
        <v>199</v>
      </c>
      <c r="C860" t="s">
        <v>207</v>
      </c>
      <c r="D860">
        <f>IF(B860=$AB$2,$AC$2,$AC$3)</f>
        <v>1</v>
      </c>
      <c r="E860">
        <f>IF(ISBLANK(C860),0,VLOOKUP(C860,$AE$2:$AF$7,2,0))</f>
        <v>0.5</v>
      </c>
      <c r="F860">
        <f t="shared" si="28"/>
        <v>0.5</v>
      </c>
    </row>
    <row r="861" spans="1:6">
      <c r="A861" s="30">
        <f t="shared" si="27"/>
        <v>43951</v>
      </c>
      <c r="B861" s="32" t="s">
        <v>199</v>
      </c>
      <c r="C861" t="s">
        <v>207</v>
      </c>
      <c r="D861">
        <f>IF(B861=$AB$2,$AC$2,$AC$3)</f>
        <v>1</v>
      </c>
      <c r="E861">
        <f>IF(ISBLANK(C861),0,VLOOKUP(C861,$AE$2:$AF$7,2,0))</f>
        <v>0.5</v>
      </c>
      <c r="F861">
        <f t="shared" si="28"/>
        <v>0.5</v>
      </c>
    </row>
    <row r="862" spans="1:6">
      <c r="A862" s="30">
        <f t="shared" si="27"/>
        <v>43952</v>
      </c>
      <c r="B862" s="32" t="s">
        <v>199</v>
      </c>
      <c r="C862" t="s">
        <v>207</v>
      </c>
      <c r="D862">
        <f>IF(B862=$AB$2,$AC$2,$AC$3)</f>
        <v>1</v>
      </c>
      <c r="E862">
        <f>IF(ISBLANK(C862),0,VLOOKUP(C862,$AE$2:$AF$7,2,0))</f>
        <v>0.5</v>
      </c>
      <c r="F862">
        <f t="shared" si="28"/>
        <v>0.5</v>
      </c>
    </row>
    <row r="863" spans="1:6">
      <c r="A863" s="30">
        <f t="shared" si="27"/>
        <v>43953</v>
      </c>
      <c r="B863" s="32" t="s">
        <v>199</v>
      </c>
      <c r="C863" t="s">
        <v>207</v>
      </c>
      <c r="D863">
        <f>IF(B863=$AB$2,$AC$2,$AC$3)</f>
        <v>1</v>
      </c>
      <c r="E863">
        <f>IF(ISBLANK(C863),0,VLOOKUP(C863,$AE$2:$AF$7,2,0))</f>
        <v>0.5</v>
      </c>
      <c r="F863">
        <f t="shared" si="28"/>
        <v>0.5</v>
      </c>
    </row>
    <row r="864" spans="1:6">
      <c r="A864" s="30">
        <f t="shared" si="27"/>
        <v>43954</v>
      </c>
      <c r="B864" s="32" t="s">
        <v>199</v>
      </c>
      <c r="C864" t="s">
        <v>207</v>
      </c>
      <c r="D864">
        <f>IF(B864=$AB$2,$AC$2,$AC$3)</f>
        <v>1</v>
      </c>
      <c r="E864">
        <f>IF(ISBLANK(C864),0,VLOOKUP(C864,$AE$2:$AF$7,2,0))</f>
        <v>0.5</v>
      </c>
      <c r="F864">
        <f t="shared" si="28"/>
        <v>0.5</v>
      </c>
    </row>
    <row r="865" spans="1:6">
      <c r="A865" s="30">
        <f t="shared" si="27"/>
        <v>43955</v>
      </c>
      <c r="B865" s="32" t="s">
        <v>199</v>
      </c>
      <c r="C865" t="s">
        <v>207</v>
      </c>
      <c r="D865">
        <f>IF(B865=$AB$2,$AC$2,$AC$3)</f>
        <v>1</v>
      </c>
      <c r="E865">
        <f>IF(ISBLANK(C865),0,VLOOKUP(C865,$AE$2:$AF$7,2,0))</f>
        <v>0.5</v>
      </c>
      <c r="F865">
        <f t="shared" si="28"/>
        <v>0.5</v>
      </c>
    </row>
    <row r="866" spans="1:6">
      <c r="A866" s="30">
        <f t="shared" ref="A866:A914" si="29">A865+1</f>
        <v>43956</v>
      </c>
      <c r="B866" s="32" t="s">
        <v>199</v>
      </c>
      <c r="C866" t="s">
        <v>207</v>
      </c>
      <c r="D866">
        <f>IF(B866=$AB$2,$AC$2,$AC$3)</f>
        <v>1</v>
      </c>
      <c r="E866">
        <f>IF(ISBLANK(C866),0,VLOOKUP(C866,$AE$2:$AF$7,2,0))</f>
        <v>0.5</v>
      </c>
      <c r="F866">
        <f t="shared" si="28"/>
        <v>0.5</v>
      </c>
    </row>
    <row r="867" spans="1:6">
      <c r="A867" s="30">
        <f t="shared" si="29"/>
        <v>43957</v>
      </c>
      <c r="B867" s="32" t="s">
        <v>199</v>
      </c>
      <c r="C867" t="s">
        <v>207</v>
      </c>
      <c r="D867">
        <f>IF(B867=$AB$2,$AC$2,$AC$3)</f>
        <v>1</v>
      </c>
      <c r="E867">
        <f>IF(ISBLANK(C867),0,VLOOKUP(C867,$AE$2:$AF$7,2,0))</f>
        <v>0.5</v>
      </c>
      <c r="F867">
        <f t="shared" si="28"/>
        <v>0.5</v>
      </c>
    </row>
    <row r="868" spans="1:6">
      <c r="A868" s="30">
        <f t="shared" si="29"/>
        <v>43958</v>
      </c>
      <c r="B868" s="32" t="s">
        <v>199</v>
      </c>
      <c r="C868" t="s">
        <v>207</v>
      </c>
      <c r="D868">
        <f>IF(B868=$AB$2,$AC$2,$AC$3)</f>
        <v>1</v>
      </c>
      <c r="E868">
        <f>IF(ISBLANK(C868),0,VLOOKUP(C868,$AE$2:$AF$7,2,0))</f>
        <v>0.5</v>
      </c>
      <c r="F868">
        <f t="shared" si="28"/>
        <v>0.5</v>
      </c>
    </row>
    <row r="869" spans="1:6">
      <c r="A869" s="30">
        <f t="shared" si="29"/>
        <v>43959</v>
      </c>
      <c r="B869" s="32" t="s">
        <v>199</v>
      </c>
      <c r="C869" t="s">
        <v>207</v>
      </c>
      <c r="D869">
        <f>IF(B869=$AB$2,$AC$2,$AC$3)</f>
        <v>1</v>
      </c>
      <c r="E869">
        <f>IF(ISBLANK(C869),0,VLOOKUP(C869,$AE$2:$AF$7,2,0))</f>
        <v>0.5</v>
      </c>
      <c r="F869">
        <f t="shared" si="28"/>
        <v>0.5</v>
      </c>
    </row>
    <row r="870" spans="1:6">
      <c r="A870" s="30">
        <f t="shared" si="29"/>
        <v>43960</v>
      </c>
      <c r="B870" s="32" t="s">
        <v>199</v>
      </c>
      <c r="C870" t="s">
        <v>207</v>
      </c>
      <c r="D870">
        <f>IF(B870=$AB$2,$AC$2,$AC$3)</f>
        <v>1</v>
      </c>
      <c r="E870">
        <f>IF(ISBLANK(C870),0,VLOOKUP(C870,$AE$2:$AF$7,2,0))</f>
        <v>0.5</v>
      </c>
      <c r="F870">
        <f t="shared" si="28"/>
        <v>0.5</v>
      </c>
    </row>
    <row r="871" spans="1:6">
      <c r="A871" s="30">
        <f t="shared" si="29"/>
        <v>43961</v>
      </c>
      <c r="B871" s="32" t="s">
        <v>199</v>
      </c>
      <c r="C871" t="s">
        <v>207</v>
      </c>
      <c r="D871">
        <f>IF(B871=$AB$2,$AC$2,$AC$3)</f>
        <v>1</v>
      </c>
      <c r="E871">
        <f>IF(ISBLANK(C871),0,VLOOKUP(C871,$AE$2:$AF$7,2,0))</f>
        <v>0.5</v>
      </c>
      <c r="F871">
        <f t="shared" si="28"/>
        <v>0.5</v>
      </c>
    </row>
    <row r="872" spans="1:6">
      <c r="A872" s="30">
        <f t="shared" si="29"/>
        <v>43962</v>
      </c>
      <c r="B872" s="32" t="s">
        <v>199</v>
      </c>
      <c r="C872" t="s">
        <v>207</v>
      </c>
      <c r="D872">
        <f>IF(B872=$AB$2,$AC$2,$AC$3)</f>
        <v>1</v>
      </c>
      <c r="E872">
        <f>IF(ISBLANK(C872),0,VLOOKUP(C872,$AE$2:$AF$7,2,0))</f>
        <v>0.5</v>
      </c>
      <c r="F872">
        <f t="shared" si="28"/>
        <v>0.5</v>
      </c>
    </row>
    <row r="873" spans="1:6">
      <c r="A873" s="30">
        <f t="shared" si="29"/>
        <v>43963</v>
      </c>
      <c r="B873" s="32" t="s">
        <v>199</v>
      </c>
      <c r="C873" t="s">
        <v>207</v>
      </c>
      <c r="D873">
        <f>IF(B873=$AB$2,$AC$2,$AC$3)</f>
        <v>1</v>
      </c>
      <c r="E873">
        <f>IF(ISBLANK(C873),0,VLOOKUP(C873,$AE$2:$AF$7,2,0))</f>
        <v>0.5</v>
      </c>
      <c r="F873">
        <f t="shared" si="28"/>
        <v>0.5</v>
      </c>
    </row>
    <row r="874" spans="1:6">
      <c r="A874" s="30">
        <f t="shared" si="29"/>
        <v>43964</v>
      </c>
      <c r="B874" s="32" t="s">
        <v>199</v>
      </c>
      <c r="C874" t="s">
        <v>207</v>
      </c>
      <c r="D874">
        <f>IF(B874=$AB$2,$AC$2,$AC$3)</f>
        <v>1</v>
      </c>
      <c r="E874">
        <f>IF(ISBLANK(C874),0,VLOOKUP(C874,$AE$2:$AF$7,2,0))</f>
        <v>0.5</v>
      </c>
      <c r="F874">
        <f t="shared" si="28"/>
        <v>0.5</v>
      </c>
    </row>
    <row r="875" spans="1:6">
      <c r="A875" s="30">
        <f t="shared" si="29"/>
        <v>43965</v>
      </c>
      <c r="B875" s="32" t="s">
        <v>199</v>
      </c>
      <c r="C875" t="s">
        <v>207</v>
      </c>
      <c r="D875">
        <f>IF(B875=$AB$2,$AC$2,$AC$3)</f>
        <v>1</v>
      </c>
      <c r="E875">
        <f>IF(ISBLANK(C875),0,VLOOKUP(C875,$AE$2:$AF$7,2,0))</f>
        <v>0.5</v>
      </c>
      <c r="F875">
        <f t="shared" si="28"/>
        <v>0.5</v>
      </c>
    </row>
    <row r="876" spans="1:6">
      <c r="A876" s="30">
        <f t="shared" si="29"/>
        <v>43966</v>
      </c>
      <c r="B876" s="32" t="s">
        <v>199</v>
      </c>
      <c r="C876" t="s">
        <v>207</v>
      </c>
      <c r="D876">
        <f>IF(B876=$AB$2,$AC$2,$AC$3)</f>
        <v>1</v>
      </c>
      <c r="E876">
        <f>IF(ISBLANK(C876),0,VLOOKUP(C876,$AE$2:$AF$7,2,0))</f>
        <v>0.5</v>
      </c>
      <c r="F876">
        <f t="shared" si="28"/>
        <v>0.5</v>
      </c>
    </row>
    <row r="877" spans="1:6">
      <c r="A877" s="30">
        <f t="shared" si="29"/>
        <v>43967</v>
      </c>
      <c r="B877" s="32" t="s">
        <v>199</v>
      </c>
      <c r="C877" t="s">
        <v>207</v>
      </c>
      <c r="D877">
        <f>IF(B877=$AB$2,$AC$2,$AC$3)</f>
        <v>1</v>
      </c>
      <c r="E877">
        <f>IF(ISBLANK(C877),0,VLOOKUP(C877,$AE$2:$AF$7,2,0))</f>
        <v>0.5</v>
      </c>
      <c r="F877">
        <f t="shared" si="28"/>
        <v>0.5</v>
      </c>
    </row>
    <row r="878" spans="1:6">
      <c r="A878" s="30">
        <f t="shared" si="29"/>
        <v>43968</v>
      </c>
      <c r="B878" s="32" t="s">
        <v>199</v>
      </c>
      <c r="C878" t="s">
        <v>207</v>
      </c>
      <c r="D878">
        <f>IF(B878=$AB$2,$AC$2,$AC$3)</f>
        <v>1</v>
      </c>
      <c r="E878">
        <f>IF(ISBLANK(C878),0,VLOOKUP(C878,$AE$2:$AF$7,2,0))</f>
        <v>0.5</v>
      </c>
      <c r="F878">
        <f t="shared" si="28"/>
        <v>0.5</v>
      </c>
    </row>
    <row r="879" spans="1:6">
      <c r="A879" s="30">
        <f t="shared" si="29"/>
        <v>43969</v>
      </c>
      <c r="B879" s="32" t="s">
        <v>199</v>
      </c>
      <c r="C879" t="s">
        <v>207</v>
      </c>
      <c r="D879">
        <f>IF(B879=$AB$2,$AC$2,$AC$3)</f>
        <v>1</v>
      </c>
      <c r="E879">
        <f>IF(ISBLANK(C879),0,VLOOKUP(C879,$AE$2:$AF$7,2,0))</f>
        <v>0.5</v>
      </c>
      <c r="F879">
        <f t="shared" si="28"/>
        <v>0.5</v>
      </c>
    </row>
    <row r="880" spans="1:6">
      <c r="A880" s="30">
        <f t="shared" si="29"/>
        <v>43970</v>
      </c>
      <c r="B880" s="32" t="s">
        <v>199</v>
      </c>
      <c r="C880" t="s">
        <v>207</v>
      </c>
      <c r="D880">
        <f>IF(B880=$AB$2,$AC$2,$AC$3)</f>
        <v>1</v>
      </c>
      <c r="E880">
        <f>IF(ISBLANK(C880),0,VLOOKUP(C880,$AE$2:$AF$7,2,0))</f>
        <v>0.5</v>
      </c>
      <c r="F880">
        <f t="shared" si="28"/>
        <v>0.5</v>
      </c>
    </row>
    <row r="881" spans="1:6">
      <c r="A881" s="30">
        <f t="shared" si="29"/>
        <v>43971</v>
      </c>
      <c r="B881" s="32" t="s">
        <v>199</v>
      </c>
      <c r="C881" t="s">
        <v>207</v>
      </c>
      <c r="D881">
        <f>IF(B881=$AB$2,$AC$2,$AC$3)</f>
        <v>1</v>
      </c>
      <c r="E881">
        <f>IF(ISBLANK(C881),0,VLOOKUP(C881,$AE$2:$AF$7,2,0))</f>
        <v>0.5</v>
      </c>
      <c r="F881">
        <f t="shared" si="28"/>
        <v>0.5</v>
      </c>
    </row>
    <row r="882" spans="1:6">
      <c r="A882" s="30">
        <f t="shared" si="29"/>
        <v>43972</v>
      </c>
      <c r="B882" s="32" t="s">
        <v>199</v>
      </c>
      <c r="C882" t="s">
        <v>207</v>
      </c>
      <c r="D882">
        <f>IF(B882=$AB$2,$AC$2,$AC$3)</f>
        <v>1</v>
      </c>
      <c r="E882">
        <f>IF(ISBLANK(C882),0,VLOOKUP(C882,$AE$2:$AF$7,2,0))</f>
        <v>0.5</v>
      </c>
      <c r="F882">
        <f t="shared" si="28"/>
        <v>0.5</v>
      </c>
    </row>
    <row r="883" spans="1:6">
      <c r="A883" s="30">
        <f t="shared" si="29"/>
        <v>43973</v>
      </c>
      <c r="B883" s="32" t="s">
        <v>199</v>
      </c>
      <c r="C883" t="s">
        <v>207</v>
      </c>
      <c r="D883">
        <f>IF(B883=$AB$2,$AC$2,$AC$3)</f>
        <v>1</v>
      </c>
      <c r="E883">
        <f>IF(ISBLANK(C883),0,VLOOKUP(C883,$AE$2:$AF$7,2,0))</f>
        <v>0.5</v>
      </c>
      <c r="F883">
        <f t="shared" si="28"/>
        <v>0.5</v>
      </c>
    </row>
    <row r="884" spans="1:6">
      <c r="A884" s="30">
        <f t="shared" si="29"/>
        <v>43974</v>
      </c>
      <c r="B884" s="32" t="s">
        <v>199</v>
      </c>
      <c r="C884" t="s">
        <v>207</v>
      </c>
      <c r="D884">
        <f>IF(B884=$AB$2,$AC$2,$AC$3)</f>
        <v>1</v>
      </c>
      <c r="E884">
        <f>IF(ISBLANK(C884),0,VLOOKUP(C884,$AE$2:$AF$7,2,0))</f>
        <v>0.5</v>
      </c>
      <c r="F884">
        <f t="shared" si="28"/>
        <v>0.5</v>
      </c>
    </row>
    <row r="885" spans="1:6">
      <c r="A885" s="30">
        <f t="shared" si="29"/>
        <v>43975</v>
      </c>
      <c r="B885" s="32" t="s">
        <v>199</v>
      </c>
      <c r="C885" t="s">
        <v>207</v>
      </c>
      <c r="D885">
        <f>IF(B885=$AB$2,$AC$2,$AC$3)</f>
        <v>1</v>
      </c>
      <c r="E885">
        <f>IF(ISBLANK(C885),0,VLOOKUP(C885,$AE$2:$AF$7,2,0))</f>
        <v>0.5</v>
      </c>
      <c r="F885">
        <f t="shared" si="28"/>
        <v>0.5</v>
      </c>
    </row>
    <row r="886" spans="1:6">
      <c r="A886" s="30">
        <f t="shared" si="29"/>
        <v>43976</v>
      </c>
      <c r="B886" s="32" t="s">
        <v>199</v>
      </c>
      <c r="C886" t="s">
        <v>207</v>
      </c>
      <c r="D886">
        <f>IF(B886=$AB$2,$AC$2,$AC$3)</f>
        <v>1</v>
      </c>
      <c r="E886">
        <f>IF(ISBLANK(C886),0,VLOOKUP(C886,$AE$2:$AF$7,2,0))</f>
        <v>0.5</v>
      </c>
      <c r="F886">
        <f t="shared" si="28"/>
        <v>0.5</v>
      </c>
    </row>
    <row r="887" spans="1:6">
      <c r="A887" s="30">
        <f t="shared" si="29"/>
        <v>43977</v>
      </c>
      <c r="B887" s="32" t="s">
        <v>199</v>
      </c>
      <c r="C887" t="s">
        <v>207</v>
      </c>
      <c r="D887">
        <f>IF(B887=$AB$2,$AC$2,$AC$3)</f>
        <v>1</v>
      </c>
      <c r="E887">
        <f>IF(ISBLANK(C887),0,VLOOKUP(C887,$AE$2:$AF$7,2,0))</f>
        <v>0.5</v>
      </c>
      <c r="F887">
        <f t="shared" si="28"/>
        <v>0.5</v>
      </c>
    </row>
    <row r="888" spans="1:6">
      <c r="A888" s="30">
        <f t="shared" si="29"/>
        <v>43978</v>
      </c>
      <c r="B888" s="32" t="s">
        <v>199</v>
      </c>
      <c r="C888" t="s">
        <v>207</v>
      </c>
      <c r="D888">
        <f>IF(B888=$AB$2,$AC$2,$AC$3)</f>
        <v>1</v>
      </c>
      <c r="E888">
        <f>IF(ISBLANK(C888),0,VLOOKUP(C888,$AE$2:$AF$7,2,0))</f>
        <v>0.5</v>
      </c>
      <c r="F888">
        <f t="shared" si="28"/>
        <v>0.5</v>
      </c>
    </row>
    <row r="889" spans="1:6">
      <c r="A889" s="30">
        <f t="shared" si="29"/>
        <v>43979</v>
      </c>
      <c r="B889" s="32" t="s">
        <v>199</v>
      </c>
      <c r="C889" t="s">
        <v>207</v>
      </c>
      <c r="D889">
        <f>IF(B889=$AB$2,$AC$2,$AC$3)</f>
        <v>1</v>
      </c>
      <c r="E889">
        <f>IF(ISBLANK(C889),0,VLOOKUP(C889,$AE$2:$AF$7,2,0))</f>
        <v>0.5</v>
      </c>
      <c r="F889">
        <f t="shared" si="28"/>
        <v>0.5</v>
      </c>
    </row>
    <row r="890" spans="1:6">
      <c r="A890" s="30">
        <f t="shared" si="29"/>
        <v>43980</v>
      </c>
      <c r="B890" s="32" t="s">
        <v>199</v>
      </c>
      <c r="C890" t="s">
        <v>207</v>
      </c>
      <c r="D890">
        <f>IF(B890=$AB$2,$AC$2,$AC$3)</f>
        <v>1</v>
      </c>
      <c r="E890">
        <f>IF(ISBLANK(C890),0,VLOOKUP(C890,$AE$2:$AF$7,2,0))</f>
        <v>0.5</v>
      </c>
      <c r="F890">
        <f t="shared" si="28"/>
        <v>0.5</v>
      </c>
    </row>
    <row r="891" spans="1:6">
      <c r="A891" s="30">
        <f t="shared" si="29"/>
        <v>43981</v>
      </c>
      <c r="B891" s="32" t="s">
        <v>199</v>
      </c>
      <c r="C891" t="s">
        <v>207</v>
      </c>
      <c r="D891">
        <f>IF(B891=$AB$2,$AC$2,$AC$3)</f>
        <v>1</v>
      </c>
      <c r="E891">
        <f>IF(ISBLANK(C891),0,VLOOKUP(C891,$AE$2:$AF$7,2,0))</f>
        <v>0.5</v>
      </c>
      <c r="F891">
        <f t="shared" si="28"/>
        <v>0.5</v>
      </c>
    </row>
    <row r="892" spans="1:6">
      <c r="A892" s="30">
        <f t="shared" si="29"/>
        <v>43982</v>
      </c>
      <c r="B892" s="32" t="s">
        <v>199</v>
      </c>
      <c r="C892" t="s">
        <v>207</v>
      </c>
      <c r="D892">
        <f>IF(B892=$AB$2,$AC$2,$AC$3)</f>
        <v>1</v>
      </c>
      <c r="E892">
        <f>IF(ISBLANK(C892),0,VLOOKUP(C892,$AE$2:$AF$7,2,0))</f>
        <v>0.5</v>
      </c>
      <c r="F892">
        <f t="shared" si="28"/>
        <v>0.5</v>
      </c>
    </row>
    <row r="893" spans="1:6">
      <c r="A893" s="30">
        <f t="shared" si="29"/>
        <v>43983</v>
      </c>
      <c r="B893" s="32" t="s">
        <v>199</v>
      </c>
      <c r="C893" t="s">
        <v>207</v>
      </c>
      <c r="D893">
        <f>IF(B893=$AB$2,$AC$2,$AC$3)</f>
        <v>1</v>
      </c>
      <c r="E893">
        <f>IF(ISBLANK(C893),0,VLOOKUP(C893,$AE$2:$AF$7,2,0))</f>
        <v>0.5</v>
      </c>
      <c r="F893">
        <f t="shared" si="28"/>
        <v>0.5</v>
      </c>
    </row>
    <row r="894" spans="1:6">
      <c r="A894" s="30">
        <f t="shared" si="29"/>
        <v>43984</v>
      </c>
      <c r="B894" s="32" t="s">
        <v>199</v>
      </c>
      <c r="C894" t="s">
        <v>207</v>
      </c>
      <c r="D894">
        <f>IF(B894=$AB$2,$AC$2,$AC$3)</f>
        <v>1</v>
      </c>
      <c r="E894">
        <f>IF(ISBLANK(C894),0,VLOOKUP(C894,$AE$2:$AF$7,2,0))</f>
        <v>0.5</v>
      </c>
      <c r="F894">
        <f t="shared" si="28"/>
        <v>0.5</v>
      </c>
    </row>
    <row r="895" spans="1:6">
      <c r="A895" s="30">
        <f t="shared" si="29"/>
        <v>43985</v>
      </c>
      <c r="B895" s="32" t="s">
        <v>199</v>
      </c>
      <c r="C895" t="s">
        <v>207</v>
      </c>
      <c r="D895">
        <f>IF(B895=$AB$2,$AC$2,$AC$3)</f>
        <v>1</v>
      </c>
      <c r="E895">
        <f>IF(ISBLANK(C895),0,VLOOKUP(C895,$AE$2:$AF$7,2,0))</f>
        <v>0.5</v>
      </c>
      <c r="F895">
        <f t="shared" si="28"/>
        <v>0.5</v>
      </c>
    </row>
    <row r="896" spans="1:6">
      <c r="A896" s="30">
        <f t="shared" si="29"/>
        <v>43986</v>
      </c>
      <c r="B896" s="32" t="s">
        <v>199</v>
      </c>
      <c r="C896" t="s">
        <v>207</v>
      </c>
      <c r="D896">
        <f>IF(B896=$AB$2,$AC$2,$AC$3)</f>
        <v>1</v>
      </c>
      <c r="E896">
        <f>IF(ISBLANK(C896),0,VLOOKUP(C896,$AE$2:$AF$7,2,0))</f>
        <v>0.5</v>
      </c>
      <c r="F896">
        <f t="shared" si="28"/>
        <v>0.5</v>
      </c>
    </row>
    <row r="897" spans="1:6">
      <c r="A897" s="30">
        <f t="shared" si="29"/>
        <v>43987</v>
      </c>
      <c r="B897" s="32" t="s">
        <v>199</v>
      </c>
      <c r="C897" t="s">
        <v>207</v>
      </c>
      <c r="D897">
        <f>IF(B897=$AB$2,$AC$2,$AC$3)</f>
        <v>1</v>
      </c>
      <c r="E897">
        <f>IF(ISBLANK(C897),0,VLOOKUP(C897,$AE$2:$AF$7,2,0))</f>
        <v>0.5</v>
      </c>
      <c r="F897">
        <f t="shared" si="28"/>
        <v>0.5</v>
      </c>
    </row>
    <row r="898" spans="1:6">
      <c r="A898" s="30">
        <f t="shared" si="29"/>
        <v>43988</v>
      </c>
      <c r="B898" s="32" t="s">
        <v>199</v>
      </c>
      <c r="C898" t="s">
        <v>207</v>
      </c>
      <c r="D898">
        <f>IF(B898=$AB$2,$AC$2,$AC$3)</f>
        <v>1</v>
      </c>
      <c r="E898">
        <f>IF(ISBLANK(C898),0,VLOOKUP(C898,$AE$2:$AF$7,2,0))</f>
        <v>0.5</v>
      </c>
      <c r="F898">
        <f t="shared" si="28"/>
        <v>0.5</v>
      </c>
    </row>
    <row r="899" spans="1:6">
      <c r="A899" s="30">
        <f t="shared" si="29"/>
        <v>43989</v>
      </c>
      <c r="B899" s="32" t="s">
        <v>199</v>
      </c>
      <c r="C899" t="s">
        <v>207</v>
      </c>
      <c r="D899">
        <f>IF(B899=$AB$2,$AC$2,$AC$3)</f>
        <v>1</v>
      </c>
      <c r="E899">
        <f>IF(ISBLANK(C899),0,VLOOKUP(C899,$AE$2:$AF$7,2,0))</f>
        <v>0.5</v>
      </c>
      <c r="F899">
        <f t="shared" ref="F899:F962" si="30">D899*E899</f>
        <v>0.5</v>
      </c>
    </row>
    <row r="900" spans="1:6">
      <c r="A900" s="30">
        <f t="shared" si="29"/>
        <v>43990</v>
      </c>
      <c r="B900" s="32" t="s">
        <v>199</v>
      </c>
      <c r="C900" t="s">
        <v>207</v>
      </c>
      <c r="D900">
        <f>IF(B900=$AB$2,$AC$2,$AC$3)</f>
        <v>1</v>
      </c>
      <c r="E900">
        <f>IF(ISBLANK(C900),0,VLOOKUP(C900,$AE$2:$AF$7,2,0))</f>
        <v>0.5</v>
      </c>
      <c r="F900">
        <f t="shared" si="30"/>
        <v>0.5</v>
      </c>
    </row>
    <row r="901" spans="1:6">
      <c r="A901" s="30">
        <f t="shared" si="29"/>
        <v>43991</v>
      </c>
      <c r="B901" s="32" t="s">
        <v>199</v>
      </c>
      <c r="C901" t="s">
        <v>207</v>
      </c>
      <c r="D901">
        <f>IF(B901=$AB$2,$AC$2,$AC$3)</f>
        <v>1</v>
      </c>
      <c r="E901">
        <f>IF(ISBLANK(C901),0,VLOOKUP(C901,$AE$2:$AF$7,2,0))</f>
        <v>0.5</v>
      </c>
      <c r="F901">
        <f t="shared" si="30"/>
        <v>0.5</v>
      </c>
    </row>
    <row r="902" spans="1:6">
      <c r="A902" s="30">
        <f t="shared" si="29"/>
        <v>43992</v>
      </c>
      <c r="B902" s="32" t="s">
        <v>199</v>
      </c>
      <c r="C902" t="s">
        <v>207</v>
      </c>
      <c r="D902">
        <f>IF(B902=$AB$2,$AC$2,$AC$3)</f>
        <v>1</v>
      </c>
      <c r="E902">
        <f>IF(ISBLANK(C902),0,VLOOKUP(C902,$AE$2:$AF$7,2,0))</f>
        <v>0.5</v>
      </c>
      <c r="F902">
        <f t="shared" si="30"/>
        <v>0.5</v>
      </c>
    </row>
    <row r="903" spans="1:6">
      <c r="A903" s="30">
        <f t="shared" si="29"/>
        <v>43993</v>
      </c>
      <c r="B903" s="32" t="s">
        <v>199</v>
      </c>
      <c r="C903" t="s">
        <v>207</v>
      </c>
      <c r="D903">
        <f>IF(B903=$AB$2,$AC$2,$AC$3)</f>
        <v>1</v>
      </c>
      <c r="E903">
        <f>IF(ISBLANK(C903),0,VLOOKUP(C903,$AE$2:$AF$7,2,0))</f>
        <v>0.5</v>
      </c>
      <c r="F903">
        <f t="shared" si="30"/>
        <v>0.5</v>
      </c>
    </row>
    <row r="904" spans="1:6">
      <c r="A904" s="30">
        <f t="shared" si="29"/>
        <v>43994</v>
      </c>
      <c r="B904" s="32" t="s">
        <v>199</v>
      </c>
      <c r="C904" t="s">
        <v>207</v>
      </c>
      <c r="D904">
        <f>IF(B904=$AB$2,$AC$2,$AC$3)</f>
        <v>1</v>
      </c>
      <c r="E904">
        <f>IF(ISBLANK(C904),0,VLOOKUP(C904,$AE$2:$AF$7,2,0))</f>
        <v>0.5</v>
      </c>
      <c r="F904">
        <f t="shared" si="30"/>
        <v>0.5</v>
      </c>
    </row>
    <row r="905" spans="1:6">
      <c r="A905" s="30">
        <f t="shared" si="29"/>
        <v>43995</v>
      </c>
      <c r="B905" s="32" t="s">
        <v>199</v>
      </c>
      <c r="C905" t="s">
        <v>207</v>
      </c>
      <c r="D905">
        <f>IF(B905=$AB$2,$AC$2,$AC$3)</f>
        <v>1</v>
      </c>
      <c r="E905">
        <f>IF(ISBLANK(C905),0,VLOOKUP(C905,$AE$2:$AF$7,2,0))</f>
        <v>0.5</v>
      </c>
      <c r="F905">
        <f t="shared" si="30"/>
        <v>0.5</v>
      </c>
    </row>
    <row r="906" spans="1:6">
      <c r="A906" s="30">
        <f t="shared" si="29"/>
        <v>43996</v>
      </c>
      <c r="B906" s="32" t="s">
        <v>199</v>
      </c>
      <c r="C906" t="s">
        <v>207</v>
      </c>
      <c r="D906">
        <f>IF(B906=$AB$2,$AC$2,$AC$3)</f>
        <v>1</v>
      </c>
      <c r="E906">
        <f>IF(ISBLANK(C906),0,VLOOKUP(C906,$AE$2:$AF$7,2,0))</f>
        <v>0.5</v>
      </c>
      <c r="F906">
        <f t="shared" si="30"/>
        <v>0.5</v>
      </c>
    </row>
    <row r="907" spans="1:6">
      <c r="A907" s="30">
        <f t="shared" si="29"/>
        <v>43997</v>
      </c>
      <c r="B907" s="32" t="s">
        <v>199</v>
      </c>
      <c r="C907" t="s">
        <v>207</v>
      </c>
      <c r="D907">
        <f>IF(B907=$AB$2,$AC$2,$AC$3)</f>
        <v>1</v>
      </c>
      <c r="E907">
        <f>IF(ISBLANK(C907),0,VLOOKUP(C907,$AE$2:$AF$7,2,0))</f>
        <v>0.5</v>
      </c>
      <c r="F907">
        <f t="shared" si="30"/>
        <v>0.5</v>
      </c>
    </row>
    <row r="908" spans="1:6">
      <c r="A908" s="30">
        <f t="shared" si="29"/>
        <v>43998</v>
      </c>
      <c r="B908" s="32" t="s">
        <v>199</v>
      </c>
      <c r="C908" t="s">
        <v>207</v>
      </c>
      <c r="D908">
        <f>IF(B908=$AB$2,$AC$2,$AC$3)</f>
        <v>1</v>
      </c>
      <c r="E908">
        <f>IF(ISBLANK(C908),0,VLOOKUP(C908,$AE$2:$AF$7,2,0))</f>
        <v>0.5</v>
      </c>
      <c r="F908">
        <f t="shared" si="30"/>
        <v>0.5</v>
      </c>
    </row>
    <row r="909" spans="1:6">
      <c r="A909" s="30">
        <f t="shared" si="29"/>
        <v>43999</v>
      </c>
      <c r="B909" s="32" t="s">
        <v>199</v>
      </c>
      <c r="C909" t="s">
        <v>207</v>
      </c>
      <c r="D909">
        <f>IF(B909=$AB$2,$AC$2,$AC$3)</f>
        <v>1</v>
      </c>
      <c r="E909">
        <f>IF(ISBLANK(C909),0,VLOOKUP(C909,$AE$2:$AF$7,2,0))</f>
        <v>0.5</v>
      </c>
      <c r="F909">
        <f t="shared" si="30"/>
        <v>0.5</v>
      </c>
    </row>
    <row r="910" spans="1:6">
      <c r="A910" s="30">
        <f t="shared" si="29"/>
        <v>44000</v>
      </c>
      <c r="B910" s="32" t="s">
        <v>199</v>
      </c>
      <c r="C910" t="s">
        <v>207</v>
      </c>
      <c r="D910">
        <f>IF(B910=$AB$2,$AC$2,$AC$3)</f>
        <v>1</v>
      </c>
      <c r="E910">
        <f>IF(ISBLANK(C910),0,VLOOKUP(C910,$AE$2:$AF$7,2,0))</f>
        <v>0.5</v>
      </c>
      <c r="F910">
        <f t="shared" si="30"/>
        <v>0.5</v>
      </c>
    </row>
    <row r="911" spans="1:6">
      <c r="A911" s="30">
        <f t="shared" si="29"/>
        <v>44001</v>
      </c>
      <c r="B911" s="32" t="s">
        <v>199</v>
      </c>
      <c r="C911" t="s">
        <v>207</v>
      </c>
      <c r="D911">
        <f>IF(B911=$AB$2,$AC$2,$AC$3)</f>
        <v>1</v>
      </c>
      <c r="E911">
        <f>IF(ISBLANK(C911),0,VLOOKUP(C911,$AE$2:$AF$7,2,0))</f>
        <v>0.5</v>
      </c>
      <c r="F911">
        <f t="shared" si="30"/>
        <v>0.5</v>
      </c>
    </row>
    <row r="912" spans="1:6">
      <c r="A912" s="30">
        <f t="shared" si="29"/>
        <v>44002</v>
      </c>
      <c r="B912" s="32" t="s">
        <v>199</v>
      </c>
      <c r="C912" t="s">
        <v>207</v>
      </c>
      <c r="D912">
        <f>IF(B912=$AB$2,$AC$2,$AC$3)</f>
        <v>1</v>
      </c>
      <c r="E912">
        <f>IF(ISBLANK(C912),0,VLOOKUP(C912,$AE$2:$AF$7,2,0))</f>
        <v>0.5</v>
      </c>
      <c r="F912">
        <f t="shared" si="30"/>
        <v>0.5</v>
      </c>
    </row>
    <row r="913" spans="1:6">
      <c r="A913" s="30">
        <f t="shared" si="29"/>
        <v>44003</v>
      </c>
      <c r="B913" s="32" t="s">
        <v>199</v>
      </c>
      <c r="C913" t="s">
        <v>207</v>
      </c>
      <c r="D913">
        <f>IF(B913=$AB$2,$AC$2,$AC$3)</f>
        <v>1</v>
      </c>
      <c r="E913">
        <f>IF(ISBLANK(C913),0,VLOOKUP(C913,$AE$2:$AF$7,2,0))</f>
        <v>0.5</v>
      </c>
      <c r="F913">
        <f t="shared" si="30"/>
        <v>0.5</v>
      </c>
    </row>
    <row r="914" spans="1:6">
      <c r="A914" s="30">
        <f t="shared" si="29"/>
        <v>44004</v>
      </c>
      <c r="B914" s="32" t="s">
        <v>199</v>
      </c>
      <c r="C914" t="s">
        <v>207</v>
      </c>
      <c r="D914">
        <f>IF(B914=$AB$2,$AC$2,$AC$3)</f>
        <v>1</v>
      </c>
      <c r="E914">
        <f>IF(ISBLANK(C914),0,VLOOKUP(C914,$AE$2:$AF$7,2,0))</f>
        <v>0.5</v>
      </c>
      <c r="F914">
        <f t="shared" si="30"/>
        <v>0.5</v>
      </c>
    </row>
    <row r="915" spans="1:6">
      <c r="A915" s="30">
        <f>A914+1</f>
        <v>44005</v>
      </c>
      <c r="B915" s="32" t="s">
        <v>199</v>
      </c>
      <c r="C915" t="s">
        <v>207</v>
      </c>
      <c r="D915">
        <f>IF(B915=$AB$2,$AC$2,$AC$3)</f>
        <v>1</v>
      </c>
      <c r="E915">
        <f>IF(ISBLANK(C915),0,VLOOKUP(C915,$AE$2:$AF$7,2,0))</f>
        <v>0.5</v>
      </c>
      <c r="F915">
        <f t="shared" si="30"/>
        <v>0.5</v>
      </c>
    </row>
    <row r="916" spans="1:6">
      <c r="A916" s="30">
        <f t="shared" ref="A916:A979" si="31">A915+1</f>
        <v>44006</v>
      </c>
      <c r="B916" s="32" t="s">
        <v>199</v>
      </c>
      <c r="C916" t="s">
        <v>207</v>
      </c>
      <c r="D916">
        <f>IF(B916=$AB$2,$AC$2,$AC$3)</f>
        <v>1</v>
      </c>
      <c r="E916">
        <f>IF(ISBLANK(C916),0,VLOOKUP(C916,$AE$2:$AF$7,2,0))</f>
        <v>0.5</v>
      </c>
      <c r="F916">
        <f t="shared" si="30"/>
        <v>0.5</v>
      </c>
    </row>
    <row r="917" spans="1:6">
      <c r="A917" s="30">
        <f t="shared" si="31"/>
        <v>44007</v>
      </c>
      <c r="B917" s="32" t="s">
        <v>199</v>
      </c>
      <c r="C917" t="s">
        <v>207</v>
      </c>
      <c r="D917">
        <f>IF(B917=$AB$2,$AC$2,$AC$3)</f>
        <v>1</v>
      </c>
      <c r="E917">
        <f>IF(ISBLANK(C917),0,VLOOKUP(C917,$AE$2:$AF$7,2,0))</f>
        <v>0.5</v>
      </c>
      <c r="F917">
        <f t="shared" si="30"/>
        <v>0.5</v>
      </c>
    </row>
    <row r="918" spans="1:6">
      <c r="A918" s="30">
        <f t="shared" si="31"/>
        <v>44008</v>
      </c>
      <c r="B918" s="32" t="s">
        <v>199</v>
      </c>
      <c r="C918" t="s">
        <v>207</v>
      </c>
      <c r="D918">
        <f>IF(B918=$AB$2,$AC$2,$AC$3)</f>
        <v>1</v>
      </c>
      <c r="E918">
        <f>IF(ISBLANK(C918),0,VLOOKUP(C918,$AE$2:$AF$7,2,0))</f>
        <v>0.5</v>
      </c>
      <c r="F918">
        <f t="shared" si="30"/>
        <v>0.5</v>
      </c>
    </row>
    <row r="919" spans="1:6">
      <c r="A919" s="30">
        <f t="shared" si="31"/>
        <v>44009</v>
      </c>
      <c r="B919" s="32" t="s">
        <v>199</v>
      </c>
      <c r="C919" t="s">
        <v>207</v>
      </c>
      <c r="D919">
        <f>IF(B919=$AB$2,$AC$2,$AC$3)</f>
        <v>1</v>
      </c>
      <c r="E919">
        <f>IF(ISBLANK(C919),0,VLOOKUP(C919,$AE$2:$AF$7,2,0))</f>
        <v>0.5</v>
      </c>
      <c r="F919">
        <f t="shared" si="30"/>
        <v>0.5</v>
      </c>
    </row>
    <row r="920" spans="1:6">
      <c r="A920" s="30">
        <f t="shared" si="31"/>
        <v>44010</v>
      </c>
      <c r="B920" s="32" t="s">
        <v>199</v>
      </c>
      <c r="C920" t="s">
        <v>207</v>
      </c>
      <c r="D920">
        <f>IF(B920=$AB$2,$AC$2,$AC$3)</f>
        <v>1</v>
      </c>
      <c r="E920">
        <f>IF(ISBLANK(C920),0,VLOOKUP(C920,$AE$2:$AF$7,2,0))</f>
        <v>0.5</v>
      </c>
      <c r="F920">
        <f t="shared" si="30"/>
        <v>0.5</v>
      </c>
    </row>
    <row r="921" spans="1:6">
      <c r="A921" s="30">
        <f t="shared" si="31"/>
        <v>44011</v>
      </c>
      <c r="B921" s="32" t="s">
        <v>199</v>
      </c>
      <c r="C921" t="s">
        <v>207</v>
      </c>
      <c r="D921">
        <f>IF(B921=$AB$2,$AC$2,$AC$3)</f>
        <v>1</v>
      </c>
      <c r="E921">
        <f>IF(ISBLANK(C921),0,VLOOKUP(C921,$AE$2:$AF$7,2,0))</f>
        <v>0.5</v>
      </c>
      <c r="F921">
        <f t="shared" si="30"/>
        <v>0.5</v>
      </c>
    </row>
    <row r="922" spans="1:6">
      <c r="A922" s="30">
        <f t="shared" si="31"/>
        <v>44012</v>
      </c>
      <c r="B922" s="32" t="s">
        <v>199</v>
      </c>
      <c r="C922" t="s">
        <v>207</v>
      </c>
      <c r="D922">
        <f>IF(B922=$AB$2,$AC$2,$AC$3)</f>
        <v>1</v>
      </c>
      <c r="E922">
        <f>IF(ISBLANK(C922),0,VLOOKUP(C922,$AE$2:$AF$7,2,0))</f>
        <v>0.5</v>
      </c>
      <c r="F922">
        <f t="shared" si="30"/>
        <v>0.5</v>
      </c>
    </row>
    <row r="923" spans="1:6">
      <c r="A923" s="30">
        <f t="shared" si="31"/>
        <v>44013</v>
      </c>
      <c r="B923" s="32" t="s">
        <v>199</v>
      </c>
      <c r="C923" t="s">
        <v>207</v>
      </c>
      <c r="D923">
        <f>IF(B923=$AB$2,$AC$2,$AC$3)</f>
        <v>1</v>
      </c>
      <c r="E923">
        <f>IF(ISBLANK(C923),0,VLOOKUP(C923,$AE$2:$AF$7,2,0))</f>
        <v>0.5</v>
      </c>
      <c r="F923">
        <f t="shared" si="30"/>
        <v>0.5</v>
      </c>
    </row>
    <row r="924" spans="1:6">
      <c r="A924" s="30">
        <f t="shared" si="31"/>
        <v>44014</v>
      </c>
      <c r="B924" s="32" t="s">
        <v>199</v>
      </c>
      <c r="C924" t="s">
        <v>207</v>
      </c>
      <c r="D924">
        <f>IF(B924=$AB$2,$AC$2,$AC$3)</f>
        <v>1</v>
      </c>
      <c r="E924">
        <f>IF(ISBLANK(C924),0,VLOOKUP(C924,$AE$2:$AF$7,2,0))</f>
        <v>0.5</v>
      </c>
      <c r="F924">
        <f t="shared" si="30"/>
        <v>0.5</v>
      </c>
    </row>
    <row r="925" spans="1:6">
      <c r="A925" s="30">
        <f t="shared" si="31"/>
        <v>44015</v>
      </c>
      <c r="B925" s="32" t="s">
        <v>199</v>
      </c>
      <c r="C925" t="s">
        <v>207</v>
      </c>
      <c r="D925">
        <f>IF(B925=$AB$2,$AC$2,$AC$3)</f>
        <v>1</v>
      </c>
      <c r="E925">
        <f>IF(ISBLANK(C925),0,VLOOKUP(C925,$AE$2:$AF$7,2,0))</f>
        <v>0.5</v>
      </c>
      <c r="F925">
        <f t="shared" si="30"/>
        <v>0.5</v>
      </c>
    </row>
    <row r="926" spans="1:6">
      <c r="A926" s="30">
        <f t="shared" si="31"/>
        <v>44016</v>
      </c>
      <c r="B926" s="32" t="s">
        <v>199</v>
      </c>
      <c r="C926" t="s">
        <v>207</v>
      </c>
      <c r="D926">
        <f>IF(B926=$AB$2,$AC$2,$AC$3)</f>
        <v>1</v>
      </c>
      <c r="E926">
        <f>IF(ISBLANK(C926),0,VLOOKUP(C926,$AE$2:$AF$7,2,0))</f>
        <v>0.5</v>
      </c>
      <c r="F926">
        <f t="shared" si="30"/>
        <v>0.5</v>
      </c>
    </row>
    <row r="927" spans="1:6">
      <c r="A927" s="30">
        <f t="shared" si="31"/>
        <v>44017</v>
      </c>
      <c r="B927" s="32" t="s">
        <v>199</v>
      </c>
      <c r="C927" t="s">
        <v>207</v>
      </c>
      <c r="D927">
        <f>IF(B927=$AB$2,$AC$2,$AC$3)</f>
        <v>1</v>
      </c>
      <c r="E927">
        <f>IF(ISBLANK(C927),0,VLOOKUP(C927,$AE$2:$AF$7,2,0))</f>
        <v>0.5</v>
      </c>
      <c r="F927">
        <f t="shared" si="30"/>
        <v>0.5</v>
      </c>
    </row>
    <row r="928" spans="1:6">
      <c r="A928" s="30">
        <f t="shared" si="31"/>
        <v>44018</v>
      </c>
      <c r="B928" s="32" t="s">
        <v>199</v>
      </c>
      <c r="C928" t="s">
        <v>207</v>
      </c>
      <c r="D928">
        <f>IF(B928=$AB$2,$AC$2,$AC$3)</f>
        <v>1</v>
      </c>
      <c r="E928">
        <f>IF(ISBLANK(C928),0,VLOOKUP(C928,$AE$2:$AF$7,2,0))</f>
        <v>0.5</v>
      </c>
      <c r="F928">
        <f t="shared" si="30"/>
        <v>0.5</v>
      </c>
    </row>
    <row r="929" spans="1:6">
      <c r="A929" s="30">
        <f t="shared" si="31"/>
        <v>44019</v>
      </c>
      <c r="B929" s="32" t="s">
        <v>199</v>
      </c>
      <c r="C929" t="s">
        <v>207</v>
      </c>
      <c r="D929">
        <f>IF(B929=$AB$2,$AC$2,$AC$3)</f>
        <v>1</v>
      </c>
      <c r="E929">
        <f>IF(ISBLANK(C929),0,VLOOKUP(C929,$AE$2:$AF$7,2,0))</f>
        <v>0.5</v>
      </c>
      <c r="F929">
        <f t="shared" si="30"/>
        <v>0.5</v>
      </c>
    </row>
    <row r="930" spans="1:6">
      <c r="A930" s="30">
        <f t="shared" si="31"/>
        <v>44020</v>
      </c>
      <c r="B930" s="32" t="s">
        <v>199</v>
      </c>
      <c r="C930" t="s">
        <v>207</v>
      </c>
      <c r="D930">
        <f>IF(B930=$AB$2,$AC$2,$AC$3)</f>
        <v>1</v>
      </c>
      <c r="E930">
        <f>IF(ISBLANK(C930),0,VLOOKUP(C930,$AE$2:$AF$7,2,0))</f>
        <v>0.5</v>
      </c>
      <c r="F930">
        <f t="shared" si="30"/>
        <v>0.5</v>
      </c>
    </row>
    <row r="931" spans="1:6">
      <c r="A931" s="30">
        <f t="shared" si="31"/>
        <v>44021</v>
      </c>
      <c r="B931" s="32" t="s">
        <v>199</v>
      </c>
      <c r="C931" t="s">
        <v>207</v>
      </c>
      <c r="D931">
        <f>IF(B931=$AB$2,$AC$2,$AC$3)</f>
        <v>1</v>
      </c>
      <c r="E931">
        <f>IF(ISBLANK(C931),0,VLOOKUP(C931,$AE$2:$AF$7,2,0))</f>
        <v>0.5</v>
      </c>
      <c r="F931">
        <f t="shared" si="30"/>
        <v>0.5</v>
      </c>
    </row>
    <row r="932" spans="1:6">
      <c r="A932" s="30">
        <f t="shared" si="31"/>
        <v>44022</v>
      </c>
      <c r="B932" s="32" t="s">
        <v>199</v>
      </c>
      <c r="C932" t="s">
        <v>207</v>
      </c>
      <c r="D932">
        <f>IF(B932=$AB$2,$AC$2,$AC$3)</f>
        <v>1</v>
      </c>
      <c r="E932">
        <f>IF(ISBLANK(C932),0,VLOOKUP(C932,$AE$2:$AF$7,2,0))</f>
        <v>0.5</v>
      </c>
      <c r="F932">
        <f t="shared" si="30"/>
        <v>0.5</v>
      </c>
    </row>
    <row r="933" spans="1:6">
      <c r="A933" s="30">
        <f t="shared" si="31"/>
        <v>44023</v>
      </c>
      <c r="B933" s="32" t="s">
        <v>199</v>
      </c>
      <c r="C933" t="s">
        <v>207</v>
      </c>
      <c r="D933">
        <f>IF(B933=$AB$2,$AC$2,$AC$3)</f>
        <v>1</v>
      </c>
      <c r="E933">
        <f>IF(ISBLANK(C933),0,VLOOKUP(C933,$AE$2:$AF$7,2,0))</f>
        <v>0.5</v>
      </c>
      <c r="F933">
        <f t="shared" si="30"/>
        <v>0.5</v>
      </c>
    </row>
    <row r="934" spans="1:6">
      <c r="A934" s="30">
        <f t="shared" si="31"/>
        <v>44024</v>
      </c>
      <c r="B934" s="32" t="s">
        <v>199</v>
      </c>
      <c r="C934" t="s">
        <v>207</v>
      </c>
      <c r="D934">
        <f>IF(B934=$AB$2,$AC$2,$AC$3)</f>
        <v>1</v>
      </c>
      <c r="E934">
        <f>IF(ISBLANK(C934),0,VLOOKUP(C934,$AE$2:$AF$7,2,0))</f>
        <v>0.5</v>
      </c>
      <c r="F934">
        <f t="shared" si="30"/>
        <v>0.5</v>
      </c>
    </row>
    <row r="935" spans="1:6">
      <c r="A935" s="30">
        <f t="shared" si="31"/>
        <v>44025</v>
      </c>
      <c r="B935" s="32" t="s">
        <v>199</v>
      </c>
      <c r="C935" t="s">
        <v>207</v>
      </c>
      <c r="D935">
        <f>IF(B935=$AB$2,$AC$2,$AC$3)</f>
        <v>1</v>
      </c>
      <c r="E935">
        <f>IF(ISBLANK(C935),0,VLOOKUP(C935,$AE$2:$AF$7,2,0))</f>
        <v>0.5</v>
      </c>
      <c r="F935">
        <f t="shared" si="30"/>
        <v>0.5</v>
      </c>
    </row>
    <row r="936" spans="1:6">
      <c r="A936" s="30">
        <f t="shared" si="31"/>
        <v>44026</v>
      </c>
      <c r="B936" s="32" t="s">
        <v>199</v>
      </c>
      <c r="C936" t="s">
        <v>207</v>
      </c>
      <c r="D936">
        <f>IF(B936=$AB$2,$AC$2,$AC$3)</f>
        <v>1</v>
      </c>
      <c r="E936">
        <f>IF(ISBLANK(C936),0,VLOOKUP(C936,$AE$2:$AF$7,2,0))</f>
        <v>0.5</v>
      </c>
      <c r="F936">
        <f t="shared" si="30"/>
        <v>0.5</v>
      </c>
    </row>
    <row r="937" spans="1:6">
      <c r="A937" s="30">
        <f t="shared" si="31"/>
        <v>44027</v>
      </c>
      <c r="B937" s="32" t="s">
        <v>199</v>
      </c>
      <c r="C937" t="s">
        <v>207</v>
      </c>
      <c r="D937">
        <f>IF(B937=$AB$2,$AC$2,$AC$3)</f>
        <v>1</v>
      </c>
      <c r="E937">
        <f>IF(ISBLANK(C937),0,VLOOKUP(C937,$AE$2:$AF$7,2,0))</f>
        <v>0.5</v>
      </c>
      <c r="F937">
        <f t="shared" si="30"/>
        <v>0.5</v>
      </c>
    </row>
    <row r="938" spans="1:6">
      <c r="A938" s="30">
        <f t="shared" si="31"/>
        <v>44028</v>
      </c>
      <c r="B938" s="32" t="s">
        <v>199</v>
      </c>
      <c r="C938" t="s">
        <v>207</v>
      </c>
      <c r="D938">
        <f>IF(B938=$AB$2,$AC$2,$AC$3)</f>
        <v>1</v>
      </c>
      <c r="E938">
        <f>IF(ISBLANK(C938),0,VLOOKUP(C938,$AE$2:$AF$7,2,0))</f>
        <v>0.5</v>
      </c>
      <c r="F938">
        <f t="shared" si="30"/>
        <v>0.5</v>
      </c>
    </row>
    <row r="939" spans="1:6">
      <c r="A939" s="30">
        <f t="shared" si="31"/>
        <v>44029</v>
      </c>
      <c r="B939" s="32" t="s">
        <v>199</v>
      </c>
      <c r="C939" t="s">
        <v>207</v>
      </c>
      <c r="D939">
        <f>IF(B939=$AB$2,$AC$2,$AC$3)</f>
        <v>1</v>
      </c>
      <c r="E939">
        <f>IF(ISBLANK(C939),0,VLOOKUP(C939,$AE$2:$AF$7,2,0))</f>
        <v>0.5</v>
      </c>
      <c r="F939">
        <f t="shared" si="30"/>
        <v>0.5</v>
      </c>
    </row>
    <row r="940" spans="1:6">
      <c r="A940" s="30">
        <f t="shared" si="31"/>
        <v>44030</v>
      </c>
      <c r="B940" s="32" t="s">
        <v>199</v>
      </c>
      <c r="C940" t="s">
        <v>207</v>
      </c>
      <c r="D940">
        <f>IF(B940=$AB$2,$AC$2,$AC$3)</f>
        <v>1</v>
      </c>
      <c r="E940">
        <f>IF(ISBLANK(C940),0,VLOOKUP(C940,$AE$2:$AF$7,2,0))</f>
        <v>0.5</v>
      </c>
      <c r="F940">
        <f t="shared" si="30"/>
        <v>0.5</v>
      </c>
    </row>
    <row r="941" spans="1:6">
      <c r="A941" s="30">
        <f t="shared" si="31"/>
        <v>44031</v>
      </c>
      <c r="B941" s="32" t="s">
        <v>199</v>
      </c>
      <c r="C941" t="s">
        <v>207</v>
      </c>
      <c r="D941">
        <f>IF(B941=$AB$2,$AC$2,$AC$3)</f>
        <v>1</v>
      </c>
      <c r="E941">
        <f>IF(ISBLANK(C941),0,VLOOKUP(C941,$AE$2:$AF$7,2,0))</f>
        <v>0.5</v>
      </c>
      <c r="F941">
        <f t="shared" si="30"/>
        <v>0.5</v>
      </c>
    </row>
    <row r="942" spans="1:6">
      <c r="A942" s="30">
        <f t="shared" si="31"/>
        <v>44032</v>
      </c>
      <c r="B942" s="32" t="s">
        <v>199</v>
      </c>
      <c r="C942" t="s">
        <v>207</v>
      </c>
      <c r="D942">
        <f>IF(B942=$AB$2,$AC$2,$AC$3)</f>
        <v>1</v>
      </c>
      <c r="E942">
        <f>IF(ISBLANK(C942),0,VLOOKUP(C942,$AE$2:$AF$7,2,0))</f>
        <v>0.5</v>
      </c>
      <c r="F942">
        <f t="shared" si="30"/>
        <v>0.5</v>
      </c>
    </row>
    <row r="943" spans="1:6">
      <c r="A943" s="30">
        <f t="shared" si="31"/>
        <v>44033</v>
      </c>
      <c r="B943" s="32" t="s">
        <v>199</v>
      </c>
      <c r="C943" t="s">
        <v>207</v>
      </c>
      <c r="D943">
        <f>IF(B943=$AB$2,$AC$2,$AC$3)</f>
        <v>1</v>
      </c>
      <c r="E943">
        <f>IF(ISBLANK(C943),0,VLOOKUP(C943,$AE$2:$AF$7,2,0))</f>
        <v>0.5</v>
      </c>
      <c r="F943">
        <f t="shared" si="30"/>
        <v>0.5</v>
      </c>
    </row>
    <row r="944" spans="1:6">
      <c r="A944" s="30">
        <f t="shared" si="31"/>
        <v>44034</v>
      </c>
      <c r="B944" s="32" t="s">
        <v>199</v>
      </c>
      <c r="C944" t="s">
        <v>207</v>
      </c>
      <c r="D944">
        <f>IF(B944=$AB$2,$AC$2,$AC$3)</f>
        <v>1</v>
      </c>
      <c r="E944">
        <f>IF(ISBLANK(C944),0,VLOOKUP(C944,$AE$2:$AF$7,2,0))</f>
        <v>0.5</v>
      </c>
      <c r="F944">
        <f t="shared" si="30"/>
        <v>0.5</v>
      </c>
    </row>
    <row r="945" spans="1:6">
      <c r="A945" s="30">
        <f t="shared" si="31"/>
        <v>44035</v>
      </c>
      <c r="B945" s="32" t="s">
        <v>199</v>
      </c>
      <c r="C945" t="s">
        <v>207</v>
      </c>
      <c r="D945">
        <f>IF(B945=$AB$2,$AC$2,$AC$3)</f>
        <v>1</v>
      </c>
      <c r="E945">
        <f>IF(ISBLANK(C945),0,VLOOKUP(C945,$AE$2:$AF$7,2,0))</f>
        <v>0.5</v>
      </c>
      <c r="F945">
        <f t="shared" si="30"/>
        <v>0.5</v>
      </c>
    </row>
    <row r="946" spans="1:6">
      <c r="A946" s="30">
        <f t="shared" si="31"/>
        <v>44036</v>
      </c>
      <c r="B946" s="32" t="s">
        <v>199</v>
      </c>
      <c r="C946" t="s">
        <v>207</v>
      </c>
      <c r="D946">
        <f>IF(B946=$AB$2,$AC$2,$AC$3)</f>
        <v>1</v>
      </c>
      <c r="E946">
        <f>IF(ISBLANK(C946),0,VLOOKUP(C946,$AE$2:$AF$7,2,0))</f>
        <v>0.5</v>
      </c>
      <c r="F946">
        <f t="shared" si="30"/>
        <v>0.5</v>
      </c>
    </row>
    <row r="947" spans="1:6">
      <c r="A947" s="30">
        <f t="shared" si="31"/>
        <v>44037</v>
      </c>
      <c r="B947" s="32" t="s">
        <v>199</v>
      </c>
      <c r="C947" t="s">
        <v>207</v>
      </c>
      <c r="D947">
        <f>IF(B947=$AB$2,$AC$2,$AC$3)</f>
        <v>1</v>
      </c>
      <c r="E947">
        <f>IF(ISBLANK(C947),0,VLOOKUP(C947,$AE$2:$AF$7,2,0))</f>
        <v>0.5</v>
      </c>
      <c r="F947">
        <f t="shared" si="30"/>
        <v>0.5</v>
      </c>
    </row>
    <row r="948" spans="1:6">
      <c r="A948" s="30">
        <f t="shared" si="31"/>
        <v>44038</v>
      </c>
      <c r="B948" s="32" t="s">
        <v>199</v>
      </c>
      <c r="C948" t="s">
        <v>207</v>
      </c>
      <c r="D948">
        <f>IF(B948=$AB$2,$AC$2,$AC$3)</f>
        <v>1</v>
      </c>
      <c r="E948">
        <f>IF(ISBLANK(C948),0,VLOOKUP(C948,$AE$2:$AF$7,2,0))</f>
        <v>0.5</v>
      </c>
      <c r="F948">
        <f t="shared" si="30"/>
        <v>0.5</v>
      </c>
    </row>
    <row r="949" spans="1:6">
      <c r="A949" s="30">
        <f t="shared" si="31"/>
        <v>44039</v>
      </c>
      <c r="B949" s="32" t="s">
        <v>199</v>
      </c>
      <c r="C949" t="s">
        <v>207</v>
      </c>
      <c r="D949">
        <f>IF(B949=$AB$2,$AC$2,$AC$3)</f>
        <v>1</v>
      </c>
      <c r="E949">
        <f>IF(ISBLANK(C949),0,VLOOKUP(C949,$AE$2:$AF$7,2,0))</f>
        <v>0.5</v>
      </c>
      <c r="F949">
        <f t="shared" si="30"/>
        <v>0.5</v>
      </c>
    </row>
    <row r="950" spans="1:6">
      <c r="A950" s="30">
        <f t="shared" si="31"/>
        <v>44040</v>
      </c>
      <c r="B950" s="32" t="s">
        <v>199</v>
      </c>
      <c r="C950" t="s">
        <v>207</v>
      </c>
      <c r="D950">
        <f>IF(B950=$AB$2,$AC$2,$AC$3)</f>
        <v>1</v>
      </c>
      <c r="E950">
        <f>IF(ISBLANK(C950),0,VLOOKUP(C950,$AE$2:$AF$7,2,0))</f>
        <v>0.5</v>
      </c>
      <c r="F950">
        <f t="shared" si="30"/>
        <v>0.5</v>
      </c>
    </row>
    <row r="951" spans="1:6">
      <c r="A951" s="30">
        <f t="shared" si="31"/>
        <v>44041</v>
      </c>
      <c r="B951" s="32" t="s">
        <v>199</v>
      </c>
      <c r="C951" t="s">
        <v>207</v>
      </c>
      <c r="D951">
        <f>IF(B951=$AB$2,$AC$2,$AC$3)</f>
        <v>1</v>
      </c>
      <c r="E951">
        <f>IF(ISBLANK(C951),0,VLOOKUP(C951,$AE$2:$AF$7,2,0))</f>
        <v>0.5</v>
      </c>
      <c r="F951">
        <f t="shared" si="30"/>
        <v>0.5</v>
      </c>
    </row>
    <row r="952" spans="1:6">
      <c r="A952" s="30">
        <f t="shared" si="31"/>
        <v>44042</v>
      </c>
      <c r="B952" s="32" t="s">
        <v>199</v>
      </c>
      <c r="C952" t="s">
        <v>207</v>
      </c>
      <c r="D952">
        <f>IF(B952=$AB$2,$AC$2,$AC$3)</f>
        <v>1</v>
      </c>
      <c r="E952">
        <f>IF(ISBLANK(C952),0,VLOOKUP(C952,$AE$2:$AF$7,2,0))</f>
        <v>0.5</v>
      </c>
      <c r="F952">
        <f t="shared" si="30"/>
        <v>0.5</v>
      </c>
    </row>
    <row r="953" spans="1:6">
      <c r="A953" s="30">
        <f t="shared" si="31"/>
        <v>44043</v>
      </c>
      <c r="B953" s="32" t="s">
        <v>199</v>
      </c>
      <c r="C953" t="s">
        <v>207</v>
      </c>
      <c r="D953">
        <f>IF(B953=$AB$2,$AC$2,$AC$3)</f>
        <v>1</v>
      </c>
      <c r="E953">
        <f>IF(ISBLANK(C953),0,VLOOKUP(C953,$AE$2:$AF$7,2,0))</f>
        <v>0.5</v>
      </c>
      <c r="F953">
        <f t="shared" si="30"/>
        <v>0.5</v>
      </c>
    </row>
    <row r="954" spans="1:6">
      <c r="A954" s="30">
        <f t="shared" si="31"/>
        <v>44044</v>
      </c>
      <c r="B954" s="32" t="s">
        <v>199</v>
      </c>
      <c r="C954" t="s">
        <v>207</v>
      </c>
      <c r="D954">
        <f>IF(B954=$AB$2,$AC$2,$AC$3)</f>
        <v>1</v>
      </c>
      <c r="E954">
        <f>IF(ISBLANK(C954),0,VLOOKUP(C954,$AE$2:$AF$7,2,0))</f>
        <v>0.5</v>
      </c>
      <c r="F954">
        <f t="shared" si="30"/>
        <v>0.5</v>
      </c>
    </row>
    <row r="955" spans="1:6">
      <c r="A955" s="30">
        <f t="shared" si="31"/>
        <v>44045</v>
      </c>
      <c r="B955" s="32" t="s">
        <v>199</v>
      </c>
      <c r="C955" t="s">
        <v>207</v>
      </c>
      <c r="D955">
        <f>IF(B955=$AB$2,$AC$2,$AC$3)</f>
        <v>1</v>
      </c>
      <c r="E955">
        <f>IF(ISBLANK(C955),0,VLOOKUP(C955,$AE$2:$AF$7,2,0))</f>
        <v>0.5</v>
      </c>
      <c r="F955">
        <f t="shared" si="30"/>
        <v>0.5</v>
      </c>
    </row>
    <row r="956" spans="1:6">
      <c r="A956" s="30">
        <f t="shared" si="31"/>
        <v>44046</v>
      </c>
      <c r="B956" s="32" t="s">
        <v>199</v>
      </c>
      <c r="C956" t="s">
        <v>207</v>
      </c>
      <c r="D956">
        <f>IF(B956=$AB$2,$AC$2,$AC$3)</f>
        <v>1</v>
      </c>
      <c r="E956">
        <f>IF(ISBLANK(C956),0,VLOOKUP(C956,$AE$2:$AF$7,2,0))</f>
        <v>0.5</v>
      </c>
      <c r="F956">
        <f t="shared" si="30"/>
        <v>0.5</v>
      </c>
    </row>
    <row r="957" spans="1:6">
      <c r="A957" s="30">
        <f t="shared" si="31"/>
        <v>44047</v>
      </c>
      <c r="B957" s="32" t="s">
        <v>199</v>
      </c>
      <c r="C957" t="s">
        <v>207</v>
      </c>
      <c r="D957">
        <f>IF(B957=$AB$2,$AC$2,$AC$3)</f>
        <v>1</v>
      </c>
      <c r="E957">
        <f>IF(ISBLANK(C957),0,VLOOKUP(C957,$AE$2:$AF$7,2,0))</f>
        <v>0.5</v>
      </c>
      <c r="F957">
        <f t="shared" si="30"/>
        <v>0.5</v>
      </c>
    </row>
    <row r="958" spans="1:6">
      <c r="A958" s="30">
        <f t="shared" si="31"/>
        <v>44048</v>
      </c>
      <c r="B958" s="32" t="s">
        <v>199</v>
      </c>
      <c r="C958" t="s">
        <v>207</v>
      </c>
      <c r="D958">
        <f>IF(B958=$AB$2,$AC$2,$AC$3)</f>
        <v>1</v>
      </c>
      <c r="E958">
        <f>IF(ISBLANK(C958),0,VLOOKUP(C958,$AE$2:$AF$7,2,0))</f>
        <v>0.5</v>
      </c>
      <c r="F958">
        <f t="shared" si="30"/>
        <v>0.5</v>
      </c>
    </row>
    <row r="959" spans="1:6">
      <c r="A959" s="30">
        <f t="shared" si="31"/>
        <v>44049</v>
      </c>
      <c r="B959" s="32" t="s">
        <v>199</v>
      </c>
      <c r="C959" t="s">
        <v>207</v>
      </c>
      <c r="D959">
        <f>IF(B959=$AB$2,$AC$2,$AC$3)</f>
        <v>1</v>
      </c>
      <c r="E959">
        <f>IF(ISBLANK(C959),0,VLOOKUP(C959,$AE$2:$AF$7,2,0))</f>
        <v>0.5</v>
      </c>
      <c r="F959">
        <f t="shared" si="30"/>
        <v>0.5</v>
      </c>
    </row>
    <row r="960" spans="1:6">
      <c r="A960" s="30">
        <f t="shared" si="31"/>
        <v>44050</v>
      </c>
      <c r="B960" s="32" t="s">
        <v>199</v>
      </c>
      <c r="C960" t="s">
        <v>207</v>
      </c>
      <c r="D960">
        <f>IF(B960=$AB$2,$AC$2,$AC$3)</f>
        <v>1</v>
      </c>
      <c r="E960">
        <f>IF(ISBLANK(C960),0,VLOOKUP(C960,$AE$2:$AF$7,2,0))</f>
        <v>0.5</v>
      </c>
      <c r="F960">
        <f t="shared" si="30"/>
        <v>0.5</v>
      </c>
    </row>
    <row r="961" spans="1:6">
      <c r="A961" s="30">
        <f t="shared" si="31"/>
        <v>44051</v>
      </c>
      <c r="B961" s="32" t="s">
        <v>199</v>
      </c>
      <c r="C961" t="s">
        <v>207</v>
      </c>
      <c r="D961">
        <f>IF(B961=$AB$2,$AC$2,$AC$3)</f>
        <v>1</v>
      </c>
      <c r="E961">
        <f>IF(ISBLANK(C961),0,VLOOKUP(C961,$AE$2:$AF$7,2,0))</f>
        <v>0.5</v>
      </c>
      <c r="F961">
        <f t="shared" si="30"/>
        <v>0.5</v>
      </c>
    </row>
    <row r="962" spans="1:6">
      <c r="A962" s="30">
        <f t="shared" si="31"/>
        <v>44052</v>
      </c>
      <c r="B962" s="32" t="s">
        <v>199</v>
      </c>
      <c r="C962" t="s">
        <v>207</v>
      </c>
      <c r="D962">
        <f>IF(B962=$AB$2,$AC$2,$AC$3)</f>
        <v>1</v>
      </c>
      <c r="E962">
        <f>IF(ISBLANK(C962),0,VLOOKUP(C962,$AE$2:$AF$7,2,0))</f>
        <v>0.5</v>
      </c>
      <c r="F962">
        <f t="shared" si="30"/>
        <v>0.5</v>
      </c>
    </row>
    <row r="963" spans="1:6">
      <c r="A963" s="30">
        <f t="shared" si="31"/>
        <v>44053</v>
      </c>
      <c r="B963" s="32" t="s">
        <v>199</v>
      </c>
      <c r="C963" t="s">
        <v>207</v>
      </c>
      <c r="D963">
        <f>IF(B963=$AB$2,$AC$2,$AC$3)</f>
        <v>1</v>
      </c>
      <c r="E963">
        <f>IF(ISBLANK(C963),0,VLOOKUP(C963,$AE$2:$AF$7,2,0))</f>
        <v>0.5</v>
      </c>
      <c r="F963">
        <f t="shared" ref="F963:F1026" si="32">D963*E963</f>
        <v>0.5</v>
      </c>
    </row>
    <row r="964" spans="1:6">
      <c r="A964" s="30">
        <f t="shared" si="31"/>
        <v>44054</v>
      </c>
      <c r="B964" s="32" t="s">
        <v>199</v>
      </c>
      <c r="C964" t="s">
        <v>207</v>
      </c>
      <c r="D964">
        <f>IF(B964=$AB$2,$AC$2,$AC$3)</f>
        <v>1</v>
      </c>
      <c r="E964">
        <f>IF(ISBLANK(C964),0,VLOOKUP(C964,$AE$2:$AF$7,2,0))</f>
        <v>0.5</v>
      </c>
      <c r="F964">
        <f t="shared" si="32"/>
        <v>0.5</v>
      </c>
    </row>
    <row r="965" spans="1:6">
      <c r="A965" s="30">
        <f t="shared" si="31"/>
        <v>44055</v>
      </c>
      <c r="B965" s="32" t="s">
        <v>199</v>
      </c>
      <c r="C965" t="s">
        <v>207</v>
      </c>
      <c r="D965">
        <f>IF(B965=$AB$2,$AC$2,$AC$3)</f>
        <v>1</v>
      </c>
      <c r="E965">
        <f>IF(ISBLANK(C965),0,VLOOKUP(C965,$AE$2:$AF$7,2,0))</f>
        <v>0.5</v>
      </c>
      <c r="F965">
        <f t="shared" si="32"/>
        <v>0.5</v>
      </c>
    </row>
    <row r="966" spans="1:6">
      <c r="A966" s="30">
        <f t="shared" si="31"/>
        <v>44056</v>
      </c>
      <c r="B966" s="32" t="s">
        <v>199</v>
      </c>
      <c r="C966" t="s">
        <v>207</v>
      </c>
      <c r="D966">
        <f>IF(B966=$AB$2,$AC$2,$AC$3)</f>
        <v>1</v>
      </c>
      <c r="E966">
        <f>IF(ISBLANK(C966),0,VLOOKUP(C966,$AE$2:$AF$7,2,0))</f>
        <v>0.5</v>
      </c>
      <c r="F966">
        <f t="shared" si="32"/>
        <v>0.5</v>
      </c>
    </row>
    <row r="967" spans="1:6">
      <c r="A967" s="30">
        <f t="shared" si="31"/>
        <v>44057</v>
      </c>
      <c r="B967" s="32" t="s">
        <v>199</v>
      </c>
      <c r="C967" t="s">
        <v>207</v>
      </c>
      <c r="D967">
        <f>IF(B967=$AB$2,$AC$2,$AC$3)</f>
        <v>1</v>
      </c>
      <c r="E967">
        <f>IF(ISBLANK(C967),0,VLOOKUP(C967,$AE$2:$AF$7,2,0))</f>
        <v>0.5</v>
      </c>
      <c r="F967">
        <f t="shared" si="32"/>
        <v>0.5</v>
      </c>
    </row>
    <row r="968" spans="1:6">
      <c r="A968" s="30">
        <f t="shared" si="31"/>
        <v>44058</v>
      </c>
      <c r="B968" s="32" t="s">
        <v>199</v>
      </c>
      <c r="C968" t="s">
        <v>207</v>
      </c>
      <c r="D968">
        <f>IF(B968=$AB$2,$AC$2,$AC$3)</f>
        <v>1</v>
      </c>
      <c r="E968">
        <f>IF(ISBLANK(C968),0,VLOOKUP(C968,$AE$2:$AF$7,2,0))</f>
        <v>0.5</v>
      </c>
      <c r="F968">
        <f t="shared" si="32"/>
        <v>0.5</v>
      </c>
    </row>
    <row r="969" spans="1:6">
      <c r="A969" s="30">
        <f t="shared" si="31"/>
        <v>44059</v>
      </c>
      <c r="B969" s="32" t="s">
        <v>199</v>
      </c>
      <c r="C969" t="s">
        <v>207</v>
      </c>
      <c r="D969">
        <f>IF(B969=$AB$2,$AC$2,$AC$3)</f>
        <v>1</v>
      </c>
      <c r="E969">
        <f>IF(ISBLANK(C969),0,VLOOKUP(C969,$AE$2:$AF$7,2,0))</f>
        <v>0.5</v>
      </c>
      <c r="F969">
        <f t="shared" si="32"/>
        <v>0.5</v>
      </c>
    </row>
    <row r="970" spans="1:6">
      <c r="A970" s="30">
        <f t="shared" si="31"/>
        <v>44060</v>
      </c>
      <c r="B970" s="32" t="s">
        <v>199</v>
      </c>
      <c r="C970" t="s">
        <v>207</v>
      </c>
      <c r="D970">
        <f>IF(B970=$AB$2,$AC$2,$AC$3)</f>
        <v>1</v>
      </c>
      <c r="E970">
        <f>IF(ISBLANK(C970),0,VLOOKUP(C970,$AE$2:$AF$7,2,0))</f>
        <v>0.5</v>
      </c>
      <c r="F970">
        <f t="shared" si="32"/>
        <v>0.5</v>
      </c>
    </row>
    <row r="971" spans="1:6">
      <c r="A971" s="30">
        <f t="shared" si="31"/>
        <v>44061</v>
      </c>
      <c r="B971" s="32" t="s">
        <v>199</v>
      </c>
      <c r="C971" t="s">
        <v>207</v>
      </c>
      <c r="D971">
        <f>IF(B971=$AB$2,$AC$2,$AC$3)</f>
        <v>1</v>
      </c>
      <c r="E971">
        <f>IF(ISBLANK(C971),0,VLOOKUP(C971,$AE$2:$AF$7,2,0))</f>
        <v>0.5</v>
      </c>
      <c r="F971">
        <f t="shared" si="32"/>
        <v>0.5</v>
      </c>
    </row>
    <row r="972" spans="1:6">
      <c r="A972" s="30">
        <f t="shared" si="31"/>
        <v>44062</v>
      </c>
      <c r="B972" s="32" t="s">
        <v>199</v>
      </c>
      <c r="C972" t="s">
        <v>207</v>
      </c>
      <c r="D972">
        <f>IF(B972=$AB$2,$AC$2,$AC$3)</f>
        <v>1</v>
      </c>
      <c r="E972">
        <f>IF(ISBLANK(C972),0,VLOOKUP(C972,$AE$2:$AF$7,2,0))</f>
        <v>0.5</v>
      </c>
      <c r="F972">
        <f t="shared" si="32"/>
        <v>0.5</v>
      </c>
    </row>
    <row r="973" spans="1:6">
      <c r="A973" s="30">
        <f t="shared" si="31"/>
        <v>44063</v>
      </c>
      <c r="B973" s="32" t="s">
        <v>199</v>
      </c>
      <c r="C973" t="s">
        <v>207</v>
      </c>
      <c r="D973">
        <f>IF(B973=$AB$2,$AC$2,$AC$3)</f>
        <v>1</v>
      </c>
      <c r="E973">
        <f>IF(ISBLANK(C973),0,VLOOKUP(C973,$AE$2:$AF$7,2,0))</f>
        <v>0.5</v>
      </c>
      <c r="F973">
        <f t="shared" si="32"/>
        <v>0.5</v>
      </c>
    </row>
    <row r="974" spans="1:6">
      <c r="A974" s="30">
        <f t="shared" si="31"/>
        <v>44064</v>
      </c>
      <c r="B974" s="32" t="s">
        <v>199</v>
      </c>
      <c r="C974" t="s">
        <v>207</v>
      </c>
      <c r="D974">
        <f>IF(B974=$AB$2,$AC$2,$AC$3)</f>
        <v>1</v>
      </c>
      <c r="E974">
        <f>IF(ISBLANK(C974),0,VLOOKUP(C974,$AE$2:$AF$7,2,0))</f>
        <v>0.5</v>
      </c>
      <c r="F974">
        <f t="shared" si="32"/>
        <v>0.5</v>
      </c>
    </row>
    <row r="975" spans="1:6">
      <c r="A975" s="30">
        <f t="shared" si="31"/>
        <v>44065</v>
      </c>
      <c r="B975" s="32" t="s">
        <v>199</v>
      </c>
      <c r="C975" t="s">
        <v>207</v>
      </c>
      <c r="D975">
        <f>IF(B975=$AB$2,$AC$2,$AC$3)</f>
        <v>1</v>
      </c>
      <c r="E975">
        <f>IF(ISBLANK(C975),0,VLOOKUP(C975,$AE$2:$AF$7,2,0))</f>
        <v>0.5</v>
      </c>
      <c r="F975">
        <f t="shared" si="32"/>
        <v>0.5</v>
      </c>
    </row>
    <row r="976" spans="1:6">
      <c r="A976" s="30">
        <f t="shared" si="31"/>
        <v>44066</v>
      </c>
      <c r="B976" s="32" t="s">
        <v>199</v>
      </c>
      <c r="C976" t="s">
        <v>207</v>
      </c>
      <c r="D976">
        <f>IF(B976=$AB$2,$AC$2,$AC$3)</f>
        <v>1</v>
      </c>
      <c r="E976">
        <f>IF(ISBLANK(C976),0,VLOOKUP(C976,$AE$2:$AF$7,2,0))</f>
        <v>0.5</v>
      </c>
      <c r="F976">
        <f t="shared" si="32"/>
        <v>0.5</v>
      </c>
    </row>
    <row r="977" spans="1:6">
      <c r="A977" s="30">
        <f t="shared" si="31"/>
        <v>44067</v>
      </c>
      <c r="B977" s="32" t="s">
        <v>199</v>
      </c>
      <c r="C977" t="s">
        <v>207</v>
      </c>
      <c r="D977">
        <f>IF(B977=$AB$2,$AC$2,$AC$3)</f>
        <v>1</v>
      </c>
      <c r="E977">
        <f>IF(ISBLANK(C977),0,VLOOKUP(C977,$AE$2:$AF$7,2,0))</f>
        <v>0.5</v>
      </c>
      <c r="F977">
        <f t="shared" si="32"/>
        <v>0.5</v>
      </c>
    </row>
    <row r="978" spans="1:6">
      <c r="A978" s="30">
        <f t="shared" si="31"/>
        <v>44068</v>
      </c>
      <c r="B978" s="32" t="s">
        <v>199</v>
      </c>
      <c r="C978" t="s">
        <v>207</v>
      </c>
      <c r="D978">
        <f>IF(B978=$AB$2,$AC$2,$AC$3)</f>
        <v>1</v>
      </c>
      <c r="E978">
        <f>IF(ISBLANK(C978),0,VLOOKUP(C978,$AE$2:$AF$7,2,0))</f>
        <v>0.5</v>
      </c>
      <c r="F978">
        <f t="shared" si="32"/>
        <v>0.5</v>
      </c>
    </row>
    <row r="979" spans="1:6">
      <c r="A979" s="30">
        <f t="shared" si="31"/>
        <v>44069</v>
      </c>
      <c r="B979" s="32" t="s">
        <v>199</v>
      </c>
      <c r="C979" t="s">
        <v>207</v>
      </c>
      <c r="D979">
        <f>IF(B979=$AB$2,$AC$2,$AC$3)</f>
        <v>1</v>
      </c>
      <c r="E979">
        <f>IF(ISBLANK(C979),0,VLOOKUP(C979,$AE$2:$AF$7,2,0))</f>
        <v>0.5</v>
      </c>
      <c r="F979">
        <f t="shared" si="32"/>
        <v>0.5</v>
      </c>
    </row>
    <row r="980" spans="1:6">
      <c r="A980" s="30">
        <f t="shared" ref="A980:A1028" si="33">A979+1</f>
        <v>44070</v>
      </c>
      <c r="B980" s="32" t="s">
        <v>199</v>
      </c>
      <c r="C980" t="s">
        <v>207</v>
      </c>
      <c r="D980">
        <f>IF(B980=$AB$2,$AC$2,$AC$3)</f>
        <v>1</v>
      </c>
      <c r="E980">
        <f>IF(ISBLANK(C980),0,VLOOKUP(C980,$AE$2:$AF$7,2,0))</f>
        <v>0.5</v>
      </c>
      <c r="F980">
        <f t="shared" si="32"/>
        <v>0.5</v>
      </c>
    </row>
    <row r="981" spans="1:6">
      <c r="A981" s="30">
        <f t="shared" si="33"/>
        <v>44071</v>
      </c>
      <c r="B981" s="32" t="s">
        <v>199</v>
      </c>
      <c r="C981" t="s">
        <v>207</v>
      </c>
      <c r="D981">
        <f>IF(B981=$AB$2,$AC$2,$AC$3)</f>
        <v>1</v>
      </c>
      <c r="E981">
        <f>IF(ISBLANK(C981),0,VLOOKUP(C981,$AE$2:$AF$7,2,0))</f>
        <v>0.5</v>
      </c>
      <c r="F981">
        <f t="shared" si="32"/>
        <v>0.5</v>
      </c>
    </row>
    <row r="982" spans="1:6">
      <c r="A982" s="30">
        <f t="shared" si="33"/>
        <v>44072</v>
      </c>
      <c r="B982" s="32" t="s">
        <v>199</v>
      </c>
      <c r="C982" t="s">
        <v>207</v>
      </c>
      <c r="D982">
        <f>IF(B982=$AB$2,$AC$2,$AC$3)</f>
        <v>1</v>
      </c>
      <c r="E982">
        <f>IF(ISBLANK(C982),0,VLOOKUP(C982,$AE$2:$AF$7,2,0))</f>
        <v>0.5</v>
      </c>
      <c r="F982">
        <f t="shared" si="32"/>
        <v>0.5</v>
      </c>
    </row>
    <row r="983" spans="1:6">
      <c r="A983" s="30">
        <f t="shared" si="33"/>
        <v>44073</v>
      </c>
      <c r="B983" s="32" t="s">
        <v>199</v>
      </c>
      <c r="C983" t="s">
        <v>207</v>
      </c>
      <c r="D983">
        <f>IF(B983=$AB$2,$AC$2,$AC$3)</f>
        <v>1</v>
      </c>
      <c r="E983">
        <f>IF(ISBLANK(C983),0,VLOOKUP(C983,$AE$2:$AF$7,2,0))</f>
        <v>0.5</v>
      </c>
      <c r="F983">
        <f t="shared" si="32"/>
        <v>0.5</v>
      </c>
    </row>
    <row r="984" spans="1:6">
      <c r="A984" s="30">
        <f t="shared" si="33"/>
        <v>44074</v>
      </c>
      <c r="B984" s="32" t="s">
        <v>199</v>
      </c>
      <c r="C984" t="s">
        <v>207</v>
      </c>
      <c r="D984">
        <f>IF(B984=$AB$2,$AC$2,$AC$3)</f>
        <v>1</v>
      </c>
      <c r="E984">
        <f>IF(ISBLANK(C984),0,VLOOKUP(C984,$AE$2:$AF$7,2,0))</f>
        <v>0.5</v>
      </c>
      <c r="F984">
        <f t="shared" si="32"/>
        <v>0.5</v>
      </c>
    </row>
    <row r="985" spans="1:6">
      <c r="A985" s="30">
        <f t="shared" si="33"/>
        <v>44075</v>
      </c>
      <c r="B985" s="32" t="s">
        <v>199</v>
      </c>
      <c r="C985" t="s">
        <v>207</v>
      </c>
      <c r="D985">
        <f>IF(B985=$AB$2,$AC$2,$AC$3)</f>
        <v>1</v>
      </c>
      <c r="E985">
        <f>IF(ISBLANK(C985),0,VLOOKUP(C985,$AE$2:$AF$7,2,0))</f>
        <v>0.5</v>
      </c>
      <c r="F985">
        <f t="shared" si="32"/>
        <v>0.5</v>
      </c>
    </row>
    <row r="986" spans="1:6">
      <c r="A986" s="30">
        <f t="shared" si="33"/>
        <v>44076</v>
      </c>
      <c r="B986" s="32" t="s">
        <v>199</v>
      </c>
      <c r="C986" t="s">
        <v>207</v>
      </c>
      <c r="D986">
        <f>IF(B986=$AB$2,$AC$2,$AC$3)</f>
        <v>1</v>
      </c>
      <c r="E986">
        <f>IF(ISBLANK(C986),0,VLOOKUP(C986,$AE$2:$AF$7,2,0))</f>
        <v>0.5</v>
      </c>
      <c r="F986">
        <f t="shared" si="32"/>
        <v>0.5</v>
      </c>
    </row>
    <row r="987" spans="1:6">
      <c r="A987" s="30">
        <f t="shared" si="33"/>
        <v>44077</v>
      </c>
      <c r="B987" s="32" t="s">
        <v>199</v>
      </c>
      <c r="C987" t="s">
        <v>207</v>
      </c>
      <c r="D987">
        <f>IF(B987=$AB$2,$AC$2,$AC$3)</f>
        <v>1</v>
      </c>
      <c r="E987">
        <f>IF(ISBLANK(C987),0,VLOOKUP(C987,$AE$2:$AF$7,2,0))</f>
        <v>0.5</v>
      </c>
      <c r="F987">
        <f t="shared" si="32"/>
        <v>0.5</v>
      </c>
    </row>
    <row r="988" spans="1:6">
      <c r="A988" s="30">
        <f t="shared" si="33"/>
        <v>44078</v>
      </c>
      <c r="B988" s="32" t="s">
        <v>199</v>
      </c>
      <c r="C988" t="s">
        <v>207</v>
      </c>
      <c r="D988">
        <f>IF(B988=$AB$2,$AC$2,$AC$3)</f>
        <v>1</v>
      </c>
      <c r="E988">
        <f>IF(ISBLANK(C988),0,VLOOKUP(C988,$AE$2:$AF$7,2,0))</f>
        <v>0.5</v>
      </c>
      <c r="F988">
        <f t="shared" si="32"/>
        <v>0.5</v>
      </c>
    </row>
    <row r="989" spans="1:6">
      <c r="A989" s="30">
        <f t="shared" si="33"/>
        <v>44079</v>
      </c>
      <c r="B989" s="32" t="s">
        <v>199</v>
      </c>
      <c r="C989" t="s">
        <v>207</v>
      </c>
      <c r="D989">
        <f>IF(B989=$AB$2,$AC$2,$AC$3)</f>
        <v>1</v>
      </c>
      <c r="E989">
        <f>IF(ISBLANK(C989),0,VLOOKUP(C989,$AE$2:$AF$7,2,0))</f>
        <v>0.5</v>
      </c>
      <c r="F989">
        <f t="shared" si="32"/>
        <v>0.5</v>
      </c>
    </row>
    <row r="990" spans="1:6">
      <c r="A990" s="30">
        <f t="shared" si="33"/>
        <v>44080</v>
      </c>
      <c r="B990" s="32" t="s">
        <v>199</v>
      </c>
      <c r="C990" t="s">
        <v>207</v>
      </c>
      <c r="D990">
        <f>IF(B990=$AB$2,$AC$2,$AC$3)</f>
        <v>1</v>
      </c>
      <c r="E990">
        <f>IF(ISBLANK(C990),0,VLOOKUP(C990,$AE$2:$AF$7,2,0))</f>
        <v>0.5</v>
      </c>
      <c r="F990">
        <f t="shared" si="32"/>
        <v>0.5</v>
      </c>
    </row>
    <row r="991" spans="1:6">
      <c r="A991" s="30">
        <f t="shared" si="33"/>
        <v>44081</v>
      </c>
      <c r="B991" s="32" t="s">
        <v>199</v>
      </c>
      <c r="C991" t="s">
        <v>207</v>
      </c>
      <c r="D991">
        <f>IF(B991=$AB$2,$AC$2,$AC$3)</f>
        <v>1</v>
      </c>
      <c r="E991">
        <f>IF(ISBLANK(C991),0,VLOOKUP(C991,$AE$2:$AF$7,2,0))</f>
        <v>0.5</v>
      </c>
      <c r="F991">
        <f t="shared" si="32"/>
        <v>0.5</v>
      </c>
    </row>
    <row r="992" spans="1:6">
      <c r="A992" s="30">
        <f t="shared" si="33"/>
        <v>44082</v>
      </c>
      <c r="B992" s="32" t="s">
        <v>199</v>
      </c>
      <c r="C992" t="s">
        <v>207</v>
      </c>
      <c r="D992">
        <f>IF(B992=$AB$2,$AC$2,$AC$3)</f>
        <v>1</v>
      </c>
      <c r="E992">
        <f>IF(ISBLANK(C992),0,VLOOKUP(C992,$AE$2:$AF$7,2,0))</f>
        <v>0.5</v>
      </c>
      <c r="F992">
        <f t="shared" si="32"/>
        <v>0.5</v>
      </c>
    </row>
    <row r="993" spans="1:6">
      <c r="A993" s="30">
        <f t="shared" si="33"/>
        <v>44083</v>
      </c>
      <c r="B993" s="32" t="s">
        <v>199</v>
      </c>
      <c r="C993" t="s">
        <v>207</v>
      </c>
      <c r="D993">
        <f>IF(B993=$AB$2,$AC$2,$AC$3)</f>
        <v>1</v>
      </c>
      <c r="E993">
        <f>IF(ISBLANK(C993),0,VLOOKUP(C993,$AE$2:$AF$7,2,0))</f>
        <v>0.5</v>
      </c>
      <c r="F993">
        <f t="shared" si="32"/>
        <v>0.5</v>
      </c>
    </row>
    <row r="994" spans="1:6">
      <c r="A994" s="30">
        <f t="shared" si="33"/>
        <v>44084</v>
      </c>
      <c r="B994" s="32" t="s">
        <v>199</v>
      </c>
      <c r="C994" t="s">
        <v>207</v>
      </c>
      <c r="D994">
        <f>IF(B994=$AB$2,$AC$2,$AC$3)</f>
        <v>1</v>
      </c>
      <c r="E994">
        <f>IF(ISBLANK(C994),0,VLOOKUP(C994,$AE$2:$AF$7,2,0))</f>
        <v>0.5</v>
      </c>
      <c r="F994">
        <f t="shared" si="32"/>
        <v>0.5</v>
      </c>
    </row>
    <row r="995" spans="1:6">
      <c r="A995" s="30">
        <f t="shared" si="33"/>
        <v>44085</v>
      </c>
      <c r="B995" s="32" t="s">
        <v>199</v>
      </c>
      <c r="C995" t="s">
        <v>207</v>
      </c>
      <c r="D995">
        <f>IF(B995=$AB$2,$AC$2,$AC$3)</f>
        <v>1</v>
      </c>
      <c r="E995">
        <f>IF(ISBLANK(C995),0,VLOOKUP(C995,$AE$2:$AF$7,2,0))</f>
        <v>0.5</v>
      </c>
      <c r="F995">
        <f t="shared" si="32"/>
        <v>0.5</v>
      </c>
    </row>
    <row r="996" spans="1:6">
      <c r="A996" s="30">
        <f t="shared" si="33"/>
        <v>44086</v>
      </c>
      <c r="B996" s="32" t="s">
        <v>199</v>
      </c>
      <c r="C996" t="s">
        <v>207</v>
      </c>
      <c r="D996">
        <f>IF(B996=$AB$2,$AC$2,$AC$3)</f>
        <v>1</v>
      </c>
      <c r="E996">
        <f>IF(ISBLANK(C996),0,VLOOKUP(C996,$AE$2:$AF$7,2,0))</f>
        <v>0.5</v>
      </c>
      <c r="F996">
        <f t="shared" si="32"/>
        <v>0.5</v>
      </c>
    </row>
    <row r="997" spans="1:6">
      <c r="A997" s="30">
        <f t="shared" si="33"/>
        <v>44087</v>
      </c>
      <c r="B997" s="32" t="s">
        <v>199</v>
      </c>
      <c r="C997" t="s">
        <v>207</v>
      </c>
      <c r="D997">
        <f>IF(B997=$AB$2,$AC$2,$AC$3)</f>
        <v>1</v>
      </c>
      <c r="E997">
        <f>IF(ISBLANK(C997),0,VLOOKUP(C997,$AE$2:$AF$7,2,0))</f>
        <v>0.5</v>
      </c>
      <c r="F997">
        <f t="shared" si="32"/>
        <v>0.5</v>
      </c>
    </row>
    <row r="998" spans="1:6">
      <c r="A998" s="30">
        <f t="shared" si="33"/>
        <v>44088</v>
      </c>
      <c r="B998" s="32" t="s">
        <v>199</v>
      </c>
      <c r="C998" t="s">
        <v>207</v>
      </c>
      <c r="D998">
        <f>IF(B998=$AB$2,$AC$2,$AC$3)</f>
        <v>1</v>
      </c>
      <c r="E998">
        <f>IF(ISBLANK(C998),0,VLOOKUP(C998,$AE$2:$AF$7,2,0))</f>
        <v>0.5</v>
      </c>
      <c r="F998">
        <f t="shared" si="32"/>
        <v>0.5</v>
      </c>
    </row>
    <row r="999" spans="1:6">
      <c r="A999" s="30">
        <f t="shared" si="33"/>
        <v>44089</v>
      </c>
      <c r="B999" s="32" t="s">
        <v>199</v>
      </c>
      <c r="C999" t="s">
        <v>207</v>
      </c>
      <c r="D999">
        <f>IF(B999=$AB$2,$AC$2,$AC$3)</f>
        <v>1</v>
      </c>
      <c r="E999">
        <f>IF(ISBLANK(C999),0,VLOOKUP(C999,$AE$2:$AF$7,2,0))</f>
        <v>0.5</v>
      </c>
      <c r="F999">
        <f t="shared" si="32"/>
        <v>0.5</v>
      </c>
    </row>
    <row r="1000" spans="1:6">
      <c r="A1000" s="30">
        <f t="shared" si="33"/>
        <v>44090</v>
      </c>
      <c r="B1000" s="32" t="s">
        <v>199</v>
      </c>
      <c r="C1000" t="s">
        <v>207</v>
      </c>
      <c r="D1000">
        <f>IF(B1000=$AB$2,$AC$2,$AC$3)</f>
        <v>1</v>
      </c>
      <c r="E1000">
        <f>IF(ISBLANK(C1000),0,VLOOKUP(C1000,$AE$2:$AF$7,2,0))</f>
        <v>0.5</v>
      </c>
      <c r="F1000">
        <f t="shared" si="32"/>
        <v>0.5</v>
      </c>
    </row>
    <row r="1001" spans="1:6">
      <c r="A1001" s="30">
        <f t="shared" si="33"/>
        <v>44091</v>
      </c>
      <c r="B1001" s="32" t="s">
        <v>199</v>
      </c>
      <c r="C1001" t="s">
        <v>207</v>
      </c>
      <c r="D1001">
        <f>IF(B1001=$AB$2,$AC$2,$AC$3)</f>
        <v>1</v>
      </c>
      <c r="E1001">
        <f>IF(ISBLANK(C1001),0,VLOOKUP(C1001,$AE$2:$AF$7,2,0))</f>
        <v>0.5</v>
      </c>
      <c r="F1001">
        <f t="shared" si="32"/>
        <v>0.5</v>
      </c>
    </row>
    <row r="1002" spans="1:6">
      <c r="A1002" s="30">
        <f t="shared" si="33"/>
        <v>44092</v>
      </c>
      <c r="B1002" s="32" t="s">
        <v>199</v>
      </c>
      <c r="C1002" t="s">
        <v>207</v>
      </c>
      <c r="D1002">
        <f>IF(B1002=$AB$2,$AC$2,$AC$3)</f>
        <v>1</v>
      </c>
      <c r="E1002">
        <f>IF(ISBLANK(C1002),0,VLOOKUP(C1002,$AE$2:$AF$7,2,0))</f>
        <v>0.5</v>
      </c>
      <c r="F1002">
        <f t="shared" si="32"/>
        <v>0.5</v>
      </c>
    </row>
    <row r="1003" spans="1:6">
      <c r="A1003" s="30">
        <f t="shared" si="33"/>
        <v>44093</v>
      </c>
      <c r="B1003" s="32" t="s">
        <v>199</v>
      </c>
      <c r="C1003" t="s">
        <v>207</v>
      </c>
      <c r="D1003">
        <f>IF(B1003=$AB$2,$AC$2,$AC$3)</f>
        <v>1</v>
      </c>
      <c r="E1003">
        <f>IF(ISBLANK(C1003),0,VLOOKUP(C1003,$AE$2:$AF$7,2,0))</f>
        <v>0.5</v>
      </c>
      <c r="F1003">
        <f t="shared" si="32"/>
        <v>0.5</v>
      </c>
    </row>
    <row r="1004" spans="1:6">
      <c r="A1004" s="30">
        <f t="shared" si="33"/>
        <v>44094</v>
      </c>
      <c r="B1004" s="32" t="s">
        <v>199</v>
      </c>
      <c r="C1004" t="s">
        <v>207</v>
      </c>
      <c r="D1004">
        <f>IF(B1004=$AB$2,$AC$2,$AC$3)</f>
        <v>1</v>
      </c>
      <c r="E1004">
        <f>IF(ISBLANK(C1004),0,VLOOKUP(C1004,$AE$2:$AF$7,2,0))</f>
        <v>0.5</v>
      </c>
      <c r="F1004">
        <f t="shared" si="32"/>
        <v>0.5</v>
      </c>
    </row>
    <row r="1005" spans="1:6">
      <c r="A1005" s="30">
        <f t="shared" si="33"/>
        <v>44095</v>
      </c>
      <c r="B1005" s="32" t="s">
        <v>199</v>
      </c>
      <c r="C1005" t="s">
        <v>207</v>
      </c>
      <c r="D1005">
        <f>IF(B1005=$AB$2,$AC$2,$AC$3)</f>
        <v>1</v>
      </c>
      <c r="E1005">
        <f>IF(ISBLANK(C1005),0,VLOOKUP(C1005,$AE$2:$AF$7,2,0))</f>
        <v>0.5</v>
      </c>
      <c r="F1005">
        <f t="shared" si="32"/>
        <v>0.5</v>
      </c>
    </row>
    <row r="1006" spans="1:6">
      <c r="A1006" s="30">
        <f t="shared" si="33"/>
        <v>44096</v>
      </c>
      <c r="B1006" s="32" t="s">
        <v>199</v>
      </c>
      <c r="C1006" t="s">
        <v>207</v>
      </c>
      <c r="D1006">
        <f>IF(B1006=$AB$2,$AC$2,$AC$3)</f>
        <v>1</v>
      </c>
      <c r="E1006">
        <f>IF(ISBLANK(C1006),0,VLOOKUP(C1006,$AE$2:$AF$7,2,0))</f>
        <v>0.5</v>
      </c>
      <c r="F1006">
        <f t="shared" si="32"/>
        <v>0.5</v>
      </c>
    </row>
    <row r="1007" spans="1:6">
      <c r="A1007" s="30">
        <f t="shared" si="33"/>
        <v>44097</v>
      </c>
      <c r="B1007" s="32" t="s">
        <v>199</v>
      </c>
      <c r="C1007" t="s">
        <v>207</v>
      </c>
      <c r="D1007">
        <f>IF(B1007=$AB$2,$AC$2,$AC$3)</f>
        <v>1</v>
      </c>
      <c r="E1007">
        <f>IF(ISBLANK(C1007),0,VLOOKUP(C1007,$AE$2:$AF$7,2,0))</f>
        <v>0.5</v>
      </c>
      <c r="F1007">
        <f t="shared" si="32"/>
        <v>0.5</v>
      </c>
    </row>
    <row r="1008" spans="1:6">
      <c r="A1008" s="30">
        <f t="shared" si="33"/>
        <v>44098</v>
      </c>
      <c r="B1008" s="32" t="s">
        <v>199</v>
      </c>
      <c r="C1008" t="s">
        <v>207</v>
      </c>
      <c r="D1008">
        <f>IF(B1008=$AB$2,$AC$2,$AC$3)</f>
        <v>1</v>
      </c>
      <c r="E1008">
        <f>IF(ISBLANK(C1008),0,VLOOKUP(C1008,$AE$2:$AF$7,2,0))</f>
        <v>0.5</v>
      </c>
      <c r="F1008">
        <f t="shared" si="32"/>
        <v>0.5</v>
      </c>
    </row>
    <row r="1009" spans="1:6">
      <c r="A1009" s="30">
        <f t="shared" si="33"/>
        <v>44099</v>
      </c>
      <c r="B1009" s="32" t="s">
        <v>199</v>
      </c>
      <c r="C1009" t="s">
        <v>207</v>
      </c>
      <c r="D1009">
        <f>IF(B1009=$AB$2,$AC$2,$AC$3)</f>
        <v>1</v>
      </c>
      <c r="E1009">
        <f>IF(ISBLANK(C1009),0,VLOOKUP(C1009,$AE$2:$AF$7,2,0))</f>
        <v>0.5</v>
      </c>
      <c r="F1009">
        <f t="shared" si="32"/>
        <v>0.5</v>
      </c>
    </row>
    <row r="1010" spans="1:6">
      <c r="A1010" s="30">
        <f t="shared" si="33"/>
        <v>44100</v>
      </c>
      <c r="B1010" s="32" t="s">
        <v>199</v>
      </c>
      <c r="C1010" t="s">
        <v>207</v>
      </c>
      <c r="D1010">
        <f>IF(B1010=$AB$2,$AC$2,$AC$3)</f>
        <v>1</v>
      </c>
      <c r="E1010">
        <f>IF(ISBLANK(C1010),0,VLOOKUP(C1010,$AE$2:$AF$7,2,0))</f>
        <v>0.5</v>
      </c>
      <c r="F1010">
        <f t="shared" si="32"/>
        <v>0.5</v>
      </c>
    </row>
    <row r="1011" spans="1:6">
      <c r="A1011" s="30">
        <f t="shared" si="33"/>
        <v>44101</v>
      </c>
      <c r="B1011" s="32" t="s">
        <v>199</v>
      </c>
      <c r="C1011" t="s">
        <v>207</v>
      </c>
      <c r="D1011">
        <f>IF(B1011=$AB$2,$AC$2,$AC$3)</f>
        <v>1</v>
      </c>
      <c r="E1011">
        <f>IF(ISBLANK(C1011),0,VLOOKUP(C1011,$AE$2:$AF$7,2,0))</f>
        <v>0.5</v>
      </c>
      <c r="F1011">
        <f t="shared" si="32"/>
        <v>0.5</v>
      </c>
    </row>
    <row r="1012" spans="1:6">
      <c r="A1012" s="30">
        <f t="shared" si="33"/>
        <v>44102</v>
      </c>
      <c r="B1012" s="32" t="s">
        <v>199</v>
      </c>
      <c r="C1012" t="s">
        <v>207</v>
      </c>
      <c r="D1012">
        <f>IF(B1012=$AB$2,$AC$2,$AC$3)</f>
        <v>1</v>
      </c>
      <c r="E1012">
        <f>IF(ISBLANK(C1012),0,VLOOKUP(C1012,$AE$2:$AF$7,2,0))</f>
        <v>0.5</v>
      </c>
      <c r="F1012">
        <f t="shared" si="32"/>
        <v>0.5</v>
      </c>
    </row>
    <row r="1013" spans="1:6">
      <c r="A1013" s="30">
        <f t="shared" si="33"/>
        <v>44103</v>
      </c>
      <c r="B1013" s="32" t="s">
        <v>199</v>
      </c>
      <c r="C1013" t="s">
        <v>207</v>
      </c>
      <c r="D1013">
        <f>IF(B1013=$AB$2,$AC$2,$AC$3)</f>
        <v>1</v>
      </c>
      <c r="E1013">
        <f>IF(ISBLANK(C1013),0,VLOOKUP(C1013,$AE$2:$AF$7,2,0))</f>
        <v>0.5</v>
      </c>
      <c r="F1013">
        <f t="shared" si="32"/>
        <v>0.5</v>
      </c>
    </row>
    <row r="1014" spans="1:6">
      <c r="A1014" s="30">
        <f t="shared" si="33"/>
        <v>44104</v>
      </c>
      <c r="B1014" s="32" t="s">
        <v>199</v>
      </c>
      <c r="C1014" t="s">
        <v>207</v>
      </c>
      <c r="D1014">
        <f>IF(B1014=$AB$2,$AC$2,$AC$3)</f>
        <v>1</v>
      </c>
      <c r="E1014">
        <f>IF(ISBLANK(C1014),0,VLOOKUP(C1014,$AE$2:$AF$7,2,0))</f>
        <v>0.5</v>
      </c>
      <c r="F1014">
        <f t="shared" si="32"/>
        <v>0.5</v>
      </c>
    </row>
    <row r="1015" spans="1:6">
      <c r="A1015" s="30">
        <f t="shared" si="33"/>
        <v>44105</v>
      </c>
      <c r="B1015" s="32" t="s">
        <v>199</v>
      </c>
      <c r="C1015" t="s">
        <v>207</v>
      </c>
      <c r="D1015">
        <f>IF(B1015=$AB$2,$AC$2,$AC$3)</f>
        <v>1</v>
      </c>
      <c r="E1015">
        <f>IF(ISBLANK(C1015),0,VLOOKUP(C1015,$AE$2:$AF$7,2,0))</f>
        <v>0.5</v>
      </c>
      <c r="F1015">
        <f t="shared" si="32"/>
        <v>0.5</v>
      </c>
    </row>
    <row r="1016" spans="1:6">
      <c r="A1016" s="30">
        <f t="shared" si="33"/>
        <v>44106</v>
      </c>
      <c r="B1016" s="32" t="s">
        <v>199</v>
      </c>
      <c r="C1016" t="s">
        <v>207</v>
      </c>
      <c r="D1016">
        <f>IF(B1016=$AB$2,$AC$2,$AC$3)</f>
        <v>1</v>
      </c>
      <c r="E1016">
        <f>IF(ISBLANK(C1016),0,VLOOKUP(C1016,$AE$2:$AF$7,2,0))</f>
        <v>0.5</v>
      </c>
      <c r="F1016">
        <f t="shared" si="32"/>
        <v>0.5</v>
      </c>
    </row>
    <row r="1017" spans="1:6">
      <c r="A1017" s="30">
        <f t="shared" si="33"/>
        <v>44107</v>
      </c>
      <c r="B1017" s="32" t="s">
        <v>199</v>
      </c>
      <c r="C1017" t="s">
        <v>207</v>
      </c>
      <c r="D1017">
        <f>IF(B1017=$AB$2,$AC$2,$AC$3)</f>
        <v>1</v>
      </c>
      <c r="E1017">
        <f>IF(ISBLANK(C1017),0,VLOOKUP(C1017,$AE$2:$AF$7,2,0))</f>
        <v>0.5</v>
      </c>
      <c r="F1017">
        <f t="shared" si="32"/>
        <v>0.5</v>
      </c>
    </row>
    <row r="1018" spans="1:6">
      <c r="A1018" s="30">
        <f t="shared" si="33"/>
        <v>44108</v>
      </c>
      <c r="B1018" s="32" t="s">
        <v>199</v>
      </c>
      <c r="C1018" t="s">
        <v>207</v>
      </c>
      <c r="D1018">
        <f>IF(B1018=$AB$2,$AC$2,$AC$3)</f>
        <v>1</v>
      </c>
      <c r="E1018">
        <f>IF(ISBLANK(C1018),0,VLOOKUP(C1018,$AE$2:$AF$7,2,0))</f>
        <v>0.5</v>
      </c>
      <c r="F1018">
        <f t="shared" si="32"/>
        <v>0.5</v>
      </c>
    </row>
    <row r="1019" spans="1:6">
      <c r="A1019" s="30">
        <f t="shared" si="33"/>
        <v>44109</v>
      </c>
      <c r="B1019" s="32" t="s">
        <v>199</v>
      </c>
      <c r="C1019" t="s">
        <v>207</v>
      </c>
      <c r="D1019">
        <f>IF(B1019=$AB$2,$AC$2,$AC$3)</f>
        <v>1</v>
      </c>
      <c r="E1019">
        <f>IF(ISBLANK(C1019),0,VLOOKUP(C1019,$AE$2:$AF$7,2,0))</f>
        <v>0.5</v>
      </c>
      <c r="F1019">
        <f t="shared" si="32"/>
        <v>0.5</v>
      </c>
    </row>
    <row r="1020" spans="1:6">
      <c r="A1020" s="30">
        <f t="shared" si="33"/>
        <v>44110</v>
      </c>
      <c r="B1020" s="32" t="s">
        <v>199</v>
      </c>
      <c r="C1020" t="s">
        <v>207</v>
      </c>
      <c r="D1020">
        <f>IF(B1020=$AB$2,$AC$2,$AC$3)</f>
        <v>1</v>
      </c>
      <c r="E1020">
        <f>IF(ISBLANK(C1020),0,VLOOKUP(C1020,$AE$2:$AF$7,2,0))</f>
        <v>0.5</v>
      </c>
      <c r="F1020">
        <f t="shared" si="32"/>
        <v>0.5</v>
      </c>
    </row>
    <row r="1021" spans="1:6">
      <c r="A1021" s="30">
        <f t="shared" si="33"/>
        <v>44111</v>
      </c>
      <c r="B1021" s="32" t="s">
        <v>199</v>
      </c>
      <c r="C1021" t="s">
        <v>207</v>
      </c>
      <c r="D1021">
        <f>IF(B1021=$AB$2,$AC$2,$AC$3)</f>
        <v>1</v>
      </c>
      <c r="E1021">
        <f>IF(ISBLANK(C1021),0,VLOOKUP(C1021,$AE$2:$AF$7,2,0))</f>
        <v>0.5</v>
      </c>
      <c r="F1021">
        <f t="shared" si="32"/>
        <v>0.5</v>
      </c>
    </row>
    <row r="1022" spans="1:6">
      <c r="A1022" s="30">
        <f t="shared" si="33"/>
        <v>44112</v>
      </c>
      <c r="B1022" s="32" t="s">
        <v>199</v>
      </c>
      <c r="C1022" t="s">
        <v>207</v>
      </c>
      <c r="D1022">
        <f>IF(B1022=$AB$2,$AC$2,$AC$3)</f>
        <v>1</v>
      </c>
      <c r="E1022">
        <f>IF(ISBLANK(C1022),0,VLOOKUP(C1022,$AE$2:$AF$7,2,0))</f>
        <v>0.5</v>
      </c>
      <c r="F1022">
        <f t="shared" si="32"/>
        <v>0.5</v>
      </c>
    </row>
    <row r="1023" spans="1:6">
      <c r="A1023" s="30">
        <f t="shared" si="33"/>
        <v>44113</v>
      </c>
      <c r="B1023" s="32" t="s">
        <v>199</v>
      </c>
      <c r="C1023" t="s">
        <v>207</v>
      </c>
      <c r="D1023">
        <f>IF(B1023=$AB$2,$AC$2,$AC$3)</f>
        <v>1</v>
      </c>
      <c r="E1023">
        <f>IF(ISBLANK(C1023),0,VLOOKUP(C1023,$AE$2:$AF$7,2,0))</f>
        <v>0.5</v>
      </c>
      <c r="F1023">
        <f t="shared" si="32"/>
        <v>0.5</v>
      </c>
    </row>
    <row r="1024" spans="1:6">
      <c r="A1024" s="30">
        <f t="shared" si="33"/>
        <v>44114</v>
      </c>
      <c r="B1024" s="32" t="s">
        <v>199</v>
      </c>
      <c r="C1024" t="s">
        <v>207</v>
      </c>
      <c r="D1024">
        <f>IF(B1024=$AB$2,$AC$2,$AC$3)</f>
        <v>1</v>
      </c>
      <c r="E1024">
        <f>IF(ISBLANK(C1024),0,VLOOKUP(C1024,$AE$2:$AF$7,2,0))</f>
        <v>0.5</v>
      </c>
      <c r="F1024">
        <f t="shared" si="32"/>
        <v>0.5</v>
      </c>
    </row>
    <row r="1025" spans="1:6">
      <c r="A1025" s="30">
        <f t="shared" si="33"/>
        <v>44115</v>
      </c>
      <c r="B1025" s="32" t="s">
        <v>199</v>
      </c>
      <c r="C1025" t="s">
        <v>207</v>
      </c>
      <c r="D1025">
        <f>IF(B1025=$AB$2,$AC$2,$AC$3)</f>
        <v>1</v>
      </c>
      <c r="E1025">
        <f>IF(ISBLANK(C1025),0,VLOOKUP(C1025,$AE$2:$AF$7,2,0))</f>
        <v>0.5</v>
      </c>
      <c r="F1025">
        <f t="shared" si="32"/>
        <v>0.5</v>
      </c>
    </row>
    <row r="1026" spans="1:6">
      <c r="A1026" s="30">
        <f t="shared" si="33"/>
        <v>44116</v>
      </c>
      <c r="B1026" s="32" t="s">
        <v>199</v>
      </c>
      <c r="C1026" t="s">
        <v>207</v>
      </c>
      <c r="D1026">
        <f>IF(B1026=$AB$2,$AC$2,$AC$3)</f>
        <v>1</v>
      </c>
      <c r="E1026">
        <f>IF(ISBLANK(C1026),0,VLOOKUP(C1026,$AE$2:$AF$7,2,0))</f>
        <v>0.5</v>
      </c>
      <c r="F1026">
        <f t="shared" si="32"/>
        <v>0.5</v>
      </c>
    </row>
    <row r="1027" spans="1:6">
      <c r="A1027" s="30">
        <f t="shared" si="33"/>
        <v>44117</v>
      </c>
      <c r="B1027" s="32" t="s">
        <v>199</v>
      </c>
      <c r="C1027" t="s">
        <v>207</v>
      </c>
      <c r="D1027">
        <f>IF(B1027=$AB$2,$AC$2,$AC$3)</f>
        <v>1</v>
      </c>
      <c r="E1027">
        <f>IF(ISBLANK(C1027),0,VLOOKUP(C1027,$AE$2:$AF$7,2,0))</f>
        <v>0.5</v>
      </c>
      <c r="F1027">
        <f t="shared" ref="F1027:F1090" si="34">D1027*E1027</f>
        <v>0.5</v>
      </c>
    </row>
    <row r="1028" spans="1:6">
      <c r="A1028" s="30">
        <f t="shared" si="33"/>
        <v>44118</v>
      </c>
      <c r="B1028" s="32" t="s">
        <v>199</v>
      </c>
      <c r="C1028" t="s">
        <v>207</v>
      </c>
      <c r="D1028">
        <f>IF(B1028=$AB$2,$AC$2,$AC$3)</f>
        <v>1</v>
      </c>
      <c r="E1028">
        <f>IF(ISBLANK(C1028),0,VLOOKUP(C1028,$AE$2:$AF$7,2,0))</f>
        <v>0.5</v>
      </c>
      <c r="F1028">
        <f t="shared" si="34"/>
        <v>0.5</v>
      </c>
    </row>
    <row r="1029" spans="1:6">
      <c r="A1029" s="30">
        <f>A1028+1</f>
        <v>44119</v>
      </c>
      <c r="B1029" s="32" t="s">
        <v>199</v>
      </c>
      <c r="C1029" t="s">
        <v>207</v>
      </c>
      <c r="D1029">
        <f>IF(B1029=$AB$2,$AC$2,$AC$3)</f>
        <v>1</v>
      </c>
      <c r="E1029">
        <f>IF(ISBLANK(C1029),0,VLOOKUP(C1029,$AE$2:$AF$7,2,0))</f>
        <v>0.5</v>
      </c>
      <c r="F1029">
        <f t="shared" si="34"/>
        <v>0.5</v>
      </c>
    </row>
    <row r="1030" spans="1:6">
      <c r="A1030" s="30">
        <f t="shared" ref="A1030:A1093" si="35">A1029+1</f>
        <v>44120</v>
      </c>
      <c r="B1030" s="32" t="s">
        <v>199</v>
      </c>
      <c r="C1030" t="s">
        <v>207</v>
      </c>
      <c r="D1030">
        <f>IF(B1030=$AB$2,$AC$2,$AC$3)</f>
        <v>1</v>
      </c>
      <c r="E1030">
        <f>IF(ISBLANK(C1030),0,VLOOKUP(C1030,$AE$2:$AF$7,2,0))</f>
        <v>0.5</v>
      </c>
      <c r="F1030">
        <f t="shared" si="34"/>
        <v>0.5</v>
      </c>
    </row>
    <row r="1031" spans="1:6">
      <c r="A1031" s="30">
        <f t="shared" si="35"/>
        <v>44121</v>
      </c>
      <c r="B1031" s="32" t="s">
        <v>199</v>
      </c>
      <c r="C1031" t="s">
        <v>207</v>
      </c>
      <c r="D1031">
        <f>IF(B1031=$AB$2,$AC$2,$AC$3)</f>
        <v>1</v>
      </c>
      <c r="E1031">
        <f>IF(ISBLANK(C1031),0,VLOOKUP(C1031,$AE$2:$AF$7,2,0))</f>
        <v>0.5</v>
      </c>
      <c r="F1031">
        <f t="shared" si="34"/>
        <v>0.5</v>
      </c>
    </row>
    <row r="1032" spans="1:6">
      <c r="A1032" s="30">
        <f t="shared" si="35"/>
        <v>44122</v>
      </c>
      <c r="B1032" s="32" t="s">
        <v>199</v>
      </c>
      <c r="C1032" t="s">
        <v>207</v>
      </c>
      <c r="D1032">
        <f>IF(B1032=$AB$2,$AC$2,$AC$3)</f>
        <v>1</v>
      </c>
      <c r="E1032">
        <f>IF(ISBLANK(C1032),0,VLOOKUP(C1032,$AE$2:$AF$7,2,0))</f>
        <v>0.5</v>
      </c>
      <c r="F1032">
        <f t="shared" si="34"/>
        <v>0.5</v>
      </c>
    </row>
    <row r="1033" spans="1:6">
      <c r="A1033" s="30">
        <f t="shared" si="35"/>
        <v>44123</v>
      </c>
      <c r="B1033" s="32" t="s">
        <v>199</v>
      </c>
      <c r="C1033" t="s">
        <v>207</v>
      </c>
      <c r="D1033">
        <f>IF(B1033=$AB$2,$AC$2,$AC$3)</f>
        <v>1</v>
      </c>
      <c r="E1033">
        <f>IF(ISBLANK(C1033),0,VLOOKUP(C1033,$AE$2:$AF$7,2,0))</f>
        <v>0.5</v>
      </c>
      <c r="F1033">
        <f t="shared" si="34"/>
        <v>0.5</v>
      </c>
    </row>
    <row r="1034" spans="1:6">
      <c r="A1034" s="30">
        <f t="shared" si="35"/>
        <v>44124</v>
      </c>
      <c r="B1034" s="32" t="s">
        <v>199</v>
      </c>
      <c r="C1034" t="s">
        <v>207</v>
      </c>
      <c r="D1034">
        <f>IF(B1034=$AB$2,$AC$2,$AC$3)</f>
        <v>1</v>
      </c>
      <c r="E1034">
        <f>IF(ISBLANK(C1034),0,VLOOKUP(C1034,$AE$2:$AF$7,2,0))</f>
        <v>0.5</v>
      </c>
      <c r="F1034">
        <f t="shared" si="34"/>
        <v>0.5</v>
      </c>
    </row>
    <row r="1035" spans="1:6">
      <c r="A1035" s="30">
        <f t="shared" si="35"/>
        <v>44125</v>
      </c>
      <c r="B1035" s="32" t="s">
        <v>199</v>
      </c>
      <c r="C1035" t="s">
        <v>207</v>
      </c>
      <c r="D1035">
        <f>IF(B1035=$AB$2,$AC$2,$AC$3)</f>
        <v>1</v>
      </c>
      <c r="E1035">
        <f>IF(ISBLANK(C1035),0,VLOOKUP(C1035,$AE$2:$AF$7,2,0))</f>
        <v>0.5</v>
      </c>
      <c r="F1035">
        <f t="shared" si="34"/>
        <v>0.5</v>
      </c>
    </row>
    <row r="1036" spans="1:6">
      <c r="A1036" s="30">
        <f t="shared" si="35"/>
        <v>44126</v>
      </c>
      <c r="B1036" s="32" t="s">
        <v>199</v>
      </c>
      <c r="C1036" t="s">
        <v>207</v>
      </c>
      <c r="D1036">
        <f>IF(B1036=$AB$2,$AC$2,$AC$3)</f>
        <v>1</v>
      </c>
      <c r="E1036">
        <f>IF(ISBLANK(C1036),0,VLOOKUP(C1036,$AE$2:$AF$7,2,0))</f>
        <v>0.5</v>
      </c>
      <c r="F1036">
        <f t="shared" si="34"/>
        <v>0.5</v>
      </c>
    </row>
    <row r="1037" spans="1:6">
      <c r="A1037" s="30">
        <f t="shared" si="35"/>
        <v>44127</v>
      </c>
      <c r="B1037" s="32" t="s">
        <v>199</v>
      </c>
      <c r="C1037" t="s">
        <v>207</v>
      </c>
      <c r="D1037">
        <f>IF(B1037=$AB$2,$AC$2,$AC$3)</f>
        <v>1</v>
      </c>
      <c r="E1037">
        <f>IF(ISBLANK(C1037),0,VLOOKUP(C1037,$AE$2:$AF$7,2,0))</f>
        <v>0.5</v>
      </c>
      <c r="F1037">
        <f t="shared" si="34"/>
        <v>0.5</v>
      </c>
    </row>
    <row r="1038" spans="1:6">
      <c r="A1038" s="30">
        <f t="shared" si="35"/>
        <v>44128</v>
      </c>
      <c r="B1038" s="32" t="s">
        <v>199</v>
      </c>
      <c r="C1038" t="s">
        <v>207</v>
      </c>
      <c r="D1038">
        <f>IF(B1038=$AB$2,$AC$2,$AC$3)</f>
        <v>1</v>
      </c>
      <c r="E1038">
        <f>IF(ISBLANK(C1038),0,VLOOKUP(C1038,$AE$2:$AF$7,2,0))</f>
        <v>0.5</v>
      </c>
      <c r="F1038">
        <f t="shared" si="34"/>
        <v>0.5</v>
      </c>
    </row>
    <row r="1039" spans="1:6">
      <c r="A1039" s="30">
        <f t="shared" si="35"/>
        <v>44129</v>
      </c>
      <c r="B1039" s="32" t="s">
        <v>199</v>
      </c>
      <c r="C1039" t="s">
        <v>207</v>
      </c>
      <c r="D1039">
        <f>IF(B1039=$AB$2,$AC$2,$AC$3)</f>
        <v>1</v>
      </c>
      <c r="E1039">
        <f>IF(ISBLANK(C1039),0,VLOOKUP(C1039,$AE$2:$AF$7,2,0))</f>
        <v>0.5</v>
      </c>
      <c r="F1039">
        <f t="shared" si="34"/>
        <v>0.5</v>
      </c>
    </row>
    <row r="1040" spans="1:6">
      <c r="A1040" s="30">
        <f t="shared" si="35"/>
        <v>44130</v>
      </c>
      <c r="B1040" s="32" t="s">
        <v>199</v>
      </c>
      <c r="C1040" t="s">
        <v>207</v>
      </c>
      <c r="D1040">
        <f>IF(B1040=$AB$2,$AC$2,$AC$3)</f>
        <v>1</v>
      </c>
      <c r="E1040">
        <f>IF(ISBLANK(C1040),0,VLOOKUP(C1040,$AE$2:$AF$7,2,0))</f>
        <v>0.5</v>
      </c>
      <c r="F1040">
        <f t="shared" si="34"/>
        <v>0.5</v>
      </c>
    </row>
    <row r="1041" spans="1:6">
      <c r="A1041" s="30">
        <f t="shared" si="35"/>
        <v>44131</v>
      </c>
      <c r="B1041" s="32" t="s">
        <v>199</v>
      </c>
      <c r="C1041" t="s">
        <v>207</v>
      </c>
      <c r="D1041">
        <f>IF(B1041=$AB$2,$AC$2,$AC$3)</f>
        <v>1</v>
      </c>
      <c r="E1041">
        <f>IF(ISBLANK(C1041),0,VLOOKUP(C1041,$AE$2:$AF$7,2,0))</f>
        <v>0.5</v>
      </c>
      <c r="F1041">
        <f t="shared" si="34"/>
        <v>0.5</v>
      </c>
    </row>
    <row r="1042" spans="1:6">
      <c r="A1042" s="30">
        <f t="shared" si="35"/>
        <v>44132</v>
      </c>
      <c r="B1042" s="32" t="s">
        <v>199</v>
      </c>
      <c r="C1042" t="s">
        <v>207</v>
      </c>
      <c r="D1042">
        <f>IF(B1042=$AB$2,$AC$2,$AC$3)</f>
        <v>1</v>
      </c>
      <c r="E1042">
        <f>IF(ISBLANK(C1042),0,VLOOKUP(C1042,$AE$2:$AF$7,2,0))</f>
        <v>0.5</v>
      </c>
      <c r="F1042">
        <f t="shared" si="34"/>
        <v>0.5</v>
      </c>
    </row>
    <row r="1043" spans="1:6">
      <c r="A1043" s="30">
        <f t="shared" si="35"/>
        <v>44133</v>
      </c>
      <c r="B1043" s="32" t="s">
        <v>199</v>
      </c>
      <c r="C1043" t="s">
        <v>207</v>
      </c>
      <c r="D1043">
        <f>IF(B1043=$AB$2,$AC$2,$AC$3)</f>
        <v>1</v>
      </c>
      <c r="E1043">
        <f>IF(ISBLANK(C1043),0,VLOOKUP(C1043,$AE$2:$AF$7,2,0))</f>
        <v>0.5</v>
      </c>
      <c r="F1043">
        <f t="shared" si="34"/>
        <v>0.5</v>
      </c>
    </row>
    <row r="1044" spans="1:6">
      <c r="A1044" s="30">
        <f t="shared" si="35"/>
        <v>44134</v>
      </c>
      <c r="B1044" s="32" t="s">
        <v>199</v>
      </c>
      <c r="C1044" t="s">
        <v>207</v>
      </c>
      <c r="D1044">
        <f>IF(B1044=$AB$2,$AC$2,$AC$3)</f>
        <v>1</v>
      </c>
      <c r="E1044">
        <f>IF(ISBLANK(C1044),0,VLOOKUP(C1044,$AE$2:$AF$7,2,0))</f>
        <v>0.5</v>
      </c>
      <c r="F1044">
        <f t="shared" si="34"/>
        <v>0.5</v>
      </c>
    </row>
    <row r="1045" spans="1:6">
      <c r="A1045" s="30">
        <f t="shared" si="35"/>
        <v>44135</v>
      </c>
      <c r="B1045" s="32" t="s">
        <v>199</v>
      </c>
      <c r="C1045" t="s">
        <v>207</v>
      </c>
      <c r="D1045">
        <f>IF(B1045=$AB$2,$AC$2,$AC$3)</f>
        <v>1</v>
      </c>
      <c r="E1045">
        <f>IF(ISBLANK(C1045),0,VLOOKUP(C1045,$AE$2:$AF$7,2,0))</f>
        <v>0.5</v>
      </c>
      <c r="F1045">
        <f t="shared" si="34"/>
        <v>0.5</v>
      </c>
    </row>
    <row r="1046" spans="1:6">
      <c r="A1046" s="30">
        <f t="shared" si="35"/>
        <v>44136</v>
      </c>
      <c r="B1046" s="32" t="s">
        <v>199</v>
      </c>
      <c r="C1046" t="s">
        <v>207</v>
      </c>
      <c r="D1046">
        <f>IF(B1046=$AB$2,$AC$2,$AC$3)</f>
        <v>1</v>
      </c>
      <c r="E1046">
        <f>IF(ISBLANK(C1046),0,VLOOKUP(C1046,$AE$2:$AF$7,2,0))</f>
        <v>0.5</v>
      </c>
      <c r="F1046">
        <f t="shared" si="34"/>
        <v>0.5</v>
      </c>
    </row>
    <row r="1047" spans="1:6">
      <c r="A1047" s="30">
        <f t="shared" si="35"/>
        <v>44137</v>
      </c>
      <c r="B1047" s="32" t="s">
        <v>199</v>
      </c>
      <c r="C1047" t="s">
        <v>207</v>
      </c>
      <c r="D1047">
        <f>IF(B1047=$AB$2,$AC$2,$AC$3)</f>
        <v>1</v>
      </c>
      <c r="E1047">
        <f>IF(ISBLANK(C1047),0,VLOOKUP(C1047,$AE$2:$AF$7,2,0))</f>
        <v>0.5</v>
      </c>
      <c r="F1047">
        <f t="shared" si="34"/>
        <v>0.5</v>
      </c>
    </row>
    <row r="1048" spans="1:6">
      <c r="A1048" s="30">
        <f t="shared" si="35"/>
        <v>44138</v>
      </c>
      <c r="B1048" s="32" t="s">
        <v>199</v>
      </c>
      <c r="C1048" t="s">
        <v>207</v>
      </c>
      <c r="D1048">
        <f>IF(B1048=$AB$2,$AC$2,$AC$3)</f>
        <v>1</v>
      </c>
      <c r="E1048">
        <f>IF(ISBLANK(C1048),0,VLOOKUP(C1048,$AE$2:$AF$7,2,0))</f>
        <v>0.5</v>
      </c>
      <c r="F1048">
        <f t="shared" si="34"/>
        <v>0.5</v>
      </c>
    </row>
    <row r="1049" spans="1:6">
      <c r="A1049" s="30">
        <f t="shared" si="35"/>
        <v>44139</v>
      </c>
      <c r="B1049" s="32" t="s">
        <v>199</v>
      </c>
      <c r="C1049" t="s">
        <v>207</v>
      </c>
      <c r="D1049">
        <f>IF(B1049=$AB$2,$AC$2,$AC$3)</f>
        <v>1</v>
      </c>
      <c r="E1049">
        <f>IF(ISBLANK(C1049),0,VLOOKUP(C1049,$AE$2:$AF$7,2,0))</f>
        <v>0.5</v>
      </c>
      <c r="F1049">
        <f t="shared" si="34"/>
        <v>0.5</v>
      </c>
    </row>
    <row r="1050" spans="1:6">
      <c r="A1050" s="30">
        <f t="shared" si="35"/>
        <v>44140</v>
      </c>
      <c r="B1050" s="32" t="s">
        <v>199</v>
      </c>
      <c r="C1050" t="s">
        <v>207</v>
      </c>
      <c r="D1050">
        <f>IF(B1050=$AB$2,$AC$2,$AC$3)</f>
        <v>1</v>
      </c>
      <c r="E1050">
        <f>IF(ISBLANK(C1050),0,VLOOKUP(C1050,$AE$2:$AF$7,2,0))</f>
        <v>0.5</v>
      </c>
      <c r="F1050">
        <f t="shared" si="34"/>
        <v>0.5</v>
      </c>
    </row>
    <row r="1051" spans="1:6">
      <c r="A1051" s="30">
        <f t="shared" si="35"/>
        <v>44141</v>
      </c>
      <c r="B1051" s="32" t="s">
        <v>199</v>
      </c>
      <c r="C1051" t="s">
        <v>207</v>
      </c>
      <c r="D1051">
        <f>IF(B1051=$AB$2,$AC$2,$AC$3)</f>
        <v>1</v>
      </c>
      <c r="E1051">
        <f>IF(ISBLANK(C1051),0,VLOOKUP(C1051,$AE$2:$AF$7,2,0))</f>
        <v>0.5</v>
      </c>
      <c r="F1051">
        <f t="shared" si="34"/>
        <v>0.5</v>
      </c>
    </row>
    <row r="1052" spans="1:6">
      <c r="A1052" s="30">
        <f t="shared" si="35"/>
        <v>44142</v>
      </c>
      <c r="B1052" s="32" t="s">
        <v>199</v>
      </c>
      <c r="C1052" t="s">
        <v>207</v>
      </c>
      <c r="D1052">
        <f>IF(B1052=$AB$2,$AC$2,$AC$3)</f>
        <v>1</v>
      </c>
      <c r="E1052">
        <f>IF(ISBLANK(C1052),0,VLOOKUP(C1052,$AE$2:$AF$7,2,0))</f>
        <v>0.5</v>
      </c>
      <c r="F1052">
        <f t="shared" si="34"/>
        <v>0.5</v>
      </c>
    </row>
    <row r="1053" spans="1:6">
      <c r="A1053" s="30">
        <f t="shared" si="35"/>
        <v>44143</v>
      </c>
      <c r="B1053" s="32" t="s">
        <v>199</v>
      </c>
      <c r="C1053" t="s">
        <v>207</v>
      </c>
      <c r="D1053">
        <f>IF(B1053=$AB$2,$AC$2,$AC$3)</f>
        <v>1</v>
      </c>
      <c r="E1053">
        <f>IF(ISBLANK(C1053),0,VLOOKUP(C1053,$AE$2:$AF$7,2,0))</f>
        <v>0.5</v>
      </c>
      <c r="F1053">
        <f t="shared" si="34"/>
        <v>0.5</v>
      </c>
    </row>
    <row r="1054" spans="1:6">
      <c r="A1054" s="30">
        <f t="shared" si="35"/>
        <v>44144</v>
      </c>
      <c r="B1054" s="32" t="s">
        <v>199</v>
      </c>
      <c r="C1054" t="s">
        <v>207</v>
      </c>
      <c r="D1054">
        <f>IF(B1054=$AB$2,$AC$2,$AC$3)</f>
        <v>1</v>
      </c>
      <c r="E1054">
        <f>IF(ISBLANK(C1054),0,VLOOKUP(C1054,$AE$2:$AF$7,2,0))</f>
        <v>0.5</v>
      </c>
      <c r="F1054">
        <f t="shared" si="34"/>
        <v>0.5</v>
      </c>
    </row>
    <row r="1055" spans="1:6">
      <c r="A1055" s="30">
        <f t="shared" si="35"/>
        <v>44145</v>
      </c>
      <c r="B1055" s="32" t="s">
        <v>199</v>
      </c>
      <c r="C1055" t="s">
        <v>207</v>
      </c>
      <c r="D1055">
        <f>IF(B1055=$AB$2,$AC$2,$AC$3)</f>
        <v>1</v>
      </c>
      <c r="E1055">
        <f>IF(ISBLANK(C1055),0,VLOOKUP(C1055,$AE$2:$AF$7,2,0))</f>
        <v>0.5</v>
      </c>
      <c r="F1055">
        <f t="shared" si="34"/>
        <v>0.5</v>
      </c>
    </row>
    <row r="1056" spans="1:6">
      <c r="A1056" s="30">
        <f t="shared" si="35"/>
        <v>44146</v>
      </c>
      <c r="B1056" s="32" t="s">
        <v>199</v>
      </c>
      <c r="C1056" t="s">
        <v>207</v>
      </c>
      <c r="D1056">
        <f>IF(B1056=$AB$2,$AC$2,$AC$3)</f>
        <v>1</v>
      </c>
      <c r="E1056">
        <f>IF(ISBLANK(C1056),0,VLOOKUP(C1056,$AE$2:$AF$7,2,0))</f>
        <v>0.5</v>
      </c>
      <c r="F1056">
        <f t="shared" si="34"/>
        <v>0.5</v>
      </c>
    </row>
    <row r="1057" spans="1:6">
      <c r="A1057" s="30">
        <f t="shared" si="35"/>
        <v>44147</v>
      </c>
      <c r="B1057" s="32" t="s">
        <v>199</v>
      </c>
      <c r="C1057" t="s">
        <v>207</v>
      </c>
      <c r="D1057">
        <f>IF(B1057=$AB$2,$AC$2,$AC$3)</f>
        <v>1</v>
      </c>
      <c r="E1057">
        <f>IF(ISBLANK(C1057),0,VLOOKUP(C1057,$AE$2:$AF$7,2,0))</f>
        <v>0.5</v>
      </c>
      <c r="F1057">
        <f t="shared" si="34"/>
        <v>0.5</v>
      </c>
    </row>
    <row r="1058" spans="1:6">
      <c r="A1058" s="30">
        <f t="shared" si="35"/>
        <v>44148</v>
      </c>
      <c r="B1058" s="32" t="s">
        <v>199</v>
      </c>
      <c r="C1058" t="s">
        <v>207</v>
      </c>
      <c r="D1058">
        <f>IF(B1058=$AB$2,$AC$2,$AC$3)</f>
        <v>1</v>
      </c>
      <c r="E1058">
        <f>IF(ISBLANK(C1058),0,VLOOKUP(C1058,$AE$2:$AF$7,2,0))</f>
        <v>0.5</v>
      </c>
      <c r="F1058">
        <f t="shared" si="34"/>
        <v>0.5</v>
      </c>
    </row>
    <row r="1059" spans="1:6">
      <c r="A1059" s="30">
        <f t="shared" si="35"/>
        <v>44149</v>
      </c>
      <c r="B1059" s="32" t="s">
        <v>199</v>
      </c>
      <c r="C1059" t="s">
        <v>207</v>
      </c>
      <c r="D1059">
        <f>IF(B1059=$AB$2,$AC$2,$AC$3)</f>
        <v>1</v>
      </c>
      <c r="E1059">
        <f>IF(ISBLANK(C1059),0,VLOOKUP(C1059,$AE$2:$AF$7,2,0))</f>
        <v>0.5</v>
      </c>
      <c r="F1059">
        <f t="shared" si="34"/>
        <v>0.5</v>
      </c>
    </row>
    <row r="1060" spans="1:6">
      <c r="A1060" s="30">
        <f t="shared" si="35"/>
        <v>44150</v>
      </c>
      <c r="B1060" s="32" t="s">
        <v>199</v>
      </c>
      <c r="C1060" t="s">
        <v>207</v>
      </c>
      <c r="D1060">
        <f>IF(B1060=$AB$2,$AC$2,$AC$3)</f>
        <v>1</v>
      </c>
      <c r="E1060">
        <f>IF(ISBLANK(C1060),0,VLOOKUP(C1060,$AE$2:$AF$7,2,0))</f>
        <v>0.5</v>
      </c>
      <c r="F1060">
        <f t="shared" si="34"/>
        <v>0.5</v>
      </c>
    </row>
    <row r="1061" spans="1:6">
      <c r="A1061" s="30">
        <f t="shared" si="35"/>
        <v>44151</v>
      </c>
      <c r="B1061" s="32" t="s">
        <v>199</v>
      </c>
      <c r="C1061" t="s">
        <v>207</v>
      </c>
      <c r="D1061">
        <f>IF(B1061=$AB$2,$AC$2,$AC$3)</f>
        <v>1</v>
      </c>
      <c r="E1061">
        <f>IF(ISBLANK(C1061),0,VLOOKUP(C1061,$AE$2:$AF$7,2,0))</f>
        <v>0.5</v>
      </c>
      <c r="F1061">
        <f t="shared" si="34"/>
        <v>0.5</v>
      </c>
    </row>
    <row r="1062" spans="1:6">
      <c r="A1062" s="30">
        <f t="shared" si="35"/>
        <v>44152</v>
      </c>
      <c r="B1062" s="32" t="s">
        <v>199</v>
      </c>
      <c r="C1062" t="s">
        <v>207</v>
      </c>
      <c r="D1062">
        <f>IF(B1062=$AB$2,$AC$2,$AC$3)</f>
        <v>1</v>
      </c>
      <c r="E1062">
        <f>IF(ISBLANK(C1062),0,VLOOKUP(C1062,$AE$2:$AF$7,2,0))</f>
        <v>0.5</v>
      </c>
      <c r="F1062">
        <f t="shared" si="34"/>
        <v>0.5</v>
      </c>
    </row>
    <row r="1063" spans="1:6">
      <c r="A1063" s="30">
        <f t="shared" si="35"/>
        <v>44153</v>
      </c>
      <c r="B1063" s="32" t="s">
        <v>199</v>
      </c>
      <c r="C1063" t="s">
        <v>207</v>
      </c>
      <c r="D1063">
        <f>IF(B1063=$AB$2,$AC$2,$AC$3)</f>
        <v>1</v>
      </c>
      <c r="E1063">
        <f>IF(ISBLANK(C1063),0,VLOOKUP(C1063,$AE$2:$AF$7,2,0))</f>
        <v>0.5</v>
      </c>
      <c r="F1063">
        <f t="shared" si="34"/>
        <v>0.5</v>
      </c>
    </row>
    <row r="1064" spans="1:6">
      <c r="A1064" s="30">
        <f t="shared" si="35"/>
        <v>44154</v>
      </c>
      <c r="B1064" s="32" t="s">
        <v>199</v>
      </c>
      <c r="C1064" t="s">
        <v>207</v>
      </c>
      <c r="D1064">
        <f>IF(B1064=$AB$2,$AC$2,$AC$3)</f>
        <v>1</v>
      </c>
      <c r="E1064">
        <f>IF(ISBLANK(C1064),0,VLOOKUP(C1064,$AE$2:$AF$7,2,0))</f>
        <v>0.5</v>
      </c>
      <c r="F1064">
        <f t="shared" si="34"/>
        <v>0.5</v>
      </c>
    </row>
    <row r="1065" spans="1:6">
      <c r="A1065" s="30">
        <f t="shared" si="35"/>
        <v>44155</v>
      </c>
      <c r="B1065" s="32" t="s">
        <v>199</v>
      </c>
      <c r="C1065" t="s">
        <v>207</v>
      </c>
      <c r="D1065">
        <f>IF(B1065=$AB$2,$AC$2,$AC$3)</f>
        <v>1</v>
      </c>
      <c r="E1065">
        <f>IF(ISBLANK(C1065),0,VLOOKUP(C1065,$AE$2:$AF$7,2,0))</f>
        <v>0.5</v>
      </c>
      <c r="F1065">
        <f t="shared" si="34"/>
        <v>0.5</v>
      </c>
    </row>
    <row r="1066" spans="1:6">
      <c r="A1066" s="30">
        <f t="shared" si="35"/>
        <v>44156</v>
      </c>
      <c r="B1066" s="32" t="s">
        <v>199</v>
      </c>
      <c r="C1066" t="s">
        <v>207</v>
      </c>
      <c r="D1066">
        <f>IF(B1066=$AB$2,$AC$2,$AC$3)</f>
        <v>1</v>
      </c>
      <c r="E1066">
        <f>IF(ISBLANK(C1066),0,VLOOKUP(C1066,$AE$2:$AF$7,2,0))</f>
        <v>0.5</v>
      </c>
      <c r="F1066">
        <f t="shared" si="34"/>
        <v>0.5</v>
      </c>
    </row>
    <row r="1067" spans="1:6">
      <c r="A1067" s="30">
        <f t="shared" si="35"/>
        <v>44157</v>
      </c>
      <c r="B1067" s="32" t="s">
        <v>199</v>
      </c>
      <c r="C1067" t="s">
        <v>207</v>
      </c>
      <c r="D1067">
        <f>IF(B1067=$AB$2,$AC$2,$AC$3)</f>
        <v>1</v>
      </c>
      <c r="E1067">
        <f>IF(ISBLANK(C1067),0,VLOOKUP(C1067,$AE$2:$AF$7,2,0))</f>
        <v>0.5</v>
      </c>
      <c r="F1067">
        <f t="shared" si="34"/>
        <v>0.5</v>
      </c>
    </row>
    <row r="1068" spans="1:6">
      <c r="A1068" s="30">
        <f t="shared" si="35"/>
        <v>44158</v>
      </c>
      <c r="B1068" s="32" t="s">
        <v>199</v>
      </c>
      <c r="C1068" t="s">
        <v>207</v>
      </c>
      <c r="D1068">
        <f>IF(B1068=$AB$2,$AC$2,$AC$3)</f>
        <v>1</v>
      </c>
      <c r="E1068">
        <f>IF(ISBLANK(C1068),0,VLOOKUP(C1068,$AE$2:$AF$7,2,0))</f>
        <v>0.5</v>
      </c>
      <c r="F1068">
        <f t="shared" si="34"/>
        <v>0.5</v>
      </c>
    </row>
    <row r="1069" spans="1:6">
      <c r="A1069" s="30">
        <f t="shared" si="35"/>
        <v>44159</v>
      </c>
      <c r="B1069" s="32" t="s">
        <v>199</v>
      </c>
      <c r="C1069" t="s">
        <v>207</v>
      </c>
      <c r="D1069">
        <f>IF(B1069=$AB$2,$AC$2,$AC$3)</f>
        <v>1</v>
      </c>
      <c r="E1069">
        <f>IF(ISBLANK(C1069),0,VLOOKUP(C1069,$AE$2:$AF$7,2,0))</f>
        <v>0.5</v>
      </c>
      <c r="F1069">
        <f t="shared" si="34"/>
        <v>0.5</v>
      </c>
    </row>
    <row r="1070" spans="1:6">
      <c r="A1070" s="30">
        <f t="shared" si="35"/>
        <v>44160</v>
      </c>
      <c r="B1070" s="32" t="s">
        <v>199</v>
      </c>
      <c r="C1070" t="s">
        <v>207</v>
      </c>
      <c r="D1070">
        <f>IF(B1070=$AB$2,$AC$2,$AC$3)</f>
        <v>1</v>
      </c>
      <c r="E1070">
        <f>IF(ISBLANK(C1070),0,VLOOKUP(C1070,$AE$2:$AF$7,2,0))</f>
        <v>0.5</v>
      </c>
      <c r="F1070">
        <f t="shared" si="34"/>
        <v>0.5</v>
      </c>
    </row>
    <row r="1071" spans="1:6">
      <c r="A1071" s="30">
        <f t="shared" si="35"/>
        <v>44161</v>
      </c>
      <c r="B1071" s="32" t="s">
        <v>199</v>
      </c>
      <c r="C1071" t="s">
        <v>207</v>
      </c>
      <c r="D1071">
        <f>IF(B1071=$AB$2,$AC$2,$AC$3)</f>
        <v>1</v>
      </c>
      <c r="E1071">
        <f>IF(ISBLANK(C1071),0,VLOOKUP(C1071,$AE$2:$AF$7,2,0))</f>
        <v>0.5</v>
      </c>
      <c r="F1071">
        <f t="shared" si="34"/>
        <v>0.5</v>
      </c>
    </row>
    <row r="1072" spans="1:6">
      <c r="A1072" s="30">
        <f t="shared" si="35"/>
        <v>44162</v>
      </c>
      <c r="B1072" s="32" t="s">
        <v>199</v>
      </c>
      <c r="C1072" t="s">
        <v>207</v>
      </c>
      <c r="D1072">
        <f>IF(B1072=$AB$2,$AC$2,$AC$3)</f>
        <v>1</v>
      </c>
      <c r="E1072">
        <f>IF(ISBLANK(C1072),0,VLOOKUP(C1072,$AE$2:$AF$7,2,0))</f>
        <v>0.5</v>
      </c>
      <c r="F1072">
        <f t="shared" si="34"/>
        <v>0.5</v>
      </c>
    </row>
    <row r="1073" spans="1:6">
      <c r="A1073" s="30">
        <f t="shared" si="35"/>
        <v>44163</v>
      </c>
      <c r="B1073" s="32" t="s">
        <v>199</v>
      </c>
      <c r="C1073" t="s">
        <v>207</v>
      </c>
      <c r="D1073">
        <f>IF(B1073=$AB$2,$AC$2,$AC$3)</f>
        <v>1</v>
      </c>
      <c r="E1073">
        <f>IF(ISBLANK(C1073),0,VLOOKUP(C1073,$AE$2:$AF$7,2,0))</f>
        <v>0.5</v>
      </c>
      <c r="F1073">
        <f t="shared" si="34"/>
        <v>0.5</v>
      </c>
    </row>
    <row r="1074" spans="1:6">
      <c r="A1074" s="30">
        <f t="shared" si="35"/>
        <v>44164</v>
      </c>
      <c r="B1074" s="32" t="s">
        <v>199</v>
      </c>
      <c r="C1074" t="s">
        <v>207</v>
      </c>
      <c r="D1074">
        <f>IF(B1074=$AB$2,$AC$2,$AC$3)</f>
        <v>1</v>
      </c>
      <c r="E1074">
        <f>IF(ISBLANK(C1074),0,VLOOKUP(C1074,$AE$2:$AF$7,2,0))</f>
        <v>0.5</v>
      </c>
      <c r="F1074">
        <f t="shared" si="34"/>
        <v>0.5</v>
      </c>
    </row>
    <row r="1075" spans="1:6">
      <c r="A1075" s="30">
        <f t="shared" si="35"/>
        <v>44165</v>
      </c>
      <c r="B1075" s="32" t="s">
        <v>199</v>
      </c>
      <c r="C1075" t="s">
        <v>207</v>
      </c>
      <c r="D1075">
        <f>IF(B1075=$AB$2,$AC$2,$AC$3)</f>
        <v>1</v>
      </c>
      <c r="E1075">
        <f>IF(ISBLANK(C1075),0,VLOOKUP(C1075,$AE$2:$AF$7,2,0))</f>
        <v>0.5</v>
      </c>
      <c r="F1075">
        <f t="shared" si="34"/>
        <v>0.5</v>
      </c>
    </row>
    <row r="1076" spans="1:6">
      <c r="A1076" s="30">
        <f t="shared" si="35"/>
        <v>44166</v>
      </c>
      <c r="B1076" s="32" t="s">
        <v>199</v>
      </c>
      <c r="C1076" t="s">
        <v>207</v>
      </c>
      <c r="D1076">
        <f>IF(B1076=$AB$2,$AC$2,$AC$3)</f>
        <v>1</v>
      </c>
      <c r="E1076">
        <f>IF(ISBLANK(C1076),0,VLOOKUP(C1076,$AE$2:$AF$7,2,0))</f>
        <v>0.5</v>
      </c>
      <c r="F1076">
        <f t="shared" si="34"/>
        <v>0.5</v>
      </c>
    </row>
    <row r="1077" spans="1:6">
      <c r="A1077" s="30">
        <f t="shared" si="35"/>
        <v>44167</v>
      </c>
      <c r="B1077" s="32" t="s">
        <v>199</v>
      </c>
      <c r="C1077" t="s">
        <v>207</v>
      </c>
      <c r="D1077">
        <f>IF(B1077=$AB$2,$AC$2,$AC$3)</f>
        <v>1</v>
      </c>
      <c r="E1077">
        <f>IF(ISBLANK(C1077),0,VLOOKUP(C1077,$AE$2:$AF$7,2,0))</f>
        <v>0.5</v>
      </c>
      <c r="F1077">
        <f t="shared" si="34"/>
        <v>0.5</v>
      </c>
    </row>
    <row r="1078" spans="1:6">
      <c r="A1078" s="30">
        <f t="shared" si="35"/>
        <v>44168</v>
      </c>
      <c r="B1078" s="32" t="s">
        <v>199</v>
      </c>
      <c r="C1078" t="s">
        <v>207</v>
      </c>
      <c r="D1078">
        <f>IF(B1078=$AB$2,$AC$2,$AC$3)</f>
        <v>1</v>
      </c>
      <c r="E1078">
        <f>IF(ISBLANK(C1078),0,VLOOKUP(C1078,$AE$2:$AF$7,2,0))</f>
        <v>0.5</v>
      </c>
      <c r="F1078">
        <f t="shared" si="34"/>
        <v>0.5</v>
      </c>
    </row>
    <row r="1079" spans="1:6">
      <c r="A1079" s="30">
        <f t="shared" si="35"/>
        <v>44169</v>
      </c>
      <c r="B1079" s="32" t="s">
        <v>199</v>
      </c>
      <c r="C1079" t="s">
        <v>207</v>
      </c>
      <c r="D1079">
        <f>IF(B1079=$AB$2,$AC$2,$AC$3)</f>
        <v>1</v>
      </c>
      <c r="E1079">
        <f>IF(ISBLANK(C1079),0,VLOOKUP(C1079,$AE$2:$AF$7,2,0))</f>
        <v>0.5</v>
      </c>
      <c r="F1079">
        <f t="shared" si="34"/>
        <v>0.5</v>
      </c>
    </row>
    <row r="1080" spans="1:6">
      <c r="A1080" s="30">
        <f t="shared" si="35"/>
        <v>44170</v>
      </c>
      <c r="B1080" s="32" t="s">
        <v>199</v>
      </c>
      <c r="C1080" t="s">
        <v>207</v>
      </c>
      <c r="D1080">
        <f>IF(B1080=$AB$2,$AC$2,$AC$3)</f>
        <v>1</v>
      </c>
      <c r="E1080">
        <f>IF(ISBLANK(C1080),0,VLOOKUP(C1080,$AE$2:$AF$7,2,0))</f>
        <v>0.5</v>
      </c>
      <c r="F1080">
        <f t="shared" si="34"/>
        <v>0.5</v>
      </c>
    </row>
    <row r="1081" spans="1:6">
      <c r="A1081" s="30">
        <f t="shared" si="35"/>
        <v>44171</v>
      </c>
      <c r="B1081" s="32" t="s">
        <v>199</v>
      </c>
      <c r="C1081" t="s">
        <v>207</v>
      </c>
      <c r="D1081">
        <f>IF(B1081=$AB$2,$AC$2,$AC$3)</f>
        <v>1</v>
      </c>
      <c r="E1081">
        <f>IF(ISBLANK(C1081),0,VLOOKUP(C1081,$AE$2:$AF$7,2,0))</f>
        <v>0.5</v>
      </c>
      <c r="F1081">
        <f t="shared" si="34"/>
        <v>0.5</v>
      </c>
    </row>
    <row r="1082" spans="1:6">
      <c r="A1082" s="30">
        <f t="shared" si="35"/>
        <v>44172</v>
      </c>
      <c r="B1082" s="32" t="s">
        <v>199</v>
      </c>
      <c r="C1082" t="s">
        <v>207</v>
      </c>
      <c r="D1082">
        <f>IF(B1082=$AB$2,$AC$2,$AC$3)</f>
        <v>1</v>
      </c>
      <c r="E1082">
        <f>IF(ISBLANK(C1082),0,VLOOKUP(C1082,$AE$2:$AF$7,2,0))</f>
        <v>0.5</v>
      </c>
      <c r="F1082">
        <f t="shared" si="34"/>
        <v>0.5</v>
      </c>
    </row>
    <row r="1083" spans="1:6">
      <c r="A1083" s="30">
        <f t="shared" si="35"/>
        <v>44173</v>
      </c>
      <c r="B1083" s="32" t="s">
        <v>199</v>
      </c>
      <c r="C1083" t="s">
        <v>207</v>
      </c>
      <c r="D1083">
        <f>IF(B1083=$AB$2,$AC$2,$AC$3)</f>
        <v>1</v>
      </c>
      <c r="E1083">
        <f>IF(ISBLANK(C1083),0,VLOOKUP(C1083,$AE$2:$AF$7,2,0))</f>
        <v>0.5</v>
      </c>
      <c r="F1083">
        <f t="shared" si="34"/>
        <v>0.5</v>
      </c>
    </row>
    <row r="1084" spans="1:6">
      <c r="A1084" s="30">
        <f t="shared" si="35"/>
        <v>44174</v>
      </c>
      <c r="B1084" s="32" t="s">
        <v>199</v>
      </c>
      <c r="C1084" t="s">
        <v>207</v>
      </c>
      <c r="D1084">
        <f>IF(B1084=$AB$2,$AC$2,$AC$3)</f>
        <v>1</v>
      </c>
      <c r="E1084">
        <f>IF(ISBLANK(C1084),0,VLOOKUP(C1084,$AE$2:$AF$7,2,0))</f>
        <v>0.5</v>
      </c>
      <c r="F1084">
        <f t="shared" si="34"/>
        <v>0.5</v>
      </c>
    </row>
    <row r="1085" spans="1:6">
      <c r="A1085" s="30">
        <f t="shared" si="35"/>
        <v>44175</v>
      </c>
      <c r="B1085" s="32" t="s">
        <v>199</v>
      </c>
      <c r="C1085" t="s">
        <v>207</v>
      </c>
      <c r="D1085">
        <f>IF(B1085=$AB$2,$AC$2,$AC$3)</f>
        <v>1</v>
      </c>
      <c r="E1085">
        <f>IF(ISBLANK(C1085),0,VLOOKUP(C1085,$AE$2:$AF$7,2,0))</f>
        <v>0.5</v>
      </c>
      <c r="F1085">
        <f t="shared" si="34"/>
        <v>0.5</v>
      </c>
    </row>
    <row r="1086" spans="1:6">
      <c r="A1086" s="30">
        <f t="shared" si="35"/>
        <v>44176</v>
      </c>
      <c r="B1086" s="32" t="s">
        <v>199</v>
      </c>
      <c r="C1086" t="s">
        <v>207</v>
      </c>
      <c r="D1086">
        <f>IF(B1086=$AB$2,$AC$2,$AC$3)</f>
        <v>1</v>
      </c>
      <c r="E1086">
        <f>IF(ISBLANK(C1086),0,VLOOKUP(C1086,$AE$2:$AF$7,2,0))</f>
        <v>0.5</v>
      </c>
      <c r="F1086">
        <f t="shared" si="34"/>
        <v>0.5</v>
      </c>
    </row>
    <row r="1087" spans="1:6">
      <c r="A1087" s="30">
        <f t="shared" si="35"/>
        <v>44177</v>
      </c>
      <c r="B1087" s="32" t="s">
        <v>199</v>
      </c>
      <c r="C1087" t="s">
        <v>207</v>
      </c>
      <c r="D1087">
        <f>IF(B1087=$AB$2,$AC$2,$AC$3)</f>
        <v>1</v>
      </c>
      <c r="E1087">
        <f>IF(ISBLANK(C1087),0,VLOOKUP(C1087,$AE$2:$AF$7,2,0))</f>
        <v>0.5</v>
      </c>
      <c r="F1087">
        <f t="shared" si="34"/>
        <v>0.5</v>
      </c>
    </row>
    <row r="1088" spans="1:6">
      <c r="A1088" s="30">
        <f t="shared" si="35"/>
        <v>44178</v>
      </c>
      <c r="B1088" s="32" t="s">
        <v>199</v>
      </c>
      <c r="C1088" t="s">
        <v>207</v>
      </c>
      <c r="D1088">
        <f>IF(B1088=$AB$2,$AC$2,$AC$3)</f>
        <v>1</v>
      </c>
      <c r="E1088">
        <f>IF(ISBLANK(C1088),0,VLOOKUP(C1088,$AE$2:$AF$7,2,0))</f>
        <v>0.5</v>
      </c>
      <c r="F1088">
        <f t="shared" si="34"/>
        <v>0.5</v>
      </c>
    </row>
    <row r="1089" spans="1:6">
      <c r="A1089" s="30">
        <f t="shared" si="35"/>
        <v>44179</v>
      </c>
      <c r="B1089" s="32" t="s">
        <v>199</v>
      </c>
      <c r="C1089" t="s">
        <v>207</v>
      </c>
      <c r="D1089">
        <f>IF(B1089=$AB$2,$AC$2,$AC$3)</f>
        <v>1</v>
      </c>
      <c r="E1089">
        <f>IF(ISBLANK(C1089),0,VLOOKUP(C1089,$AE$2:$AF$7,2,0))</f>
        <v>0.5</v>
      </c>
      <c r="F1089">
        <f t="shared" si="34"/>
        <v>0.5</v>
      </c>
    </row>
    <row r="1090" spans="1:6">
      <c r="A1090" s="30">
        <f t="shared" si="35"/>
        <v>44180</v>
      </c>
      <c r="B1090" s="32" t="s">
        <v>199</v>
      </c>
      <c r="C1090" t="s">
        <v>207</v>
      </c>
      <c r="D1090">
        <f>IF(B1090=$AB$2,$AC$2,$AC$3)</f>
        <v>1</v>
      </c>
      <c r="E1090">
        <f>IF(ISBLANK(C1090),0,VLOOKUP(C1090,$AE$2:$AF$7,2,0))</f>
        <v>0.5</v>
      </c>
      <c r="F1090">
        <f t="shared" si="34"/>
        <v>0.5</v>
      </c>
    </row>
    <row r="1091" spans="1:6">
      <c r="A1091" s="30">
        <f t="shared" si="35"/>
        <v>44181</v>
      </c>
      <c r="B1091" s="32" t="s">
        <v>199</v>
      </c>
      <c r="C1091" t="s">
        <v>207</v>
      </c>
      <c r="D1091">
        <f>IF(B1091=$AB$2,$AC$2,$AC$3)</f>
        <v>1</v>
      </c>
      <c r="E1091">
        <f>IF(ISBLANK(C1091),0,VLOOKUP(C1091,$AE$2:$AF$7,2,0))</f>
        <v>0.5</v>
      </c>
      <c r="F1091">
        <f t="shared" ref="F1091:F1154" si="36">D1091*E1091</f>
        <v>0.5</v>
      </c>
    </row>
    <row r="1092" spans="1:6">
      <c r="A1092" s="30">
        <f t="shared" si="35"/>
        <v>44182</v>
      </c>
      <c r="B1092" s="32" t="s">
        <v>199</v>
      </c>
      <c r="C1092" t="s">
        <v>207</v>
      </c>
      <c r="D1092">
        <f>IF(B1092=$AB$2,$AC$2,$AC$3)</f>
        <v>1</v>
      </c>
      <c r="E1092">
        <f>IF(ISBLANK(C1092),0,VLOOKUP(C1092,$AE$2:$AF$7,2,0))</f>
        <v>0.5</v>
      </c>
      <c r="F1092">
        <f t="shared" si="36"/>
        <v>0.5</v>
      </c>
    </row>
    <row r="1093" spans="1:6">
      <c r="A1093" s="30">
        <f t="shared" si="35"/>
        <v>44183</v>
      </c>
      <c r="B1093" s="32" t="s">
        <v>199</v>
      </c>
      <c r="C1093" t="s">
        <v>207</v>
      </c>
      <c r="D1093">
        <f>IF(B1093=$AB$2,$AC$2,$AC$3)</f>
        <v>1</v>
      </c>
      <c r="E1093">
        <f>IF(ISBLANK(C1093),0,VLOOKUP(C1093,$AE$2:$AF$7,2,0))</f>
        <v>0.5</v>
      </c>
      <c r="F1093">
        <f t="shared" si="36"/>
        <v>0.5</v>
      </c>
    </row>
    <row r="1094" spans="1:6">
      <c r="A1094" s="30">
        <f t="shared" ref="A1094:A1142" si="37">A1093+1</f>
        <v>44184</v>
      </c>
      <c r="B1094" s="32" t="s">
        <v>199</v>
      </c>
      <c r="C1094" t="s">
        <v>207</v>
      </c>
      <c r="D1094">
        <f>IF(B1094=$AB$2,$AC$2,$AC$3)</f>
        <v>1</v>
      </c>
      <c r="E1094">
        <f>IF(ISBLANK(C1094),0,VLOOKUP(C1094,$AE$2:$AF$7,2,0))</f>
        <v>0.5</v>
      </c>
      <c r="F1094">
        <f t="shared" si="36"/>
        <v>0.5</v>
      </c>
    </row>
    <row r="1095" spans="1:6">
      <c r="A1095" s="30">
        <f t="shared" si="37"/>
        <v>44185</v>
      </c>
      <c r="B1095" s="32" t="s">
        <v>199</v>
      </c>
      <c r="C1095" t="s">
        <v>207</v>
      </c>
      <c r="D1095">
        <f>IF(B1095=$AB$2,$AC$2,$AC$3)</f>
        <v>1</v>
      </c>
      <c r="E1095">
        <f>IF(ISBLANK(C1095),0,VLOOKUP(C1095,$AE$2:$AF$7,2,0))</f>
        <v>0.5</v>
      </c>
      <c r="F1095">
        <f t="shared" si="36"/>
        <v>0.5</v>
      </c>
    </row>
    <row r="1096" spans="1:6">
      <c r="A1096" s="30">
        <f t="shared" si="37"/>
        <v>44186</v>
      </c>
      <c r="B1096" s="32" t="s">
        <v>199</v>
      </c>
      <c r="C1096" t="s">
        <v>207</v>
      </c>
      <c r="D1096">
        <f>IF(B1096=$AB$2,$AC$2,$AC$3)</f>
        <v>1</v>
      </c>
      <c r="E1096">
        <f>IF(ISBLANK(C1096),0,VLOOKUP(C1096,$AE$2:$AF$7,2,0))</f>
        <v>0.5</v>
      </c>
      <c r="F1096">
        <f t="shared" si="36"/>
        <v>0.5</v>
      </c>
    </row>
    <row r="1097" spans="1:6">
      <c r="A1097" s="30">
        <f t="shared" si="37"/>
        <v>44187</v>
      </c>
      <c r="B1097" s="32" t="s">
        <v>199</v>
      </c>
      <c r="C1097" t="s">
        <v>207</v>
      </c>
      <c r="D1097">
        <f>IF(B1097=$AB$2,$AC$2,$AC$3)</f>
        <v>1</v>
      </c>
      <c r="E1097">
        <f>IF(ISBLANK(C1097),0,VLOOKUP(C1097,$AE$2:$AF$7,2,0))</f>
        <v>0.5</v>
      </c>
      <c r="F1097">
        <f t="shared" si="36"/>
        <v>0.5</v>
      </c>
    </row>
    <row r="1098" spans="1:6">
      <c r="A1098" s="30">
        <f t="shared" si="37"/>
        <v>44188</v>
      </c>
      <c r="B1098" s="32" t="s">
        <v>199</v>
      </c>
      <c r="C1098" t="s">
        <v>207</v>
      </c>
      <c r="D1098">
        <f>IF(B1098=$AB$2,$AC$2,$AC$3)</f>
        <v>1</v>
      </c>
      <c r="E1098">
        <f>IF(ISBLANK(C1098),0,VLOOKUP(C1098,$AE$2:$AF$7,2,0))</f>
        <v>0.5</v>
      </c>
      <c r="F1098">
        <f t="shared" si="36"/>
        <v>0.5</v>
      </c>
    </row>
    <row r="1099" spans="1:6">
      <c r="A1099" s="30">
        <f t="shared" si="37"/>
        <v>44189</v>
      </c>
      <c r="B1099" s="32" t="s">
        <v>199</v>
      </c>
      <c r="C1099" t="s">
        <v>207</v>
      </c>
      <c r="D1099">
        <f>IF(B1099=$AB$2,$AC$2,$AC$3)</f>
        <v>1</v>
      </c>
      <c r="E1099">
        <f>IF(ISBLANK(C1099),0,VLOOKUP(C1099,$AE$2:$AF$7,2,0))</f>
        <v>0.5</v>
      </c>
      <c r="F1099">
        <f t="shared" si="36"/>
        <v>0.5</v>
      </c>
    </row>
    <row r="1100" spans="1:6">
      <c r="A1100" s="30">
        <f t="shared" si="37"/>
        <v>44190</v>
      </c>
      <c r="B1100" s="32" t="s">
        <v>199</v>
      </c>
      <c r="C1100" t="s">
        <v>207</v>
      </c>
      <c r="D1100">
        <f>IF(B1100=$AB$2,$AC$2,$AC$3)</f>
        <v>1</v>
      </c>
      <c r="E1100">
        <f>IF(ISBLANK(C1100),0,VLOOKUP(C1100,$AE$2:$AF$7,2,0))</f>
        <v>0.5</v>
      </c>
      <c r="F1100">
        <f t="shared" si="36"/>
        <v>0.5</v>
      </c>
    </row>
    <row r="1101" spans="1:6">
      <c r="A1101" s="30">
        <f t="shared" si="37"/>
        <v>44191</v>
      </c>
      <c r="B1101" s="32" t="s">
        <v>199</v>
      </c>
      <c r="C1101" t="s">
        <v>207</v>
      </c>
      <c r="D1101">
        <f>IF(B1101=$AB$2,$AC$2,$AC$3)</f>
        <v>1</v>
      </c>
      <c r="E1101">
        <f>IF(ISBLANK(C1101),0,VLOOKUP(C1101,$AE$2:$AF$7,2,0))</f>
        <v>0.5</v>
      </c>
      <c r="F1101">
        <f t="shared" si="36"/>
        <v>0.5</v>
      </c>
    </row>
    <row r="1102" spans="1:6">
      <c r="A1102" s="30">
        <f t="shared" si="37"/>
        <v>44192</v>
      </c>
      <c r="B1102" s="32" t="s">
        <v>199</v>
      </c>
      <c r="C1102" t="s">
        <v>207</v>
      </c>
      <c r="D1102">
        <f>IF(B1102=$AB$2,$AC$2,$AC$3)</f>
        <v>1</v>
      </c>
      <c r="E1102">
        <f>IF(ISBLANK(C1102),0,VLOOKUP(C1102,$AE$2:$AF$7,2,0))</f>
        <v>0.5</v>
      </c>
      <c r="F1102">
        <f t="shared" si="36"/>
        <v>0.5</v>
      </c>
    </row>
    <row r="1103" spans="1:6">
      <c r="A1103" s="30">
        <f t="shared" si="37"/>
        <v>44193</v>
      </c>
      <c r="B1103" s="32" t="s">
        <v>199</v>
      </c>
      <c r="C1103" t="s">
        <v>207</v>
      </c>
      <c r="D1103">
        <f>IF(B1103=$AB$2,$AC$2,$AC$3)</f>
        <v>1</v>
      </c>
      <c r="E1103">
        <f>IF(ISBLANK(C1103),0,VLOOKUP(C1103,$AE$2:$AF$7,2,0))</f>
        <v>0.5</v>
      </c>
      <c r="F1103">
        <f t="shared" si="36"/>
        <v>0.5</v>
      </c>
    </row>
    <row r="1104" spans="1:6">
      <c r="A1104" s="30">
        <f t="shared" si="37"/>
        <v>44194</v>
      </c>
      <c r="B1104" s="32" t="s">
        <v>199</v>
      </c>
      <c r="C1104" t="s">
        <v>207</v>
      </c>
      <c r="D1104">
        <f>IF(B1104=$AB$2,$AC$2,$AC$3)</f>
        <v>1</v>
      </c>
      <c r="E1104">
        <f>IF(ISBLANK(C1104),0,VLOOKUP(C1104,$AE$2:$AF$7,2,0))</f>
        <v>0.5</v>
      </c>
      <c r="F1104">
        <f t="shared" si="36"/>
        <v>0.5</v>
      </c>
    </row>
    <row r="1105" spans="1:6">
      <c r="A1105" s="30">
        <f t="shared" si="37"/>
        <v>44195</v>
      </c>
      <c r="B1105" s="32" t="s">
        <v>199</v>
      </c>
      <c r="C1105" t="s">
        <v>207</v>
      </c>
      <c r="D1105">
        <f>IF(B1105=$AB$2,$AC$2,$AC$3)</f>
        <v>1</v>
      </c>
      <c r="E1105">
        <f>IF(ISBLANK(C1105),0,VLOOKUP(C1105,$AE$2:$AF$7,2,0))</f>
        <v>0.5</v>
      </c>
      <c r="F1105">
        <f t="shared" si="36"/>
        <v>0.5</v>
      </c>
    </row>
    <row r="1106" spans="1:6">
      <c r="A1106" s="30">
        <f t="shared" si="37"/>
        <v>44196</v>
      </c>
      <c r="B1106" s="32" t="s">
        <v>199</v>
      </c>
      <c r="C1106" t="s">
        <v>207</v>
      </c>
      <c r="D1106">
        <f>IF(B1106=$AB$2,$AC$2,$AC$3)</f>
        <v>1</v>
      </c>
      <c r="E1106">
        <f>IF(ISBLANK(C1106),0,VLOOKUP(C1106,$AE$2:$AF$7,2,0))</f>
        <v>0.5</v>
      </c>
      <c r="F1106">
        <f t="shared" si="36"/>
        <v>0.5</v>
      </c>
    </row>
    <row r="1107" spans="1:6">
      <c r="A1107" s="30">
        <f t="shared" si="37"/>
        <v>44197</v>
      </c>
      <c r="B1107" s="32" t="s">
        <v>199</v>
      </c>
      <c r="C1107" t="s">
        <v>207</v>
      </c>
      <c r="D1107">
        <f>IF(B1107=$AB$2,$AC$2,$AC$3)</f>
        <v>1</v>
      </c>
      <c r="E1107">
        <f>IF(ISBLANK(C1107),0,VLOOKUP(C1107,$AE$2:$AF$7,2,0))</f>
        <v>0.5</v>
      </c>
      <c r="F1107">
        <f t="shared" si="36"/>
        <v>0.5</v>
      </c>
    </row>
    <row r="1108" spans="1:6">
      <c r="A1108" s="30">
        <f t="shared" si="37"/>
        <v>44198</v>
      </c>
      <c r="B1108" s="32" t="s">
        <v>199</v>
      </c>
      <c r="C1108" t="s">
        <v>207</v>
      </c>
      <c r="D1108">
        <f>IF(B1108=$AB$2,$AC$2,$AC$3)</f>
        <v>1</v>
      </c>
      <c r="E1108">
        <f>IF(ISBLANK(C1108),0,VLOOKUP(C1108,$AE$2:$AF$7,2,0))</f>
        <v>0.5</v>
      </c>
      <c r="F1108">
        <f t="shared" si="36"/>
        <v>0.5</v>
      </c>
    </row>
    <row r="1109" spans="1:6">
      <c r="A1109" s="30">
        <f t="shared" si="37"/>
        <v>44199</v>
      </c>
      <c r="B1109" s="32" t="s">
        <v>199</v>
      </c>
      <c r="C1109" t="s">
        <v>207</v>
      </c>
      <c r="D1109">
        <f>IF(B1109=$AB$2,$AC$2,$AC$3)</f>
        <v>1</v>
      </c>
      <c r="E1109">
        <f>IF(ISBLANK(C1109),0,VLOOKUP(C1109,$AE$2:$AF$7,2,0))</f>
        <v>0.5</v>
      </c>
      <c r="F1109">
        <f t="shared" si="36"/>
        <v>0.5</v>
      </c>
    </row>
    <row r="1110" spans="1:6">
      <c r="A1110" s="30">
        <f t="shared" si="37"/>
        <v>44200</v>
      </c>
      <c r="B1110" s="32" t="s">
        <v>199</v>
      </c>
      <c r="C1110" t="s">
        <v>207</v>
      </c>
      <c r="D1110">
        <f>IF(B1110=$AB$2,$AC$2,$AC$3)</f>
        <v>1</v>
      </c>
      <c r="E1110">
        <f>IF(ISBLANK(C1110),0,VLOOKUP(C1110,$AE$2:$AF$7,2,0))</f>
        <v>0.5</v>
      </c>
      <c r="F1110">
        <f t="shared" si="36"/>
        <v>0.5</v>
      </c>
    </row>
    <row r="1111" spans="1:6">
      <c r="A1111" s="30">
        <f t="shared" si="37"/>
        <v>44201</v>
      </c>
      <c r="B1111" s="32" t="s">
        <v>199</v>
      </c>
      <c r="C1111" t="s">
        <v>207</v>
      </c>
      <c r="D1111">
        <f>IF(B1111=$AB$2,$AC$2,$AC$3)</f>
        <v>1</v>
      </c>
      <c r="E1111">
        <f>IF(ISBLANK(C1111),0,VLOOKUP(C1111,$AE$2:$AF$7,2,0))</f>
        <v>0.5</v>
      </c>
      <c r="F1111">
        <f t="shared" si="36"/>
        <v>0.5</v>
      </c>
    </row>
    <row r="1112" spans="1:6">
      <c r="A1112" s="30">
        <f t="shared" si="37"/>
        <v>44202</v>
      </c>
      <c r="B1112" s="32" t="s">
        <v>199</v>
      </c>
      <c r="C1112" t="s">
        <v>207</v>
      </c>
      <c r="D1112">
        <f>IF(B1112=$AB$2,$AC$2,$AC$3)</f>
        <v>1</v>
      </c>
      <c r="E1112">
        <f>IF(ISBLANK(C1112),0,VLOOKUP(C1112,$AE$2:$AF$7,2,0))</f>
        <v>0.5</v>
      </c>
      <c r="F1112">
        <f t="shared" si="36"/>
        <v>0.5</v>
      </c>
    </row>
    <row r="1113" spans="1:6">
      <c r="A1113" s="30">
        <f t="shared" si="37"/>
        <v>44203</v>
      </c>
      <c r="B1113" s="32" t="s">
        <v>199</v>
      </c>
      <c r="C1113" t="s">
        <v>207</v>
      </c>
      <c r="D1113">
        <f>IF(B1113=$AB$2,$AC$2,$AC$3)</f>
        <v>1</v>
      </c>
      <c r="E1113">
        <f>IF(ISBLANK(C1113),0,VLOOKUP(C1113,$AE$2:$AF$7,2,0))</f>
        <v>0.5</v>
      </c>
      <c r="F1113">
        <f t="shared" si="36"/>
        <v>0.5</v>
      </c>
    </row>
    <row r="1114" spans="1:6">
      <c r="A1114" s="30">
        <f t="shared" si="37"/>
        <v>44204</v>
      </c>
      <c r="B1114" s="32" t="s">
        <v>199</v>
      </c>
      <c r="C1114" t="s">
        <v>207</v>
      </c>
      <c r="D1114">
        <f>IF(B1114=$AB$2,$AC$2,$AC$3)</f>
        <v>1</v>
      </c>
      <c r="E1114">
        <f>IF(ISBLANK(C1114),0,VLOOKUP(C1114,$AE$2:$AF$7,2,0))</f>
        <v>0.5</v>
      </c>
      <c r="F1114">
        <f t="shared" si="36"/>
        <v>0.5</v>
      </c>
    </row>
    <row r="1115" spans="1:6">
      <c r="A1115" s="30">
        <f t="shared" si="37"/>
        <v>44205</v>
      </c>
      <c r="B1115" s="32" t="s">
        <v>199</v>
      </c>
      <c r="C1115" t="s">
        <v>207</v>
      </c>
      <c r="D1115">
        <f>IF(B1115=$AB$2,$AC$2,$AC$3)</f>
        <v>1</v>
      </c>
      <c r="E1115">
        <f>IF(ISBLANK(C1115),0,VLOOKUP(C1115,$AE$2:$AF$7,2,0))</f>
        <v>0.5</v>
      </c>
      <c r="F1115">
        <f t="shared" si="36"/>
        <v>0.5</v>
      </c>
    </row>
    <row r="1116" spans="1:6">
      <c r="A1116" s="30">
        <f t="shared" si="37"/>
        <v>44206</v>
      </c>
      <c r="B1116" s="32" t="s">
        <v>199</v>
      </c>
      <c r="C1116" t="s">
        <v>207</v>
      </c>
      <c r="D1116">
        <f>IF(B1116=$AB$2,$AC$2,$AC$3)</f>
        <v>1</v>
      </c>
      <c r="E1116">
        <f>IF(ISBLANK(C1116),0,VLOOKUP(C1116,$AE$2:$AF$7,2,0))</f>
        <v>0.5</v>
      </c>
      <c r="F1116">
        <f t="shared" si="36"/>
        <v>0.5</v>
      </c>
    </row>
    <row r="1117" spans="1:6">
      <c r="A1117" s="30">
        <f t="shared" si="37"/>
        <v>44207</v>
      </c>
      <c r="B1117" s="32" t="s">
        <v>199</v>
      </c>
      <c r="C1117" t="s">
        <v>207</v>
      </c>
      <c r="D1117">
        <f>IF(B1117=$AB$2,$AC$2,$AC$3)</f>
        <v>1</v>
      </c>
      <c r="E1117">
        <f>IF(ISBLANK(C1117),0,VLOOKUP(C1117,$AE$2:$AF$7,2,0))</f>
        <v>0.5</v>
      </c>
      <c r="F1117">
        <f t="shared" si="36"/>
        <v>0.5</v>
      </c>
    </row>
    <row r="1118" spans="1:6">
      <c r="A1118" s="30">
        <f t="shared" si="37"/>
        <v>44208</v>
      </c>
      <c r="B1118" s="32" t="s">
        <v>199</v>
      </c>
      <c r="C1118" t="s">
        <v>207</v>
      </c>
      <c r="D1118">
        <f>IF(B1118=$AB$2,$AC$2,$AC$3)</f>
        <v>1</v>
      </c>
      <c r="E1118">
        <f>IF(ISBLANK(C1118),0,VLOOKUP(C1118,$AE$2:$AF$7,2,0))</f>
        <v>0.5</v>
      </c>
      <c r="F1118">
        <f t="shared" si="36"/>
        <v>0.5</v>
      </c>
    </row>
    <row r="1119" spans="1:6">
      <c r="A1119" s="30">
        <f t="shared" si="37"/>
        <v>44209</v>
      </c>
      <c r="B1119" s="32" t="s">
        <v>199</v>
      </c>
      <c r="C1119" t="s">
        <v>207</v>
      </c>
      <c r="D1119">
        <f>IF(B1119=$AB$2,$AC$2,$AC$3)</f>
        <v>1</v>
      </c>
      <c r="E1119">
        <f>IF(ISBLANK(C1119),0,VLOOKUP(C1119,$AE$2:$AF$7,2,0))</f>
        <v>0.5</v>
      </c>
      <c r="F1119">
        <f t="shared" si="36"/>
        <v>0.5</v>
      </c>
    </row>
    <row r="1120" spans="1:6">
      <c r="A1120" s="30">
        <f t="shared" si="37"/>
        <v>44210</v>
      </c>
      <c r="B1120" s="32" t="s">
        <v>199</v>
      </c>
      <c r="C1120" t="s">
        <v>207</v>
      </c>
      <c r="D1120">
        <f>IF(B1120=$AB$2,$AC$2,$AC$3)</f>
        <v>1</v>
      </c>
      <c r="E1120">
        <f>IF(ISBLANK(C1120),0,VLOOKUP(C1120,$AE$2:$AF$7,2,0))</f>
        <v>0.5</v>
      </c>
      <c r="F1120">
        <f t="shared" si="36"/>
        <v>0.5</v>
      </c>
    </row>
    <row r="1121" spans="1:6">
      <c r="A1121" s="30">
        <f t="shared" si="37"/>
        <v>44211</v>
      </c>
      <c r="B1121" s="32" t="s">
        <v>199</v>
      </c>
      <c r="C1121" t="s">
        <v>207</v>
      </c>
      <c r="D1121">
        <f>IF(B1121=$AB$2,$AC$2,$AC$3)</f>
        <v>1</v>
      </c>
      <c r="E1121">
        <f>IF(ISBLANK(C1121),0,VLOOKUP(C1121,$AE$2:$AF$7,2,0))</f>
        <v>0.5</v>
      </c>
      <c r="F1121">
        <f t="shared" si="36"/>
        <v>0.5</v>
      </c>
    </row>
    <row r="1122" spans="1:6">
      <c r="A1122" s="30">
        <f t="shared" si="37"/>
        <v>44212</v>
      </c>
      <c r="B1122" s="32" t="s">
        <v>199</v>
      </c>
      <c r="C1122" t="s">
        <v>207</v>
      </c>
      <c r="D1122">
        <f>IF(B1122=$AB$2,$AC$2,$AC$3)</f>
        <v>1</v>
      </c>
      <c r="E1122">
        <f>IF(ISBLANK(C1122),0,VLOOKUP(C1122,$AE$2:$AF$7,2,0))</f>
        <v>0.5</v>
      </c>
      <c r="F1122">
        <f t="shared" si="36"/>
        <v>0.5</v>
      </c>
    </row>
    <row r="1123" spans="1:6">
      <c r="A1123" s="30">
        <f t="shared" si="37"/>
        <v>44213</v>
      </c>
      <c r="B1123" s="32" t="s">
        <v>199</v>
      </c>
      <c r="C1123" t="s">
        <v>207</v>
      </c>
      <c r="D1123">
        <f>IF(B1123=$AB$2,$AC$2,$AC$3)</f>
        <v>1</v>
      </c>
      <c r="E1123">
        <f>IF(ISBLANK(C1123),0,VLOOKUP(C1123,$AE$2:$AF$7,2,0))</f>
        <v>0.5</v>
      </c>
      <c r="F1123">
        <f t="shared" si="36"/>
        <v>0.5</v>
      </c>
    </row>
    <row r="1124" spans="1:6">
      <c r="A1124" s="30">
        <f t="shared" si="37"/>
        <v>44214</v>
      </c>
      <c r="B1124" s="32" t="s">
        <v>199</v>
      </c>
      <c r="C1124" t="s">
        <v>207</v>
      </c>
      <c r="D1124">
        <f>IF(B1124=$AB$2,$AC$2,$AC$3)</f>
        <v>1</v>
      </c>
      <c r="E1124">
        <f>IF(ISBLANK(C1124),0,VLOOKUP(C1124,$AE$2:$AF$7,2,0))</f>
        <v>0.5</v>
      </c>
      <c r="F1124">
        <f t="shared" si="36"/>
        <v>0.5</v>
      </c>
    </row>
    <row r="1125" spans="1:6">
      <c r="A1125" s="30">
        <f t="shared" si="37"/>
        <v>44215</v>
      </c>
      <c r="B1125" s="32" t="s">
        <v>199</v>
      </c>
      <c r="C1125" t="s">
        <v>207</v>
      </c>
      <c r="D1125">
        <f>IF(B1125=$AB$2,$AC$2,$AC$3)</f>
        <v>1</v>
      </c>
      <c r="E1125">
        <f>IF(ISBLANK(C1125),0,VLOOKUP(C1125,$AE$2:$AF$7,2,0))</f>
        <v>0.5</v>
      </c>
      <c r="F1125">
        <f t="shared" si="36"/>
        <v>0.5</v>
      </c>
    </row>
    <row r="1126" spans="1:6">
      <c r="A1126" s="30">
        <f t="shared" si="37"/>
        <v>44216</v>
      </c>
      <c r="B1126" s="32" t="s">
        <v>199</v>
      </c>
      <c r="C1126" t="s">
        <v>207</v>
      </c>
      <c r="D1126">
        <f>IF(B1126=$AB$2,$AC$2,$AC$3)</f>
        <v>1</v>
      </c>
      <c r="E1126">
        <f>IF(ISBLANK(C1126),0,VLOOKUP(C1126,$AE$2:$AF$7,2,0))</f>
        <v>0.5</v>
      </c>
      <c r="F1126">
        <f t="shared" si="36"/>
        <v>0.5</v>
      </c>
    </row>
    <row r="1127" spans="1:6">
      <c r="A1127" s="30">
        <f t="shared" si="37"/>
        <v>44217</v>
      </c>
      <c r="B1127" s="32" t="s">
        <v>199</v>
      </c>
      <c r="C1127" t="s">
        <v>207</v>
      </c>
      <c r="D1127">
        <f>IF(B1127=$AB$2,$AC$2,$AC$3)</f>
        <v>1</v>
      </c>
      <c r="E1127">
        <f>IF(ISBLANK(C1127),0,VLOOKUP(C1127,$AE$2:$AF$7,2,0))</f>
        <v>0.5</v>
      </c>
      <c r="F1127">
        <f t="shared" si="36"/>
        <v>0.5</v>
      </c>
    </row>
    <row r="1128" spans="1:6">
      <c r="A1128" s="30">
        <f t="shared" si="37"/>
        <v>44218</v>
      </c>
      <c r="B1128" s="32" t="s">
        <v>199</v>
      </c>
      <c r="C1128" t="s">
        <v>207</v>
      </c>
      <c r="D1128">
        <f>IF(B1128=$AB$2,$AC$2,$AC$3)</f>
        <v>1</v>
      </c>
      <c r="E1128">
        <f>IF(ISBLANK(C1128),0,VLOOKUP(C1128,$AE$2:$AF$7,2,0))</f>
        <v>0.5</v>
      </c>
      <c r="F1128">
        <f t="shared" si="36"/>
        <v>0.5</v>
      </c>
    </row>
    <row r="1129" spans="1:6">
      <c r="A1129" s="30">
        <f t="shared" si="37"/>
        <v>44219</v>
      </c>
      <c r="B1129" s="32" t="s">
        <v>199</v>
      </c>
      <c r="C1129" t="s">
        <v>207</v>
      </c>
      <c r="D1129">
        <f>IF(B1129=$AB$2,$AC$2,$AC$3)</f>
        <v>1</v>
      </c>
      <c r="E1129">
        <f>IF(ISBLANK(C1129),0,VLOOKUP(C1129,$AE$2:$AF$7,2,0))</f>
        <v>0.5</v>
      </c>
      <c r="F1129">
        <f t="shared" si="36"/>
        <v>0.5</v>
      </c>
    </row>
    <row r="1130" spans="1:6">
      <c r="A1130" s="30">
        <f t="shared" si="37"/>
        <v>44220</v>
      </c>
      <c r="B1130" s="32" t="s">
        <v>199</v>
      </c>
      <c r="C1130" t="s">
        <v>207</v>
      </c>
      <c r="D1130">
        <f>IF(B1130=$AB$2,$AC$2,$AC$3)</f>
        <v>1</v>
      </c>
      <c r="E1130">
        <f>IF(ISBLANK(C1130),0,VLOOKUP(C1130,$AE$2:$AF$7,2,0))</f>
        <v>0.5</v>
      </c>
      <c r="F1130">
        <f t="shared" si="36"/>
        <v>0.5</v>
      </c>
    </row>
    <row r="1131" spans="1:6">
      <c r="A1131" s="30">
        <f t="shared" si="37"/>
        <v>44221</v>
      </c>
      <c r="B1131" s="32" t="s">
        <v>199</v>
      </c>
      <c r="C1131" t="s">
        <v>207</v>
      </c>
      <c r="D1131">
        <f>IF(B1131=$AB$2,$AC$2,$AC$3)</f>
        <v>1</v>
      </c>
      <c r="E1131">
        <f>IF(ISBLANK(C1131),0,VLOOKUP(C1131,$AE$2:$AF$7,2,0))</f>
        <v>0.5</v>
      </c>
      <c r="F1131">
        <f t="shared" si="36"/>
        <v>0.5</v>
      </c>
    </row>
    <row r="1132" spans="1:6">
      <c r="A1132" s="30">
        <f t="shared" si="37"/>
        <v>44222</v>
      </c>
      <c r="B1132" s="32" t="s">
        <v>199</v>
      </c>
      <c r="C1132" t="s">
        <v>207</v>
      </c>
      <c r="D1132">
        <f>IF(B1132=$AB$2,$AC$2,$AC$3)</f>
        <v>1</v>
      </c>
      <c r="E1132">
        <f>IF(ISBLANK(C1132),0,VLOOKUP(C1132,$AE$2:$AF$7,2,0))</f>
        <v>0.5</v>
      </c>
      <c r="F1132">
        <f t="shared" si="36"/>
        <v>0.5</v>
      </c>
    </row>
    <row r="1133" spans="1:6">
      <c r="A1133" s="30">
        <f t="shared" si="37"/>
        <v>44223</v>
      </c>
      <c r="B1133" s="32" t="s">
        <v>199</v>
      </c>
      <c r="C1133" t="s">
        <v>207</v>
      </c>
      <c r="D1133">
        <f>IF(B1133=$AB$2,$AC$2,$AC$3)</f>
        <v>1</v>
      </c>
      <c r="E1133">
        <f>IF(ISBLANK(C1133),0,VLOOKUP(C1133,$AE$2:$AF$7,2,0))</f>
        <v>0.5</v>
      </c>
      <c r="F1133">
        <f t="shared" si="36"/>
        <v>0.5</v>
      </c>
    </row>
    <row r="1134" spans="1:6">
      <c r="A1134" s="30">
        <f t="shared" si="37"/>
        <v>44224</v>
      </c>
      <c r="B1134" s="32" t="s">
        <v>199</v>
      </c>
      <c r="C1134" t="s">
        <v>207</v>
      </c>
      <c r="D1134">
        <f>IF(B1134=$AB$2,$AC$2,$AC$3)</f>
        <v>1</v>
      </c>
      <c r="E1134">
        <f>IF(ISBLANK(C1134),0,VLOOKUP(C1134,$AE$2:$AF$7,2,0))</f>
        <v>0.5</v>
      </c>
      <c r="F1134">
        <f t="shared" si="36"/>
        <v>0.5</v>
      </c>
    </row>
    <row r="1135" spans="1:6">
      <c r="A1135" s="30">
        <f t="shared" si="37"/>
        <v>44225</v>
      </c>
      <c r="B1135" s="32" t="s">
        <v>199</v>
      </c>
      <c r="C1135" t="s">
        <v>207</v>
      </c>
      <c r="D1135">
        <f>IF(B1135=$AB$2,$AC$2,$AC$3)</f>
        <v>1</v>
      </c>
      <c r="E1135">
        <f>IF(ISBLANK(C1135),0,VLOOKUP(C1135,$AE$2:$AF$7,2,0))</f>
        <v>0.5</v>
      </c>
      <c r="F1135">
        <f t="shared" si="36"/>
        <v>0.5</v>
      </c>
    </row>
    <row r="1136" spans="1:6">
      <c r="A1136" s="30">
        <f t="shared" si="37"/>
        <v>44226</v>
      </c>
      <c r="B1136" s="32" t="s">
        <v>199</v>
      </c>
      <c r="C1136" t="s">
        <v>207</v>
      </c>
      <c r="D1136">
        <f>IF(B1136=$AB$2,$AC$2,$AC$3)</f>
        <v>1</v>
      </c>
      <c r="E1136">
        <f>IF(ISBLANK(C1136),0,VLOOKUP(C1136,$AE$2:$AF$7,2,0))</f>
        <v>0.5</v>
      </c>
      <c r="F1136">
        <f t="shared" si="36"/>
        <v>0.5</v>
      </c>
    </row>
    <row r="1137" spans="1:6">
      <c r="A1137" s="30">
        <f t="shared" si="37"/>
        <v>44227</v>
      </c>
      <c r="B1137" s="32" t="s">
        <v>199</v>
      </c>
      <c r="C1137" t="s">
        <v>207</v>
      </c>
      <c r="D1137">
        <f>IF(B1137=$AB$2,$AC$2,$AC$3)</f>
        <v>1</v>
      </c>
      <c r="E1137">
        <f>IF(ISBLANK(C1137),0,VLOOKUP(C1137,$AE$2:$AF$7,2,0))</f>
        <v>0.5</v>
      </c>
      <c r="F1137">
        <f t="shared" si="36"/>
        <v>0.5</v>
      </c>
    </row>
    <row r="1138" spans="1:6">
      <c r="A1138" s="30">
        <f t="shared" si="37"/>
        <v>44228</v>
      </c>
      <c r="B1138" s="32" t="s">
        <v>199</v>
      </c>
      <c r="C1138" t="s">
        <v>207</v>
      </c>
      <c r="D1138">
        <f>IF(B1138=$AB$2,$AC$2,$AC$3)</f>
        <v>1</v>
      </c>
      <c r="E1138">
        <f>IF(ISBLANK(C1138),0,VLOOKUP(C1138,$AE$2:$AF$7,2,0))</f>
        <v>0.5</v>
      </c>
      <c r="F1138">
        <f t="shared" si="36"/>
        <v>0.5</v>
      </c>
    </row>
    <row r="1139" spans="1:6">
      <c r="A1139" s="30">
        <f t="shared" si="37"/>
        <v>44229</v>
      </c>
      <c r="B1139" s="32" t="s">
        <v>199</v>
      </c>
      <c r="C1139" t="s">
        <v>207</v>
      </c>
      <c r="D1139">
        <f>IF(B1139=$AB$2,$AC$2,$AC$3)</f>
        <v>1</v>
      </c>
      <c r="E1139">
        <f>IF(ISBLANK(C1139),0,VLOOKUP(C1139,$AE$2:$AF$7,2,0))</f>
        <v>0.5</v>
      </c>
      <c r="F1139">
        <f t="shared" si="36"/>
        <v>0.5</v>
      </c>
    </row>
    <row r="1140" spans="1:6">
      <c r="A1140" s="30">
        <f t="shared" si="37"/>
        <v>44230</v>
      </c>
      <c r="B1140" s="32" t="s">
        <v>199</v>
      </c>
      <c r="C1140" t="s">
        <v>207</v>
      </c>
      <c r="D1140">
        <f>IF(B1140=$AB$2,$AC$2,$AC$3)</f>
        <v>1</v>
      </c>
      <c r="E1140">
        <f>IF(ISBLANK(C1140),0,VLOOKUP(C1140,$AE$2:$AF$7,2,0))</f>
        <v>0.5</v>
      </c>
      <c r="F1140">
        <f t="shared" si="36"/>
        <v>0.5</v>
      </c>
    </row>
    <row r="1141" spans="1:6">
      <c r="A1141" s="30">
        <f t="shared" si="37"/>
        <v>44231</v>
      </c>
      <c r="B1141" s="32" t="s">
        <v>199</v>
      </c>
      <c r="C1141" t="s">
        <v>207</v>
      </c>
      <c r="D1141">
        <f>IF(B1141=$AB$2,$AC$2,$AC$3)</f>
        <v>1</v>
      </c>
      <c r="E1141">
        <f>IF(ISBLANK(C1141),0,VLOOKUP(C1141,$AE$2:$AF$7,2,0))</f>
        <v>0.5</v>
      </c>
      <c r="F1141">
        <f t="shared" si="36"/>
        <v>0.5</v>
      </c>
    </row>
    <row r="1142" spans="1:6">
      <c r="A1142" s="30">
        <f t="shared" si="37"/>
        <v>44232</v>
      </c>
      <c r="B1142" s="32" t="s">
        <v>199</v>
      </c>
      <c r="C1142" t="s">
        <v>207</v>
      </c>
      <c r="D1142">
        <f>IF(B1142=$AB$2,$AC$2,$AC$3)</f>
        <v>1</v>
      </c>
      <c r="E1142">
        <f>IF(ISBLANK(C1142),0,VLOOKUP(C1142,$AE$2:$AF$7,2,0))</f>
        <v>0.5</v>
      </c>
      <c r="F1142">
        <f t="shared" si="36"/>
        <v>0.5</v>
      </c>
    </row>
    <row r="1143" spans="1:6">
      <c r="A1143" s="30">
        <f>A1142+1</f>
        <v>44233</v>
      </c>
      <c r="B1143" s="32" t="s">
        <v>199</v>
      </c>
      <c r="C1143" t="s">
        <v>207</v>
      </c>
      <c r="D1143">
        <f>IF(B1143=$AB$2,$AC$2,$AC$3)</f>
        <v>1</v>
      </c>
      <c r="E1143">
        <f>IF(ISBLANK(C1143),0,VLOOKUP(C1143,$AE$2:$AF$7,2,0))</f>
        <v>0.5</v>
      </c>
      <c r="F1143">
        <f t="shared" si="36"/>
        <v>0.5</v>
      </c>
    </row>
    <row r="1144" spans="1:6">
      <c r="A1144" s="30">
        <f t="shared" ref="A1144:A1207" si="38">A1143+1</f>
        <v>44234</v>
      </c>
      <c r="B1144" s="32" t="s">
        <v>199</v>
      </c>
      <c r="C1144" t="s">
        <v>207</v>
      </c>
      <c r="D1144">
        <f>IF(B1144=$AB$2,$AC$2,$AC$3)</f>
        <v>1</v>
      </c>
      <c r="E1144">
        <f>IF(ISBLANK(C1144),0,VLOOKUP(C1144,$AE$2:$AF$7,2,0))</f>
        <v>0.5</v>
      </c>
      <c r="F1144">
        <f t="shared" si="36"/>
        <v>0.5</v>
      </c>
    </row>
    <row r="1145" spans="1:6">
      <c r="A1145" s="30">
        <f t="shared" si="38"/>
        <v>44235</v>
      </c>
      <c r="B1145" s="32" t="s">
        <v>199</v>
      </c>
      <c r="C1145" t="s">
        <v>207</v>
      </c>
      <c r="D1145">
        <f>IF(B1145=$AB$2,$AC$2,$AC$3)</f>
        <v>1</v>
      </c>
      <c r="E1145">
        <f>IF(ISBLANK(C1145),0,VLOOKUP(C1145,$AE$2:$AF$7,2,0))</f>
        <v>0.5</v>
      </c>
      <c r="F1145">
        <f t="shared" si="36"/>
        <v>0.5</v>
      </c>
    </row>
    <row r="1146" spans="1:6">
      <c r="A1146" s="30">
        <f t="shared" si="38"/>
        <v>44236</v>
      </c>
      <c r="B1146" s="32" t="s">
        <v>199</v>
      </c>
      <c r="C1146" t="s">
        <v>207</v>
      </c>
      <c r="D1146">
        <f>IF(B1146=$AB$2,$AC$2,$AC$3)</f>
        <v>1</v>
      </c>
      <c r="E1146">
        <f>IF(ISBLANK(C1146),0,VLOOKUP(C1146,$AE$2:$AF$7,2,0))</f>
        <v>0.5</v>
      </c>
      <c r="F1146">
        <f t="shared" si="36"/>
        <v>0.5</v>
      </c>
    </row>
    <row r="1147" spans="1:6">
      <c r="A1147" s="30">
        <f t="shared" si="38"/>
        <v>44237</v>
      </c>
      <c r="B1147" s="32" t="s">
        <v>199</v>
      </c>
      <c r="C1147" t="s">
        <v>207</v>
      </c>
      <c r="D1147">
        <f>IF(B1147=$AB$2,$AC$2,$AC$3)</f>
        <v>1</v>
      </c>
      <c r="E1147">
        <f>IF(ISBLANK(C1147),0,VLOOKUP(C1147,$AE$2:$AF$7,2,0))</f>
        <v>0.5</v>
      </c>
      <c r="F1147">
        <f t="shared" si="36"/>
        <v>0.5</v>
      </c>
    </row>
    <row r="1148" spans="1:6">
      <c r="A1148" s="30">
        <f t="shared" si="38"/>
        <v>44238</v>
      </c>
      <c r="B1148" s="32" t="s">
        <v>199</v>
      </c>
      <c r="C1148" t="s">
        <v>207</v>
      </c>
      <c r="D1148">
        <f>IF(B1148=$AB$2,$AC$2,$AC$3)</f>
        <v>1</v>
      </c>
      <c r="E1148">
        <f>IF(ISBLANK(C1148),0,VLOOKUP(C1148,$AE$2:$AF$7,2,0))</f>
        <v>0.5</v>
      </c>
      <c r="F1148">
        <f t="shared" si="36"/>
        <v>0.5</v>
      </c>
    </row>
    <row r="1149" spans="1:6">
      <c r="A1149" s="30">
        <f t="shared" si="38"/>
        <v>44239</v>
      </c>
      <c r="B1149" s="32" t="s">
        <v>199</v>
      </c>
      <c r="C1149" t="s">
        <v>207</v>
      </c>
      <c r="D1149">
        <f>IF(B1149=$AB$2,$AC$2,$AC$3)</f>
        <v>1</v>
      </c>
      <c r="E1149">
        <f>IF(ISBLANK(C1149),0,VLOOKUP(C1149,$AE$2:$AF$7,2,0))</f>
        <v>0.5</v>
      </c>
      <c r="F1149">
        <f t="shared" si="36"/>
        <v>0.5</v>
      </c>
    </row>
    <row r="1150" spans="1:6">
      <c r="A1150" s="30">
        <f t="shared" si="38"/>
        <v>44240</v>
      </c>
      <c r="B1150" s="32" t="s">
        <v>199</v>
      </c>
      <c r="C1150" t="s">
        <v>207</v>
      </c>
      <c r="D1150">
        <f>IF(B1150=$AB$2,$AC$2,$AC$3)</f>
        <v>1</v>
      </c>
      <c r="E1150">
        <f>IF(ISBLANK(C1150),0,VLOOKUP(C1150,$AE$2:$AF$7,2,0))</f>
        <v>0.5</v>
      </c>
      <c r="F1150">
        <f t="shared" si="36"/>
        <v>0.5</v>
      </c>
    </row>
    <row r="1151" spans="1:6">
      <c r="A1151" s="30">
        <f t="shared" si="38"/>
        <v>44241</v>
      </c>
      <c r="B1151" s="32" t="s">
        <v>199</v>
      </c>
      <c r="C1151" t="s">
        <v>207</v>
      </c>
      <c r="D1151">
        <f>IF(B1151=$AB$2,$AC$2,$AC$3)</f>
        <v>1</v>
      </c>
      <c r="E1151">
        <f>IF(ISBLANK(C1151),0,VLOOKUP(C1151,$AE$2:$AF$7,2,0))</f>
        <v>0.5</v>
      </c>
      <c r="F1151">
        <f t="shared" si="36"/>
        <v>0.5</v>
      </c>
    </row>
    <row r="1152" spans="1:6">
      <c r="A1152" s="30">
        <f t="shared" si="38"/>
        <v>44242</v>
      </c>
      <c r="B1152" s="32" t="s">
        <v>199</v>
      </c>
      <c r="C1152" t="s">
        <v>207</v>
      </c>
      <c r="D1152">
        <f>IF(B1152=$AB$2,$AC$2,$AC$3)</f>
        <v>1</v>
      </c>
      <c r="E1152">
        <f>IF(ISBLANK(C1152),0,VLOOKUP(C1152,$AE$2:$AF$7,2,0))</f>
        <v>0.5</v>
      </c>
      <c r="F1152">
        <f t="shared" si="36"/>
        <v>0.5</v>
      </c>
    </row>
    <row r="1153" spans="1:6">
      <c r="A1153" s="30">
        <f t="shared" si="38"/>
        <v>44243</v>
      </c>
      <c r="B1153" s="32" t="s">
        <v>199</v>
      </c>
      <c r="C1153" t="s">
        <v>207</v>
      </c>
      <c r="D1153">
        <f>IF(B1153=$AB$2,$AC$2,$AC$3)</f>
        <v>1</v>
      </c>
      <c r="E1153">
        <f>IF(ISBLANK(C1153),0,VLOOKUP(C1153,$AE$2:$AF$7,2,0))</f>
        <v>0.5</v>
      </c>
      <c r="F1153">
        <f t="shared" si="36"/>
        <v>0.5</v>
      </c>
    </row>
    <row r="1154" spans="1:6">
      <c r="A1154" s="30">
        <f t="shared" si="38"/>
        <v>44244</v>
      </c>
      <c r="B1154" s="32" t="s">
        <v>199</v>
      </c>
      <c r="C1154" t="s">
        <v>207</v>
      </c>
      <c r="D1154">
        <f>IF(B1154=$AB$2,$AC$2,$AC$3)</f>
        <v>1</v>
      </c>
      <c r="E1154">
        <f>IF(ISBLANK(C1154),0,VLOOKUP(C1154,$AE$2:$AF$7,2,0))</f>
        <v>0.5</v>
      </c>
      <c r="F1154">
        <f t="shared" si="36"/>
        <v>0.5</v>
      </c>
    </row>
    <row r="1155" spans="1:6">
      <c r="A1155" s="30">
        <f t="shared" si="38"/>
        <v>44245</v>
      </c>
      <c r="B1155" s="32" t="s">
        <v>199</v>
      </c>
      <c r="C1155" t="s">
        <v>207</v>
      </c>
      <c r="D1155">
        <f>IF(B1155=$AB$2,$AC$2,$AC$3)</f>
        <v>1</v>
      </c>
      <c r="E1155">
        <f>IF(ISBLANK(C1155),0,VLOOKUP(C1155,$AE$2:$AF$7,2,0))</f>
        <v>0.5</v>
      </c>
      <c r="F1155">
        <f t="shared" ref="F1155:F1218" si="39">D1155*E1155</f>
        <v>0.5</v>
      </c>
    </row>
    <row r="1156" spans="1:6">
      <c r="A1156" s="30">
        <f t="shared" si="38"/>
        <v>44246</v>
      </c>
      <c r="B1156" s="32" t="s">
        <v>199</v>
      </c>
      <c r="C1156" t="s">
        <v>207</v>
      </c>
      <c r="D1156">
        <f>IF(B1156=$AB$2,$AC$2,$AC$3)</f>
        <v>1</v>
      </c>
      <c r="E1156">
        <f>IF(ISBLANK(C1156),0,VLOOKUP(C1156,$AE$2:$AF$7,2,0))</f>
        <v>0.5</v>
      </c>
      <c r="F1156">
        <f t="shared" si="39"/>
        <v>0.5</v>
      </c>
    </row>
    <row r="1157" spans="1:6">
      <c r="A1157" s="30">
        <f t="shared" si="38"/>
        <v>44247</v>
      </c>
      <c r="B1157" s="32" t="s">
        <v>199</v>
      </c>
      <c r="C1157" t="s">
        <v>207</v>
      </c>
      <c r="D1157">
        <f>IF(B1157=$AB$2,$AC$2,$AC$3)</f>
        <v>1</v>
      </c>
      <c r="E1157">
        <f>IF(ISBLANK(C1157),0,VLOOKUP(C1157,$AE$2:$AF$7,2,0))</f>
        <v>0.5</v>
      </c>
      <c r="F1157">
        <f t="shared" si="39"/>
        <v>0.5</v>
      </c>
    </row>
    <row r="1158" spans="1:6">
      <c r="A1158" s="30">
        <f t="shared" si="38"/>
        <v>44248</v>
      </c>
      <c r="B1158" s="32" t="s">
        <v>199</v>
      </c>
      <c r="C1158" t="s">
        <v>207</v>
      </c>
      <c r="D1158">
        <f>IF(B1158=$AB$2,$AC$2,$AC$3)</f>
        <v>1</v>
      </c>
      <c r="E1158">
        <f>IF(ISBLANK(C1158),0,VLOOKUP(C1158,$AE$2:$AF$7,2,0))</f>
        <v>0.5</v>
      </c>
      <c r="F1158">
        <f t="shared" si="39"/>
        <v>0.5</v>
      </c>
    </row>
    <row r="1159" spans="1:6">
      <c r="A1159" s="30">
        <f t="shared" si="38"/>
        <v>44249</v>
      </c>
      <c r="B1159" s="32" t="s">
        <v>199</v>
      </c>
      <c r="C1159" t="s">
        <v>207</v>
      </c>
      <c r="D1159">
        <f>IF(B1159=$AB$2,$AC$2,$AC$3)</f>
        <v>1</v>
      </c>
      <c r="E1159">
        <f>IF(ISBLANK(C1159),0,VLOOKUP(C1159,$AE$2:$AF$7,2,0))</f>
        <v>0.5</v>
      </c>
      <c r="F1159">
        <f t="shared" si="39"/>
        <v>0.5</v>
      </c>
    </row>
    <row r="1160" spans="1:6">
      <c r="A1160" s="30">
        <f t="shared" si="38"/>
        <v>44250</v>
      </c>
      <c r="B1160" s="32" t="s">
        <v>199</v>
      </c>
      <c r="C1160" t="s">
        <v>207</v>
      </c>
      <c r="D1160">
        <f>IF(B1160=$AB$2,$AC$2,$AC$3)</f>
        <v>1</v>
      </c>
      <c r="E1160">
        <f>IF(ISBLANK(C1160),0,VLOOKUP(C1160,$AE$2:$AF$7,2,0))</f>
        <v>0.5</v>
      </c>
      <c r="F1160">
        <f t="shared" si="39"/>
        <v>0.5</v>
      </c>
    </row>
    <row r="1161" spans="1:6">
      <c r="A1161" s="30">
        <f t="shared" si="38"/>
        <v>44251</v>
      </c>
      <c r="B1161" s="32" t="s">
        <v>199</v>
      </c>
      <c r="C1161" t="s">
        <v>207</v>
      </c>
      <c r="D1161">
        <f>IF(B1161=$AB$2,$AC$2,$AC$3)</f>
        <v>1</v>
      </c>
      <c r="E1161">
        <f>IF(ISBLANK(C1161),0,VLOOKUP(C1161,$AE$2:$AF$7,2,0))</f>
        <v>0.5</v>
      </c>
      <c r="F1161">
        <f t="shared" si="39"/>
        <v>0.5</v>
      </c>
    </row>
    <row r="1162" spans="1:6">
      <c r="A1162" s="30">
        <f t="shared" si="38"/>
        <v>44252</v>
      </c>
      <c r="B1162" s="32" t="s">
        <v>199</v>
      </c>
      <c r="C1162" t="s">
        <v>207</v>
      </c>
      <c r="D1162">
        <f>IF(B1162=$AB$2,$AC$2,$AC$3)</f>
        <v>1</v>
      </c>
      <c r="E1162">
        <f>IF(ISBLANK(C1162),0,VLOOKUP(C1162,$AE$2:$AF$7,2,0))</f>
        <v>0.5</v>
      </c>
      <c r="F1162">
        <f t="shared" si="39"/>
        <v>0.5</v>
      </c>
    </row>
    <row r="1163" spans="1:6">
      <c r="A1163" s="30">
        <f t="shared" si="38"/>
        <v>44253</v>
      </c>
      <c r="B1163" s="32" t="s">
        <v>199</v>
      </c>
      <c r="C1163" t="s">
        <v>207</v>
      </c>
      <c r="D1163">
        <f>IF(B1163=$AB$2,$AC$2,$AC$3)</f>
        <v>1</v>
      </c>
      <c r="E1163">
        <f>IF(ISBLANK(C1163),0,VLOOKUP(C1163,$AE$2:$AF$7,2,0))</f>
        <v>0.5</v>
      </c>
      <c r="F1163">
        <f t="shared" si="39"/>
        <v>0.5</v>
      </c>
    </row>
    <row r="1164" spans="1:6">
      <c r="A1164" s="30">
        <f t="shared" si="38"/>
        <v>44254</v>
      </c>
      <c r="B1164" s="32" t="s">
        <v>199</v>
      </c>
      <c r="C1164" t="s">
        <v>207</v>
      </c>
      <c r="D1164">
        <f>IF(B1164=$AB$2,$AC$2,$AC$3)</f>
        <v>1</v>
      </c>
      <c r="E1164">
        <f>IF(ISBLANK(C1164),0,VLOOKUP(C1164,$AE$2:$AF$7,2,0))</f>
        <v>0.5</v>
      </c>
      <c r="F1164">
        <f t="shared" si="39"/>
        <v>0.5</v>
      </c>
    </row>
    <row r="1165" spans="1:6">
      <c r="A1165" s="30">
        <f t="shared" si="38"/>
        <v>44255</v>
      </c>
      <c r="B1165" s="32" t="s">
        <v>199</v>
      </c>
      <c r="C1165" t="s">
        <v>207</v>
      </c>
      <c r="D1165">
        <f>IF(B1165=$AB$2,$AC$2,$AC$3)</f>
        <v>1</v>
      </c>
      <c r="E1165">
        <f>IF(ISBLANK(C1165),0,VLOOKUP(C1165,$AE$2:$AF$7,2,0))</f>
        <v>0.5</v>
      </c>
      <c r="F1165">
        <f t="shared" si="39"/>
        <v>0.5</v>
      </c>
    </row>
    <row r="1166" spans="1:6">
      <c r="A1166" s="30">
        <f t="shared" si="38"/>
        <v>44256</v>
      </c>
      <c r="B1166" s="32" t="s">
        <v>199</v>
      </c>
      <c r="C1166" t="s">
        <v>207</v>
      </c>
      <c r="D1166">
        <f>IF(B1166=$AB$2,$AC$2,$AC$3)</f>
        <v>1</v>
      </c>
      <c r="E1166">
        <f>IF(ISBLANK(C1166),0,VLOOKUP(C1166,$AE$2:$AF$7,2,0))</f>
        <v>0.5</v>
      </c>
      <c r="F1166">
        <f t="shared" si="39"/>
        <v>0.5</v>
      </c>
    </row>
    <row r="1167" spans="1:6">
      <c r="A1167" s="30">
        <f t="shared" si="38"/>
        <v>44257</v>
      </c>
      <c r="B1167" s="32" t="s">
        <v>199</v>
      </c>
      <c r="C1167" t="s">
        <v>207</v>
      </c>
      <c r="D1167">
        <f>IF(B1167=$AB$2,$AC$2,$AC$3)</f>
        <v>1</v>
      </c>
      <c r="E1167">
        <f>IF(ISBLANK(C1167),0,VLOOKUP(C1167,$AE$2:$AF$7,2,0))</f>
        <v>0.5</v>
      </c>
      <c r="F1167">
        <f t="shared" si="39"/>
        <v>0.5</v>
      </c>
    </row>
    <row r="1168" spans="1:6">
      <c r="A1168" s="30">
        <f t="shared" si="38"/>
        <v>44258</v>
      </c>
      <c r="B1168" s="32" t="s">
        <v>199</v>
      </c>
      <c r="C1168" t="s">
        <v>207</v>
      </c>
      <c r="D1168">
        <f>IF(B1168=$AB$2,$AC$2,$AC$3)</f>
        <v>1</v>
      </c>
      <c r="E1168">
        <f>IF(ISBLANK(C1168),0,VLOOKUP(C1168,$AE$2:$AF$7,2,0))</f>
        <v>0.5</v>
      </c>
      <c r="F1168">
        <f t="shared" si="39"/>
        <v>0.5</v>
      </c>
    </row>
    <row r="1169" spans="1:6">
      <c r="A1169" s="30">
        <f t="shared" si="38"/>
        <v>44259</v>
      </c>
      <c r="B1169" s="32" t="s">
        <v>199</v>
      </c>
      <c r="C1169" t="s">
        <v>207</v>
      </c>
      <c r="D1169">
        <f>IF(B1169=$AB$2,$AC$2,$AC$3)</f>
        <v>1</v>
      </c>
      <c r="E1169">
        <f>IF(ISBLANK(C1169),0,VLOOKUP(C1169,$AE$2:$AF$7,2,0))</f>
        <v>0.5</v>
      </c>
      <c r="F1169">
        <f t="shared" si="39"/>
        <v>0.5</v>
      </c>
    </row>
    <row r="1170" spans="1:6">
      <c r="A1170" s="30">
        <f t="shared" si="38"/>
        <v>44260</v>
      </c>
      <c r="B1170" s="32" t="s">
        <v>199</v>
      </c>
      <c r="C1170" t="s">
        <v>207</v>
      </c>
      <c r="D1170">
        <f>IF(B1170=$AB$2,$AC$2,$AC$3)</f>
        <v>1</v>
      </c>
      <c r="E1170">
        <f>IF(ISBLANK(C1170),0,VLOOKUP(C1170,$AE$2:$AF$7,2,0))</f>
        <v>0.5</v>
      </c>
      <c r="F1170">
        <f t="shared" si="39"/>
        <v>0.5</v>
      </c>
    </row>
    <row r="1171" spans="1:6">
      <c r="A1171" s="30">
        <f t="shared" si="38"/>
        <v>44261</v>
      </c>
      <c r="B1171" s="32" t="s">
        <v>199</v>
      </c>
      <c r="C1171" t="s">
        <v>207</v>
      </c>
      <c r="D1171">
        <f>IF(B1171=$AB$2,$AC$2,$AC$3)</f>
        <v>1</v>
      </c>
      <c r="E1171">
        <f>IF(ISBLANK(C1171),0,VLOOKUP(C1171,$AE$2:$AF$7,2,0))</f>
        <v>0.5</v>
      </c>
      <c r="F1171">
        <f t="shared" si="39"/>
        <v>0.5</v>
      </c>
    </row>
    <row r="1172" spans="1:6">
      <c r="A1172" s="30">
        <f t="shared" si="38"/>
        <v>44262</v>
      </c>
      <c r="B1172" s="32" t="s">
        <v>199</v>
      </c>
      <c r="C1172" t="s">
        <v>207</v>
      </c>
      <c r="D1172">
        <f>IF(B1172=$AB$2,$AC$2,$AC$3)</f>
        <v>1</v>
      </c>
      <c r="E1172">
        <f>IF(ISBLANK(C1172),0,VLOOKUP(C1172,$AE$2:$AF$7,2,0))</f>
        <v>0.5</v>
      </c>
      <c r="F1172">
        <f t="shared" si="39"/>
        <v>0.5</v>
      </c>
    </row>
    <row r="1173" spans="1:6">
      <c r="A1173" s="30">
        <f t="shared" si="38"/>
        <v>44263</v>
      </c>
      <c r="B1173" s="32" t="s">
        <v>199</v>
      </c>
      <c r="C1173" t="s">
        <v>207</v>
      </c>
      <c r="D1173">
        <f>IF(B1173=$AB$2,$AC$2,$AC$3)</f>
        <v>1</v>
      </c>
      <c r="E1173">
        <f>IF(ISBLANK(C1173),0,VLOOKUP(C1173,$AE$2:$AF$7,2,0))</f>
        <v>0.5</v>
      </c>
      <c r="F1173">
        <f t="shared" si="39"/>
        <v>0.5</v>
      </c>
    </row>
    <row r="1174" spans="1:6">
      <c r="A1174" s="30">
        <f t="shared" si="38"/>
        <v>44264</v>
      </c>
      <c r="B1174" s="32" t="s">
        <v>199</v>
      </c>
      <c r="C1174" t="s">
        <v>207</v>
      </c>
      <c r="D1174">
        <f>IF(B1174=$AB$2,$AC$2,$AC$3)</f>
        <v>1</v>
      </c>
      <c r="E1174">
        <f>IF(ISBLANK(C1174),0,VLOOKUP(C1174,$AE$2:$AF$7,2,0))</f>
        <v>0.5</v>
      </c>
      <c r="F1174">
        <f t="shared" si="39"/>
        <v>0.5</v>
      </c>
    </row>
    <row r="1175" spans="1:6">
      <c r="A1175" s="30">
        <f t="shared" si="38"/>
        <v>44265</v>
      </c>
      <c r="B1175" s="32" t="s">
        <v>199</v>
      </c>
      <c r="C1175" t="s">
        <v>207</v>
      </c>
      <c r="D1175">
        <f>IF(B1175=$AB$2,$AC$2,$AC$3)</f>
        <v>1</v>
      </c>
      <c r="E1175">
        <f>IF(ISBLANK(C1175),0,VLOOKUP(C1175,$AE$2:$AF$7,2,0))</f>
        <v>0.5</v>
      </c>
      <c r="F1175">
        <f t="shared" si="39"/>
        <v>0.5</v>
      </c>
    </row>
    <row r="1176" spans="1:6">
      <c r="A1176" s="30">
        <f t="shared" si="38"/>
        <v>44266</v>
      </c>
      <c r="B1176" s="32" t="s">
        <v>199</v>
      </c>
      <c r="C1176" t="s">
        <v>207</v>
      </c>
      <c r="D1176">
        <f>IF(B1176=$AB$2,$AC$2,$AC$3)</f>
        <v>1</v>
      </c>
      <c r="E1176">
        <f>IF(ISBLANK(C1176),0,VLOOKUP(C1176,$AE$2:$AF$7,2,0))</f>
        <v>0.5</v>
      </c>
      <c r="F1176">
        <f t="shared" si="39"/>
        <v>0.5</v>
      </c>
    </row>
    <row r="1177" spans="1:6">
      <c r="A1177" s="30">
        <f t="shared" si="38"/>
        <v>44267</v>
      </c>
      <c r="B1177" s="32" t="s">
        <v>199</v>
      </c>
      <c r="C1177" t="s">
        <v>207</v>
      </c>
      <c r="D1177">
        <f>IF(B1177=$AB$2,$AC$2,$AC$3)</f>
        <v>1</v>
      </c>
      <c r="E1177">
        <f>IF(ISBLANK(C1177),0,VLOOKUP(C1177,$AE$2:$AF$7,2,0))</f>
        <v>0.5</v>
      </c>
      <c r="F1177">
        <f t="shared" si="39"/>
        <v>0.5</v>
      </c>
    </row>
    <row r="1178" spans="1:6">
      <c r="A1178" s="30">
        <f t="shared" si="38"/>
        <v>44268</v>
      </c>
      <c r="B1178" s="32" t="s">
        <v>199</v>
      </c>
      <c r="C1178" t="s">
        <v>207</v>
      </c>
      <c r="D1178">
        <f>IF(B1178=$AB$2,$AC$2,$AC$3)</f>
        <v>1</v>
      </c>
      <c r="E1178">
        <f>IF(ISBLANK(C1178),0,VLOOKUP(C1178,$AE$2:$AF$7,2,0))</f>
        <v>0.5</v>
      </c>
      <c r="F1178">
        <f t="shared" si="39"/>
        <v>0.5</v>
      </c>
    </row>
    <row r="1179" spans="1:6">
      <c r="A1179" s="30">
        <f t="shared" si="38"/>
        <v>44269</v>
      </c>
      <c r="B1179" s="32" t="s">
        <v>199</v>
      </c>
      <c r="C1179" t="s">
        <v>207</v>
      </c>
      <c r="D1179">
        <f>IF(B1179=$AB$2,$AC$2,$AC$3)</f>
        <v>1</v>
      </c>
      <c r="E1179">
        <f>IF(ISBLANK(C1179),0,VLOOKUP(C1179,$AE$2:$AF$7,2,0))</f>
        <v>0.5</v>
      </c>
      <c r="F1179">
        <f t="shared" si="39"/>
        <v>0.5</v>
      </c>
    </row>
    <row r="1180" spans="1:6">
      <c r="A1180" s="30">
        <f t="shared" si="38"/>
        <v>44270</v>
      </c>
      <c r="B1180" s="32" t="s">
        <v>199</v>
      </c>
      <c r="C1180" t="s">
        <v>207</v>
      </c>
      <c r="D1180">
        <f>IF(B1180=$AB$2,$AC$2,$AC$3)</f>
        <v>1</v>
      </c>
      <c r="E1180">
        <f>IF(ISBLANK(C1180),0,VLOOKUP(C1180,$AE$2:$AF$7,2,0))</f>
        <v>0.5</v>
      </c>
      <c r="F1180">
        <f t="shared" si="39"/>
        <v>0.5</v>
      </c>
    </row>
    <row r="1181" spans="1:6">
      <c r="A1181" s="30">
        <f t="shared" si="38"/>
        <v>44271</v>
      </c>
      <c r="B1181" s="32" t="s">
        <v>199</v>
      </c>
      <c r="C1181" t="s">
        <v>207</v>
      </c>
      <c r="D1181">
        <f>IF(B1181=$AB$2,$AC$2,$AC$3)</f>
        <v>1</v>
      </c>
      <c r="E1181">
        <f>IF(ISBLANK(C1181),0,VLOOKUP(C1181,$AE$2:$AF$7,2,0))</f>
        <v>0.5</v>
      </c>
      <c r="F1181">
        <f t="shared" si="39"/>
        <v>0.5</v>
      </c>
    </row>
    <row r="1182" spans="1:6">
      <c r="A1182" s="30">
        <f t="shared" si="38"/>
        <v>44272</v>
      </c>
      <c r="B1182" s="32" t="s">
        <v>199</v>
      </c>
      <c r="C1182" t="s">
        <v>207</v>
      </c>
      <c r="D1182">
        <f>IF(B1182=$AB$2,$AC$2,$AC$3)</f>
        <v>1</v>
      </c>
      <c r="E1182">
        <f>IF(ISBLANK(C1182),0,VLOOKUP(C1182,$AE$2:$AF$7,2,0))</f>
        <v>0.5</v>
      </c>
      <c r="F1182">
        <f t="shared" si="39"/>
        <v>0.5</v>
      </c>
    </row>
    <row r="1183" spans="1:6">
      <c r="A1183" s="30">
        <f t="shared" si="38"/>
        <v>44273</v>
      </c>
      <c r="B1183" s="32" t="s">
        <v>199</v>
      </c>
      <c r="C1183" t="s">
        <v>207</v>
      </c>
      <c r="D1183">
        <f>IF(B1183=$AB$2,$AC$2,$AC$3)</f>
        <v>1</v>
      </c>
      <c r="E1183">
        <f>IF(ISBLANK(C1183),0,VLOOKUP(C1183,$AE$2:$AF$7,2,0))</f>
        <v>0.5</v>
      </c>
      <c r="F1183">
        <f t="shared" si="39"/>
        <v>0.5</v>
      </c>
    </row>
    <row r="1184" spans="1:6">
      <c r="A1184" s="30">
        <f t="shared" si="38"/>
        <v>44274</v>
      </c>
      <c r="B1184" s="32" t="s">
        <v>199</v>
      </c>
      <c r="C1184" t="s">
        <v>207</v>
      </c>
      <c r="D1184">
        <f>IF(B1184=$AB$2,$AC$2,$AC$3)</f>
        <v>1</v>
      </c>
      <c r="E1184">
        <f>IF(ISBLANK(C1184),0,VLOOKUP(C1184,$AE$2:$AF$7,2,0))</f>
        <v>0.5</v>
      </c>
      <c r="F1184">
        <f t="shared" si="39"/>
        <v>0.5</v>
      </c>
    </row>
    <row r="1185" spans="1:6">
      <c r="A1185" s="30">
        <f t="shared" si="38"/>
        <v>44275</v>
      </c>
      <c r="B1185" s="32" t="s">
        <v>199</v>
      </c>
      <c r="C1185" t="s">
        <v>207</v>
      </c>
      <c r="D1185">
        <f>IF(B1185=$AB$2,$AC$2,$AC$3)</f>
        <v>1</v>
      </c>
      <c r="E1185">
        <f>IF(ISBLANK(C1185),0,VLOOKUP(C1185,$AE$2:$AF$7,2,0))</f>
        <v>0.5</v>
      </c>
      <c r="F1185">
        <f t="shared" si="39"/>
        <v>0.5</v>
      </c>
    </row>
    <row r="1186" spans="1:6">
      <c r="A1186" s="30">
        <f t="shared" si="38"/>
        <v>44276</v>
      </c>
      <c r="B1186" s="32" t="s">
        <v>199</v>
      </c>
      <c r="C1186" t="s">
        <v>207</v>
      </c>
      <c r="D1186">
        <f>IF(B1186=$AB$2,$AC$2,$AC$3)</f>
        <v>1</v>
      </c>
      <c r="E1186">
        <f>IF(ISBLANK(C1186),0,VLOOKUP(C1186,$AE$2:$AF$7,2,0))</f>
        <v>0.5</v>
      </c>
      <c r="F1186">
        <f t="shared" si="39"/>
        <v>0.5</v>
      </c>
    </row>
    <row r="1187" spans="1:6">
      <c r="A1187" s="30">
        <f t="shared" si="38"/>
        <v>44277</v>
      </c>
      <c r="B1187" s="32" t="s">
        <v>199</v>
      </c>
      <c r="C1187" t="s">
        <v>207</v>
      </c>
      <c r="D1187">
        <f>IF(B1187=$AB$2,$AC$2,$AC$3)</f>
        <v>1</v>
      </c>
      <c r="E1187">
        <f>IF(ISBLANK(C1187),0,VLOOKUP(C1187,$AE$2:$AF$7,2,0))</f>
        <v>0.5</v>
      </c>
      <c r="F1187">
        <f t="shared" si="39"/>
        <v>0.5</v>
      </c>
    </row>
    <row r="1188" spans="1:6">
      <c r="A1188" s="30">
        <f t="shared" si="38"/>
        <v>44278</v>
      </c>
      <c r="B1188" s="32" t="s">
        <v>199</v>
      </c>
      <c r="C1188" t="s">
        <v>207</v>
      </c>
      <c r="D1188">
        <f>IF(B1188=$AB$2,$AC$2,$AC$3)</f>
        <v>1</v>
      </c>
      <c r="E1188">
        <f>IF(ISBLANK(C1188),0,VLOOKUP(C1188,$AE$2:$AF$7,2,0))</f>
        <v>0.5</v>
      </c>
      <c r="F1188">
        <f t="shared" si="39"/>
        <v>0.5</v>
      </c>
    </row>
    <row r="1189" spans="1:6">
      <c r="A1189" s="30">
        <f t="shared" si="38"/>
        <v>44279</v>
      </c>
      <c r="B1189" s="32" t="s">
        <v>199</v>
      </c>
      <c r="C1189" t="s">
        <v>207</v>
      </c>
      <c r="D1189">
        <f>IF(B1189=$AB$2,$AC$2,$AC$3)</f>
        <v>1</v>
      </c>
      <c r="E1189">
        <f>IF(ISBLANK(C1189),0,VLOOKUP(C1189,$AE$2:$AF$7,2,0))</f>
        <v>0.5</v>
      </c>
      <c r="F1189">
        <f t="shared" si="39"/>
        <v>0.5</v>
      </c>
    </row>
    <row r="1190" spans="1:6">
      <c r="A1190" s="30">
        <f t="shared" si="38"/>
        <v>44280</v>
      </c>
      <c r="B1190" s="32" t="s">
        <v>199</v>
      </c>
      <c r="C1190" t="s">
        <v>207</v>
      </c>
      <c r="D1190">
        <f>IF(B1190=$AB$2,$AC$2,$AC$3)</f>
        <v>1</v>
      </c>
      <c r="E1190">
        <f>IF(ISBLANK(C1190),0,VLOOKUP(C1190,$AE$2:$AF$7,2,0))</f>
        <v>0.5</v>
      </c>
      <c r="F1190">
        <f t="shared" si="39"/>
        <v>0.5</v>
      </c>
    </row>
    <row r="1191" spans="1:6">
      <c r="A1191" s="30">
        <f t="shared" si="38"/>
        <v>44281</v>
      </c>
      <c r="B1191" s="32" t="s">
        <v>199</v>
      </c>
      <c r="C1191" t="s">
        <v>207</v>
      </c>
      <c r="D1191">
        <f>IF(B1191=$AB$2,$AC$2,$AC$3)</f>
        <v>1</v>
      </c>
      <c r="E1191">
        <f>IF(ISBLANK(C1191),0,VLOOKUP(C1191,$AE$2:$AF$7,2,0))</f>
        <v>0.5</v>
      </c>
      <c r="F1191">
        <f t="shared" si="39"/>
        <v>0.5</v>
      </c>
    </row>
    <row r="1192" spans="1:6">
      <c r="A1192" s="30">
        <f t="shared" si="38"/>
        <v>44282</v>
      </c>
      <c r="B1192" s="32" t="s">
        <v>199</v>
      </c>
      <c r="C1192" t="s">
        <v>207</v>
      </c>
      <c r="D1192">
        <f>IF(B1192=$AB$2,$AC$2,$AC$3)</f>
        <v>1</v>
      </c>
      <c r="E1192">
        <f>IF(ISBLANK(C1192),0,VLOOKUP(C1192,$AE$2:$AF$7,2,0))</f>
        <v>0.5</v>
      </c>
      <c r="F1192">
        <f t="shared" si="39"/>
        <v>0.5</v>
      </c>
    </row>
    <row r="1193" spans="1:6">
      <c r="A1193" s="30">
        <f t="shared" si="38"/>
        <v>44283</v>
      </c>
      <c r="B1193" s="32" t="s">
        <v>199</v>
      </c>
      <c r="C1193" t="s">
        <v>207</v>
      </c>
      <c r="D1193">
        <f>IF(B1193=$AB$2,$AC$2,$AC$3)</f>
        <v>1</v>
      </c>
      <c r="E1193">
        <f>IF(ISBLANK(C1193),0,VLOOKUP(C1193,$AE$2:$AF$7,2,0))</f>
        <v>0.5</v>
      </c>
      <c r="F1193">
        <f t="shared" si="39"/>
        <v>0.5</v>
      </c>
    </row>
    <row r="1194" spans="1:6">
      <c r="A1194" s="30">
        <f t="shared" si="38"/>
        <v>44284</v>
      </c>
      <c r="B1194" s="32" t="s">
        <v>199</v>
      </c>
      <c r="C1194" t="s">
        <v>207</v>
      </c>
      <c r="D1194">
        <f>IF(B1194=$AB$2,$AC$2,$AC$3)</f>
        <v>1</v>
      </c>
      <c r="E1194">
        <f>IF(ISBLANK(C1194),0,VLOOKUP(C1194,$AE$2:$AF$7,2,0))</f>
        <v>0.5</v>
      </c>
      <c r="F1194">
        <f t="shared" si="39"/>
        <v>0.5</v>
      </c>
    </row>
    <row r="1195" spans="1:6">
      <c r="A1195" s="30">
        <f t="shared" si="38"/>
        <v>44285</v>
      </c>
      <c r="B1195" s="32" t="s">
        <v>199</v>
      </c>
      <c r="C1195" t="s">
        <v>207</v>
      </c>
      <c r="D1195">
        <f>IF(B1195=$AB$2,$AC$2,$AC$3)</f>
        <v>1</v>
      </c>
      <c r="E1195">
        <f>IF(ISBLANK(C1195),0,VLOOKUP(C1195,$AE$2:$AF$7,2,0))</f>
        <v>0.5</v>
      </c>
      <c r="F1195">
        <f t="shared" si="39"/>
        <v>0.5</v>
      </c>
    </row>
    <row r="1196" spans="1:6">
      <c r="A1196" s="30">
        <f t="shared" si="38"/>
        <v>44286</v>
      </c>
      <c r="B1196" s="32" t="s">
        <v>199</v>
      </c>
      <c r="C1196" t="s">
        <v>207</v>
      </c>
      <c r="D1196">
        <f>IF(B1196=$AB$2,$AC$2,$AC$3)</f>
        <v>1</v>
      </c>
      <c r="E1196">
        <f>IF(ISBLANK(C1196),0,VLOOKUP(C1196,$AE$2:$AF$7,2,0))</f>
        <v>0.5</v>
      </c>
      <c r="F1196">
        <f t="shared" si="39"/>
        <v>0.5</v>
      </c>
    </row>
    <row r="1197" spans="1:6">
      <c r="A1197" s="30">
        <f t="shared" si="38"/>
        <v>44287</v>
      </c>
      <c r="B1197" s="32" t="s">
        <v>199</v>
      </c>
      <c r="C1197" t="s">
        <v>207</v>
      </c>
      <c r="D1197">
        <f>IF(B1197=$AB$2,$AC$2,$AC$3)</f>
        <v>1</v>
      </c>
      <c r="E1197">
        <f>IF(ISBLANK(C1197),0,VLOOKUP(C1197,$AE$2:$AF$7,2,0))</f>
        <v>0.5</v>
      </c>
      <c r="F1197">
        <f t="shared" si="39"/>
        <v>0.5</v>
      </c>
    </row>
    <row r="1198" spans="1:6">
      <c r="A1198" s="30">
        <f t="shared" si="38"/>
        <v>44288</v>
      </c>
      <c r="B1198" s="32" t="s">
        <v>199</v>
      </c>
      <c r="C1198" t="s">
        <v>207</v>
      </c>
      <c r="D1198">
        <f>IF(B1198=$AB$2,$AC$2,$AC$3)</f>
        <v>1</v>
      </c>
      <c r="E1198">
        <f>IF(ISBLANK(C1198),0,VLOOKUP(C1198,$AE$2:$AF$7,2,0))</f>
        <v>0.5</v>
      </c>
      <c r="F1198">
        <f t="shared" si="39"/>
        <v>0.5</v>
      </c>
    </row>
    <row r="1199" spans="1:6">
      <c r="A1199" s="30">
        <f t="shared" si="38"/>
        <v>44289</v>
      </c>
      <c r="B1199" s="32" t="s">
        <v>199</v>
      </c>
      <c r="C1199" t="s">
        <v>207</v>
      </c>
      <c r="D1199">
        <f>IF(B1199=$AB$2,$AC$2,$AC$3)</f>
        <v>1</v>
      </c>
      <c r="E1199">
        <f>IF(ISBLANK(C1199),0,VLOOKUP(C1199,$AE$2:$AF$7,2,0))</f>
        <v>0.5</v>
      </c>
      <c r="F1199">
        <f t="shared" si="39"/>
        <v>0.5</v>
      </c>
    </row>
    <row r="1200" spans="1:6">
      <c r="A1200" s="30">
        <f t="shared" si="38"/>
        <v>44290</v>
      </c>
      <c r="B1200" s="32" t="s">
        <v>199</v>
      </c>
      <c r="C1200" t="s">
        <v>207</v>
      </c>
      <c r="D1200">
        <f>IF(B1200=$AB$2,$AC$2,$AC$3)</f>
        <v>1</v>
      </c>
      <c r="E1200">
        <f>IF(ISBLANK(C1200),0,VLOOKUP(C1200,$AE$2:$AF$7,2,0))</f>
        <v>0.5</v>
      </c>
      <c r="F1200">
        <f t="shared" si="39"/>
        <v>0.5</v>
      </c>
    </row>
    <row r="1201" spans="1:6">
      <c r="A1201" s="30">
        <f t="shared" si="38"/>
        <v>44291</v>
      </c>
      <c r="B1201" s="32" t="s">
        <v>199</v>
      </c>
      <c r="C1201" t="s">
        <v>207</v>
      </c>
      <c r="D1201">
        <f>IF(B1201=$AB$2,$AC$2,$AC$3)</f>
        <v>1</v>
      </c>
      <c r="E1201">
        <f>IF(ISBLANK(C1201),0,VLOOKUP(C1201,$AE$2:$AF$7,2,0))</f>
        <v>0.5</v>
      </c>
      <c r="F1201">
        <f t="shared" si="39"/>
        <v>0.5</v>
      </c>
    </row>
    <row r="1202" spans="1:6">
      <c r="A1202" s="30">
        <f t="shared" si="38"/>
        <v>44292</v>
      </c>
      <c r="B1202" s="32" t="s">
        <v>199</v>
      </c>
      <c r="C1202" t="s">
        <v>207</v>
      </c>
      <c r="D1202">
        <f>IF(B1202=$AB$2,$AC$2,$AC$3)</f>
        <v>1</v>
      </c>
      <c r="E1202">
        <f>IF(ISBLANK(C1202),0,VLOOKUP(C1202,$AE$2:$AF$7,2,0))</f>
        <v>0.5</v>
      </c>
      <c r="F1202">
        <f t="shared" si="39"/>
        <v>0.5</v>
      </c>
    </row>
    <row r="1203" spans="1:6">
      <c r="A1203" s="30">
        <f t="shared" si="38"/>
        <v>44293</v>
      </c>
      <c r="B1203" s="32" t="s">
        <v>199</v>
      </c>
      <c r="C1203" t="s">
        <v>207</v>
      </c>
      <c r="D1203">
        <f>IF(B1203=$AB$2,$AC$2,$AC$3)</f>
        <v>1</v>
      </c>
      <c r="E1203">
        <f>IF(ISBLANK(C1203),0,VLOOKUP(C1203,$AE$2:$AF$7,2,0))</f>
        <v>0.5</v>
      </c>
      <c r="F1203">
        <f t="shared" si="39"/>
        <v>0.5</v>
      </c>
    </row>
    <row r="1204" spans="1:6">
      <c r="A1204" s="30">
        <f t="shared" si="38"/>
        <v>44294</v>
      </c>
      <c r="B1204" s="32" t="s">
        <v>199</v>
      </c>
      <c r="C1204" t="s">
        <v>207</v>
      </c>
      <c r="D1204">
        <f>IF(B1204=$AB$2,$AC$2,$AC$3)</f>
        <v>1</v>
      </c>
      <c r="E1204">
        <f>IF(ISBLANK(C1204),0,VLOOKUP(C1204,$AE$2:$AF$7,2,0))</f>
        <v>0.5</v>
      </c>
      <c r="F1204">
        <f t="shared" si="39"/>
        <v>0.5</v>
      </c>
    </row>
    <row r="1205" spans="1:6">
      <c r="A1205" s="30">
        <f t="shared" si="38"/>
        <v>44295</v>
      </c>
      <c r="B1205" s="32" t="s">
        <v>199</v>
      </c>
      <c r="C1205" t="s">
        <v>207</v>
      </c>
      <c r="D1205">
        <f>IF(B1205=$AB$2,$AC$2,$AC$3)</f>
        <v>1</v>
      </c>
      <c r="E1205">
        <f>IF(ISBLANK(C1205),0,VLOOKUP(C1205,$AE$2:$AF$7,2,0))</f>
        <v>0.5</v>
      </c>
      <c r="F1205">
        <f t="shared" si="39"/>
        <v>0.5</v>
      </c>
    </row>
    <row r="1206" spans="1:6">
      <c r="A1206" s="30">
        <f t="shared" si="38"/>
        <v>44296</v>
      </c>
      <c r="B1206" s="32" t="s">
        <v>199</v>
      </c>
      <c r="C1206" t="s">
        <v>207</v>
      </c>
      <c r="D1206">
        <f>IF(B1206=$AB$2,$AC$2,$AC$3)</f>
        <v>1</v>
      </c>
      <c r="E1206">
        <f>IF(ISBLANK(C1206),0,VLOOKUP(C1206,$AE$2:$AF$7,2,0))</f>
        <v>0.5</v>
      </c>
      <c r="F1206">
        <f t="shared" si="39"/>
        <v>0.5</v>
      </c>
    </row>
    <row r="1207" spans="1:6">
      <c r="A1207" s="30">
        <f t="shared" si="38"/>
        <v>44297</v>
      </c>
      <c r="B1207" s="32" t="s">
        <v>199</v>
      </c>
      <c r="C1207" t="s">
        <v>207</v>
      </c>
      <c r="D1207">
        <f>IF(B1207=$AB$2,$AC$2,$AC$3)</f>
        <v>1</v>
      </c>
      <c r="E1207">
        <f>IF(ISBLANK(C1207),0,VLOOKUP(C1207,$AE$2:$AF$7,2,0))</f>
        <v>0.5</v>
      </c>
      <c r="F1207">
        <f t="shared" si="39"/>
        <v>0.5</v>
      </c>
    </row>
    <row r="1208" spans="1:6">
      <c r="A1208" s="30">
        <f t="shared" ref="A1208:A1256" si="40">A1207+1</f>
        <v>44298</v>
      </c>
      <c r="B1208" s="32" t="s">
        <v>199</v>
      </c>
      <c r="C1208" t="s">
        <v>207</v>
      </c>
      <c r="D1208">
        <f>IF(B1208=$AB$2,$AC$2,$AC$3)</f>
        <v>1</v>
      </c>
      <c r="E1208">
        <f>IF(ISBLANK(C1208),0,VLOOKUP(C1208,$AE$2:$AF$7,2,0))</f>
        <v>0.5</v>
      </c>
      <c r="F1208">
        <f t="shared" si="39"/>
        <v>0.5</v>
      </c>
    </row>
    <row r="1209" spans="1:6">
      <c r="A1209" s="30">
        <f t="shared" si="40"/>
        <v>44299</v>
      </c>
      <c r="B1209" s="32" t="s">
        <v>199</v>
      </c>
      <c r="C1209" t="s">
        <v>207</v>
      </c>
      <c r="D1209">
        <f>IF(B1209=$AB$2,$AC$2,$AC$3)</f>
        <v>1</v>
      </c>
      <c r="E1209">
        <f>IF(ISBLANK(C1209),0,VLOOKUP(C1209,$AE$2:$AF$7,2,0))</f>
        <v>0.5</v>
      </c>
      <c r="F1209">
        <f t="shared" si="39"/>
        <v>0.5</v>
      </c>
    </row>
    <row r="1210" spans="1:6">
      <c r="A1210" s="30">
        <f t="shared" si="40"/>
        <v>44300</v>
      </c>
      <c r="B1210" s="32" t="s">
        <v>199</v>
      </c>
      <c r="C1210" t="s">
        <v>207</v>
      </c>
      <c r="D1210">
        <f>IF(B1210=$AB$2,$AC$2,$AC$3)</f>
        <v>1</v>
      </c>
      <c r="E1210">
        <f>IF(ISBLANK(C1210),0,VLOOKUP(C1210,$AE$2:$AF$7,2,0))</f>
        <v>0.5</v>
      </c>
      <c r="F1210">
        <f t="shared" si="39"/>
        <v>0.5</v>
      </c>
    </row>
    <row r="1211" spans="1:6">
      <c r="A1211" s="30">
        <f t="shared" si="40"/>
        <v>44301</v>
      </c>
      <c r="B1211" s="32" t="s">
        <v>199</v>
      </c>
      <c r="C1211" t="s">
        <v>207</v>
      </c>
      <c r="D1211">
        <f>IF(B1211=$AB$2,$AC$2,$AC$3)</f>
        <v>1</v>
      </c>
      <c r="E1211">
        <f>IF(ISBLANK(C1211),0,VLOOKUP(C1211,$AE$2:$AF$7,2,0))</f>
        <v>0.5</v>
      </c>
      <c r="F1211">
        <f t="shared" si="39"/>
        <v>0.5</v>
      </c>
    </row>
    <row r="1212" spans="1:6">
      <c r="A1212" s="30">
        <f t="shared" si="40"/>
        <v>44302</v>
      </c>
      <c r="B1212" s="32" t="s">
        <v>199</v>
      </c>
      <c r="C1212" t="s">
        <v>207</v>
      </c>
      <c r="D1212">
        <f>IF(B1212=$AB$2,$AC$2,$AC$3)</f>
        <v>1</v>
      </c>
      <c r="E1212">
        <f>IF(ISBLANK(C1212),0,VLOOKUP(C1212,$AE$2:$AF$7,2,0))</f>
        <v>0.5</v>
      </c>
      <c r="F1212">
        <f t="shared" si="39"/>
        <v>0.5</v>
      </c>
    </row>
    <row r="1213" spans="1:6">
      <c r="A1213" s="30">
        <f t="shared" si="40"/>
        <v>44303</v>
      </c>
      <c r="B1213" s="32" t="s">
        <v>199</v>
      </c>
      <c r="C1213" t="s">
        <v>207</v>
      </c>
      <c r="D1213">
        <f>IF(B1213=$AB$2,$AC$2,$AC$3)</f>
        <v>1</v>
      </c>
      <c r="E1213">
        <f>IF(ISBLANK(C1213),0,VLOOKUP(C1213,$AE$2:$AF$7,2,0))</f>
        <v>0.5</v>
      </c>
      <c r="F1213">
        <f t="shared" si="39"/>
        <v>0.5</v>
      </c>
    </row>
    <row r="1214" spans="1:6">
      <c r="A1214" s="30">
        <f t="shared" si="40"/>
        <v>44304</v>
      </c>
      <c r="B1214" s="32" t="s">
        <v>199</v>
      </c>
      <c r="C1214" t="s">
        <v>207</v>
      </c>
      <c r="D1214">
        <f>IF(B1214=$AB$2,$AC$2,$AC$3)</f>
        <v>1</v>
      </c>
      <c r="E1214">
        <f>IF(ISBLANK(C1214),0,VLOOKUP(C1214,$AE$2:$AF$7,2,0))</f>
        <v>0.5</v>
      </c>
      <c r="F1214">
        <f t="shared" si="39"/>
        <v>0.5</v>
      </c>
    </row>
    <row r="1215" spans="1:6">
      <c r="A1215" s="30">
        <f t="shared" si="40"/>
        <v>44305</v>
      </c>
      <c r="B1215" s="32" t="s">
        <v>199</v>
      </c>
      <c r="C1215" t="s">
        <v>207</v>
      </c>
      <c r="D1215">
        <f>IF(B1215=$AB$2,$AC$2,$AC$3)</f>
        <v>1</v>
      </c>
      <c r="E1215">
        <f>IF(ISBLANK(C1215),0,VLOOKUP(C1215,$AE$2:$AF$7,2,0))</f>
        <v>0.5</v>
      </c>
      <c r="F1215">
        <f t="shared" si="39"/>
        <v>0.5</v>
      </c>
    </row>
    <row r="1216" spans="1:6">
      <c r="A1216" s="30">
        <f t="shared" si="40"/>
        <v>44306</v>
      </c>
      <c r="B1216" s="32" t="s">
        <v>199</v>
      </c>
      <c r="C1216" t="s">
        <v>207</v>
      </c>
      <c r="D1216">
        <f>IF(B1216=$AB$2,$AC$2,$AC$3)</f>
        <v>1</v>
      </c>
      <c r="E1216">
        <f>IF(ISBLANK(C1216),0,VLOOKUP(C1216,$AE$2:$AF$7,2,0))</f>
        <v>0.5</v>
      </c>
      <c r="F1216">
        <f t="shared" si="39"/>
        <v>0.5</v>
      </c>
    </row>
    <row r="1217" spans="1:6">
      <c r="A1217" s="30">
        <f t="shared" si="40"/>
        <v>44307</v>
      </c>
      <c r="B1217" s="32" t="s">
        <v>199</v>
      </c>
      <c r="C1217" t="s">
        <v>207</v>
      </c>
      <c r="D1217">
        <f>IF(B1217=$AB$2,$AC$2,$AC$3)</f>
        <v>1</v>
      </c>
      <c r="E1217">
        <f>IF(ISBLANK(C1217),0,VLOOKUP(C1217,$AE$2:$AF$7,2,0))</f>
        <v>0.5</v>
      </c>
      <c r="F1217">
        <f t="shared" si="39"/>
        <v>0.5</v>
      </c>
    </row>
    <row r="1218" spans="1:6">
      <c r="A1218" s="30">
        <f t="shared" si="40"/>
        <v>44308</v>
      </c>
      <c r="B1218" s="32" t="s">
        <v>199</v>
      </c>
      <c r="C1218" t="s">
        <v>207</v>
      </c>
      <c r="D1218">
        <f>IF(B1218=$AB$2,$AC$2,$AC$3)</f>
        <v>1</v>
      </c>
      <c r="E1218">
        <f>IF(ISBLANK(C1218),0,VLOOKUP(C1218,$AE$2:$AF$7,2,0))</f>
        <v>0.5</v>
      </c>
      <c r="F1218">
        <f t="shared" si="39"/>
        <v>0.5</v>
      </c>
    </row>
    <row r="1219" spans="1:6">
      <c r="A1219" s="30">
        <f t="shared" si="40"/>
        <v>44309</v>
      </c>
      <c r="B1219" s="32" t="s">
        <v>199</v>
      </c>
      <c r="C1219" t="s">
        <v>207</v>
      </c>
      <c r="D1219">
        <f>IF(B1219=$AB$2,$AC$2,$AC$3)</f>
        <v>1</v>
      </c>
      <c r="E1219">
        <f>IF(ISBLANK(C1219),0,VLOOKUP(C1219,$AE$2:$AF$7,2,0))</f>
        <v>0.5</v>
      </c>
      <c r="F1219">
        <f t="shared" ref="F1219:F1282" si="41">D1219*E1219</f>
        <v>0.5</v>
      </c>
    </row>
    <row r="1220" spans="1:6">
      <c r="A1220" s="30">
        <f t="shared" si="40"/>
        <v>44310</v>
      </c>
      <c r="B1220" s="32" t="s">
        <v>199</v>
      </c>
      <c r="C1220" t="s">
        <v>207</v>
      </c>
      <c r="D1220">
        <f>IF(B1220=$AB$2,$AC$2,$AC$3)</f>
        <v>1</v>
      </c>
      <c r="E1220">
        <f>IF(ISBLANK(C1220),0,VLOOKUP(C1220,$AE$2:$AF$7,2,0))</f>
        <v>0.5</v>
      </c>
      <c r="F1220">
        <f t="shared" si="41"/>
        <v>0.5</v>
      </c>
    </row>
    <row r="1221" spans="1:6">
      <c r="A1221" s="30">
        <f t="shared" si="40"/>
        <v>44311</v>
      </c>
      <c r="B1221" s="32" t="s">
        <v>199</v>
      </c>
      <c r="C1221" t="s">
        <v>207</v>
      </c>
      <c r="D1221">
        <f>IF(B1221=$AB$2,$AC$2,$AC$3)</f>
        <v>1</v>
      </c>
      <c r="E1221">
        <f>IF(ISBLANK(C1221),0,VLOOKUP(C1221,$AE$2:$AF$7,2,0))</f>
        <v>0.5</v>
      </c>
      <c r="F1221">
        <f t="shared" si="41"/>
        <v>0.5</v>
      </c>
    </row>
    <row r="1222" spans="1:6">
      <c r="A1222" s="30">
        <f t="shared" si="40"/>
        <v>44312</v>
      </c>
      <c r="B1222" s="32" t="s">
        <v>199</v>
      </c>
      <c r="C1222" t="s">
        <v>207</v>
      </c>
      <c r="D1222">
        <f>IF(B1222=$AB$2,$AC$2,$AC$3)</f>
        <v>1</v>
      </c>
      <c r="E1222">
        <f>IF(ISBLANK(C1222),0,VLOOKUP(C1222,$AE$2:$AF$7,2,0))</f>
        <v>0.5</v>
      </c>
      <c r="F1222">
        <f t="shared" si="41"/>
        <v>0.5</v>
      </c>
    </row>
    <row r="1223" spans="1:6">
      <c r="A1223" s="30">
        <f t="shared" si="40"/>
        <v>44313</v>
      </c>
      <c r="B1223" s="32" t="s">
        <v>199</v>
      </c>
      <c r="C1223" t="s">
        <v>207</v>
      </c>
      <c r="D1223">
        <f>IF(B1223=$AB$2,$AC$2,$AC$3)</f>
        <v>1</v>
      </c>
      <c r="E1223">
        <f>IF(ISBLANK(C1223),0,VLOOKUP(C1223,$AE$2:$AF$7,2,0))</f>
        <v>0.5</v>
      </c>
      <c r="F1223">
        <f t="shared" si="41"/>
        <v>0.5</v>
      </c>
    </row>
    <row r="1224" spans="1:6">
      <c r="A1224" s="30">
        <f t="shared" si="40"/>
        <v>44314</v>
      </c>
      <c r="B1224" s="32" t="s">
        <v>199</v>
      </c>
      <c r="C1224" t="s">
        <v>207</v>
      </c>
      <c r="D1224">
        <f>IF(B1224=$AB$2,$AC$2,$AC$3)</f>
        <v>1</v>
      </c>
      <c r="E1224">
        <f>IF(ISBLANK(C1224),0,VLOOKUP(C1224,$AE$2:$AF$7,2,0))</f>
        <v>0.5</v>
      </c>
      <c r="F1224">
        <f t="shared" si="41"/>
        <v>0.5</v>
      </c>
    </row>
    <row r="1225" spans="1:6">
      <c r="A1225" s="30">
        <f t="shared" si="40"/>
        <v>44315</v>
      </c>
      <c r="B1225" s="32" t="s">
        <v>199</v>
      </c>
      <c r="C1225" t="s">
        <v>207</v>
      </c>
      <c r="D1225">
        <f>IF(B1225=$AB$2,$AC$2,$AC$3)</f>
        <v>1</v>
      </c>
      <c r="E1225">
        <f>IF(ISBLANK(C1225),0,VLOOKUP(C1225,$AE$2:$AF$7,2,0))</f>
        <v>0.5</v>
      </c>
      <c r="F1225">
        <f t="shared" si="41"/>
        <v>0.5</v>
      </c>
    </row>
    <row r="1226" spans="1:6">
      <c r="A1226" s="30">
        <f t="shared" si="40"/>
        <v>44316</v>
      </c>
      <c r="B1226" s="32" t="s">
        <v>199</v>
      </c>
      <c r="C1226" t="s">
        <v>207</v>
      </c>
      <c r="D1226">
        <f>IF(B1226=$AB$2,$AC$2,$AC$3)</f>
        <v>1</v>
      </c>
      <c r="E1226">
        <f>IF(ISBLANK(C1226),0,VLOOKUP(C1226,$AE$2:$AF$7,2,0))</f>
        <v>0.5</v>
      </c>
      <c r="F1226">
        <f t="shared" si="41"/>
        <v>0.5</v>
      </c>
    </row>
    <row r="1227" spans="1:6">
      <c r="A1227" s="30">
        <f t="shared" si="40"/>
        <v>44317</v>
      </c>
      <c r="B1227" s="32" t="s">
        <v>199</v>
      </c>
      <c r="C1227" t="s">
        <v>207</v>
      </c>
      <c r="D1227">
        <f>IF(B1227=$AB$2,$AC$2,$AC$3)</f>
        <v>1</v>
      </c>
      <c r="E1227">
        <f>IF(ISBLANK(C1227),0,VLOOKUP(C1227,$AE$2:$AF$7,2,0))</f>
        <v>0.5</v>
      </c>
      <c r="F1227">
        <f t="shared" si="41"/>
        <v>0.5</v>
      </c>
    </row>
    <row r="1228" spans="1:6">
      <c r="A1228" s="30">
        <f t="shared" si="40"/>
        <v>44318</v>
      </c>
      <c r="B1228" s="32" t="s">
        <v>199</v>
      </c>
      <c r="C1228" t="s">
        <v>207</v>
      </c>
      <c r="D1228">
        <f>IF(B1228=$AB$2,$AC$2,$AC$3)</f>
        <v>1</v>
      </c>
      <c r="E1228">
        <f>IF(ISBLANK(C1228),0,VLOOKUP(C1228,$AE$2:$AF$7,2,0))</f>
        <v>0.5</v>
      </c>
      <c r="F1228">
        <f t="shared" si="41"/>
        <v>0.5</v>
      </c>
    </row>
    <row r="1229" spans="1:6">
      <c r="A1229" s="30">
        <f t="shared" si="40"/>
        <v>44319</v>
      </c>
      <c r="B1229" s="32" t="s">
        <v>199</v>
      </c>
      <c r="C1229" t="s">
        <v>207</v>
      </c>
      <c r="D1229">
        <f>IF(B1229=$AB$2,$AC$2,$AC$3)</f>
        <v>1</v>
      </c>
      <c r="E1229">
        <f>IF(ISBLANK(C1229),0,VLOOKUP(C1229,$AE$2:$AF$7,2,0))</f>
        <v>0.5</v>
      </c>
      <c r="F1229">
        <f t="shared" si="41"/>
        <v>0.5</v>
      </c>
    </row>
    <row r="1230" spans="1:6">
      <c r="A1230" s="30">
        <f t="shared" si="40"/>
        <v>44320</v>
      </c>
      <c r="B1230" s="32" t="s">
        <v>199</v>
      </c>
      <c r="C1230" t="s">
        <v>207</v>
      </c>
      <c r="D1230">
        <f>IF(B1230=$AB$2,$AC$2,$AC$3)</f>
        <v>1</v>
      </c>
      <c r="E1230">
        <f>IF(ISBLANK(C1230),0,VLOOKUP(C1230,$AE$2:$AF$7,2,0))</f>
        <v>0.5</v>
      </c>
      <c r="F1230">
        <f t="shared" si="41"/>
        <v>0.5</v>
      </c>
    </row>
    <row r="1231" spans="1:6">
      <c r="A1231" s="30">
        <f t="shared" si="40"/>
        <v>44321</v>
      </c>
      <c r="B1231" s="32" t="s">
        <v>199</v>
      </c>
      <c r="C1231" t="s">
        <v>207</v>
      </c>
      <c r="D1231">
        <f>IF(B1231=$AB$2,$AC$2,$AC$3)</f>
        <v>1</v>
      </c>
      <c r="E1231">
        <f>IF(ISBLANK(C1231),0,VLOOKUP(C1231,$AE$2:$AF$7,2,0))</f>
        <v>0.5</v>
      </c>
      <c r="F1231">
        <f t="shared" si="41"/>
        <v>0.5</v>
      </c>
    </row>
    <row r="1232" spans="1:6">
      <c r="A1232" s="30">
        <f t="shared" si="40"/>
        <v>44322</v>
      </c>
      <c r="B1232" s="32" t="s">
        <v>199</v>
      </c>
      <c r="C1232" t="s">
        <v>207</v>
      </c>
      <c r="D1232">
        <f>IF(B1232=$AB$2,$AC$2,$AC$3)</f>
        <v>1</v>
      </c>
      <c r="E1232">
        <f>IF(ISBLANK(C1232),0,VLOOKUP(C1232,$AE$2:$AF$7,2,0))</f>
        <v>0.5</v>
      </c>
      <c r="F1232">
        <f t="shared" si="41"/>
        <v>0.5</v>
      </c>
    </row>
    <row r="1233" spans="1:6">
      <c r="A1233" s="30">
        <f t="shared" si="40"/>
        <v>44323</v>
      </c>
      <c r="B1233" s="32" t="s">
        <v>199</v>
      </c>
      <c r="C1233" t="s">
        <v>207</v>
      </c>
      <c r="D1233">
        <f>IF(B1233=$AB$2,$AC$2,$AC$3)</f>
        <v>1</v>
      </c>
      <c r="E1233">
        <f>IF(ISBLANK(C1233),0,VLOOKUP(C1233,$AE$2:$AF$7,2,0))</f>
        <v>0.5</v>
      </c>
      <c r="F1233">
        <f t="shared" si="41"/>
        <v>0.5</v>
      </c>
    </row>
    <row r="1234" spans="1:6">
      <c r="A1234" s="30">
        <f t="shared" si="40"/>
        <v>44324</v>
      </c>
      <c r="B1234" s="32" t="s">
        <v>199</v>
      </c>
      <c r="C1234" t="s">
        <v>207</v>
      </c>
      <c r="D1234">
        <f>IF(B1234=$AB$2,$AC$2,$AC$3)</f>
        <v>1</v>
      </c>
      <c r="E1234">
        <f>IF(ISBLANK(C1234),0,VLOOKUP(C1234,$AE$2:$AF$7,2,0))</f>
        <v>0.5</v>
      </c>
      <c r="F1234">
        <f t="shared" si="41"/>
        <v>0.5</v>
      </c>
    </row>
    <row r="1235" spans="1:6">
      <c r="A1235" s="30">
        <f t="shared" si="40"/>
        <v>44325</v>
      </c>
      <c r="B1235" s="32" t="s">
        <v>199</v>
      </c>
      <c r="C1235" t="s">
        <v>207</v>
      </c>
      <c r="D1235">
        <f>IF(B1235=$AB$2,$AC$2,$AC$3)</f>
        <v>1</v>
      </c>
      <c r="E1235">
        <f>IF(ISBLANK(C1235),0,VLOOKUP(C1235,$AE$2:$AF$7,2,0))</f>
        <v>0.5</v>
      </c>
      <c r="F1235">
        <f t="shared" si="41"/>
        <v>0.5</v>
      </c>
    </row>
    <row r="1236" spans="1:6">
      <c r="A1236" s="30">
        <f t="shared" si="40"/>
        <v>44326</v>
      </c>
      <c r="B1236" s="32" t="s">
        <v>199</v>
      </c>
      <c r="C1236" t="s">
        <v>207</v>
      </c>
      <c r="D1236">
        <f>IF(B1236=$AB$2,$AC$2,$AC$3)</f>
        <v>1</v>
      </c>
      <c r="E1236">
        <f>IF(ISBLANK(C1236),0,VLOOKUP(C1236,$AE$2:$AF$7,2,0))</f>
        <v>0.5</v>
      </c>
      <c r="F1236">
        <f t="shared" si="41"/>
        <v>0.5</v>
      </c>
    </row>
    <row r="1237" spans="1:6">
      <c r="A1237" s="30">
        <f t="shared" si="40"/>
        <v>44327</v>
      </c>
      <c r="B1237" s="32" t="s">
        <v>199</v>
      </c>
      <c r="C1237" t="s">
        <v>207</v>
      </c>
      <c r="D1237">
        <f>IF(B1237=$AB$2,$AC$2,$AC$3)</f>
        <v>1</v>
      </c>
      <c r="E1237">
        <f>IF(ISBLANK(C1237),0,VLOOKUP(C1237,$AE$2:$AF$7,2,0))</f>
        <v>0.5</v>
      </c>
      <c r="F1237">
        <f t="shared" si="41"/>
        <v>0.5</v>
      </c>
    </row>
    <row r="1238" spans="1:6">
      <c r="A1238" s="30">
        <f t="shared" si="40"/>
        <v>44328</v>
      </c>
      <c r="B1238" s="32" t="s">
        <v>199</v>
      </c>
      <c r="C1238" t="s">
        <v>207</v>
      </c>
      <c r="D1238">
        <f>IF(B1238=$AB$2,$AC$2,$AC$3)</f>
        <v>1</v>
      </c>
      <c r="E1238">
        <f>IF(ISBLANK(C1238),0,VLOOKUP(C1238,$AE$2:$AF$7,2,0))</f>
        <v>0.5</v>
      </c>
      <c r="F1238">
        <f t="shared" si="41"/>
        <v>0.5</v>
      </c>
    </row>
    <row r="1239" spans="1:6">
      <c r="A1239" s="30">
        <f t="shared" si="40"/>
        <v>44329</v>
      </c>
      <c r="B1239" s="32" t="s">
        <v>199</v>
      </c>
      <c r="C1239" t="s">
        <v>207</v>
      </c>
      <c r="D1239">
        <f>IF(B1239=$AB$2,$AC$2,$AC$3)</f>
        <v>1</v>
      </c>
      <c r="E1239">
        <f>IF(ISBLANK(C1239),0,VLOOKUP(C1239,$AE$2:$AF$7,2,0))</f>
        <v>0.5</v>
      </c>
      <c r="F1239">
        <f t="shared" si="41"/>
        <v>0.5</v>
      </c>
    </row>
    <row r="1240" spans="1:6">
      <c r="A1240" s="30">
        <f t="shared" si="40"/>
        <v>44330</v>
      </c>
      <c r="B1240" s="32" t="s">
        <v>199</v>
      </c>
      <c r="C1240" t="s">
        <v>207</v>
      </c>
      <c r="D1240">
        <f>IF(B1240=$AB$2,$AC$2,$AC$3)</f>
        <v>1</v>
      </c>
      <c r="E1240">
        <f>IF(ISBLANK(C1240),0,VLOOKUP(C1240,$AE$2:$AF$7,2,0))</f>
        <v>0.5</v>
      </c>
      <c r="F1240">
        <f t="shared" si="41"/>
        <v>0.5</v>
      </c>
    </row>
    <row r="1241" spans="1:6">
      <c r="A1241" s="30">
        <f t="shared" si="40"/>
        <v>44331</v>
      </c>
      <c r="B1241" s="32" t="s">
        <v>199</v>
      </c>
      <c r="C1241" t="s">
        <v>207</v>
      </c>
      <c r="D1241">
        <f>IF(B1241=$AB$2,$AC$2,$AC$3)</f>
        <v>1</v>
      </c>
      <c r="E1241">
        <f>IF(ISBLANK(C1241),0,VLOOKUP(C1241,$AE$2:$AF$7,2,0))</f>
        <v>0.5</v>
      </c>
      <c r="F1241">
        <f t="shared" si="41"/>
        <v>0.5</v>
      </c>
    </row>
    <row r="1242" spans="1:6">
      <c r="A1242" s="30">
        <f t="shared" si="40"/>
        <v>44332</v>
      </c>
      <c r="B1242" s="32" t="s">
        <v>199</v>
      </c>
      <c r="C1242" t="s">
        <v>207</v>
      </c>
      <c r="D1242">
        <f>IF(B1242=$AB$2,$AC$2,$AC$3)</f>
        <v>1</v>
      </c>
      <c r="E1242">
        <f>IF(ISBLANK(C1242),0,VLOOKUP(C1242,$AE$2:$AF$7,2,0))</f>
        <v>0.5</v>
      </c>
      <c r="F1242">
        <f t="shared" si="41"/>
        <v>0.5</v>
      </c>
    </row>
    <row r="1243" spans="1:6">
      <c r="A1243" s="30">
        <f t="shared" si="40"/>
        <v>44333</v>
      </c>
      <c r="B1243" s="32" t="s">
        <v>199</v>
      </c>
      <c r="C1243" t="s">
        <v>207</v>
      </c>
      <c r="D1243">
        <f>IF(B1243=$AB$2,$AC$2,$AC$3)</f>
        <v>1</v>
      </c>
      <c r="E1243">
        <f>IF(ISBLANK(C1243),0,VLOOKUP(C1243,$AE$2:$AF$7,2,0))</f>
        <v>0.5</v>
      </c>
      <c r="F1243">
        <f t="shared" si="41"/>
        <v>0.5</v>
      </c>
    </row>
    <row r="1244" spans="1:6">
      <c r="A1244" s="30">
        <f t="shared" si="40"/>
        <v>44334</v>
      </c>
      <c r="B1244" s="32" t="s">
        <v>199</v>
      </c>
      <c r="C1244" t="s">
        <v>207</v>
      </c>
      <c r="D1244">
        <f>IF(B1244=$AB$2,$AC$2,$AC$3)</f>
        <v>1</v>
      </c>
      <c r="E1244">
        <f>IF(ISBLANK(C1244),0,VLOOKUP(C1244,$AE$2:$AF$7,2,0))</f>
        <v>0.5</v>
      </c>
      <c r="F1244">
        <f t="shared" si="41"/>
        <v>0.5</v>
      </c>
    </row>
    <row r="1245" spans="1:6">
      <c r="A1245" s="30">
        <f t="shared" si="40"/>
        <v>44335</v>
      </c>
      <c r="B1245" s="32" t="s">
        <v>199</v>
      </c>
      <c r="C1245" t="s">
        <v>207</v>
      </c>
      <c r="D1245">
        <f>IF(B1245=$AB$2,$AC$2,$AC$3)</f>
        <v>1</v>
      </c>
      <c r="E1245">
        <f>IF(ISBLANK(C1245),0,VLOOKUP(C1245,$AE$2:$AF$7,2,0))</f>
        <v>0.5</v>
      </c>
      <c r="F1245">
        <f t="shared" si="41"/>
        <v>0.5</v>
      </c>
    </row>
    <row r="1246" spans="1:6">
      <c r="A1246" s="30">
        <f t="shared" si="40"/>
        <v>44336</v>
      </c>
      <c r="B1246" s="32" t="s">
        <v>199</v>
      </c>
      <c r="C1246" t="s">
        <v>207</v>
      </c>
      <c r="D1246">
        <f>IF(B1246=$AB$2,$AC$2,$AC$3)</f>
        <v>1</v>
      </c>
      <c r="E1246">
        <f>IF(ISBLANK(C1246),0,VLOOKUP(C1246,$AE$2:$AF$7,2,0))</f>
        <v>0.5</v>
      </c>
      <c r="F1246">
        <f t="shared" si="41"/>
        <v>0.5</v>
      </c>
    </row>
    <row r="1247" spans="1:6">
      <c r="A1247" s="30">
        <f t="shared" si="40"/>
        <v>44337</v>
      </c>
      <c r="B1247" s="32" t="s">
        <v>199</v>
      </c>
      <c r="C1247" t="s">
        <v>207</v>
      </c>
      <c r="D1247">
        <f>IF(B1247=$AB$2,$AC$2,$AC$3)</f>
        <v>1</v>
      </c>
      <c r="E1247">
        <f>IF(ISBLANK(C1247),0,VLOOKUP(C1247,$AE$2:$AF$7,2,0))</f>
        <v>0.5</v>
      </c>
      <c r="F1247">
        <f t="shared" si="41"/>
        <v>0.5</v>
      </c>
    </row>
    <row r="1248" spans="1:6">
      <c r="A1248" s="30">
        <f t="shared" si="40"/>
        <v>44338</v>
      </c>
      <c r="B1248" s="32" t="s">
        <v>199</v>
      </c>
      <c r="C1248" t="s">
        <v>207</v>
      </c>
      <c r="D1248">
        <f>IF(B1248=$AB$2,$AC$2,$AC$3)</f>
        <v>1</v>
      </c>
      <c r="E1248">
        <f>IF(ISBLANK(C1248),0,VLOOKUP(C1248,$AE$2:$AF$7,2,0))</f>
        <v>0.5</v>
      </c>
      <c r="F1248">
        <f t="shared" si="41"/>
        <v>0.5</v>
      </c>
    </row>
    <row r="1249" spans="1:6">
      <c r="A1249" s="30">
        <f t="shared" si="40"/>
        <v>44339</v>
      </c>
      <c r="B1249" s="32" t="s">
        <v>199</v>
      </c>
      <c r="C1249" t="s">
        <v>207</v>
      </c>
      <c r="D1249">
        <f>IF(B1249=$AB$2,$AC$2,$AC$3)</f>
        <v>1</v>
      </c>
      <c r="E1249">
        <f>IF(ISBLANK(C1249),0,VLOOKUP(C1249,$AE$2:$AF$7,2,0))</f>
        <v>0.5</v>
      </c>
      <c r="F1249">
        <f t="shared" si="41"/>
        <v>0.5</v>
      </c>
    </row>
    <row r="1250" spans="1:6">
      <c r="A1250" s="30">
        <f t="shared" si="40"/>
        <v>44340</v>
      </c>
      <c r="B1250" s="32" t="s">
        <v>199</v>
      </c>
      <c r="C1250" t="s">
        <v>207</v>
      </c>
      <c r="D1250">
        <f>IF(B1250=$AB$2,$AC$2,$AC$3)</f>
        <v>1</v>
      </c>
      <c r="E1250">
        <f>IF(ISBLANK(C1250),0,VLOOKUP(C1250,$AE$2:$AF$7,2,0))</f>
        <v>0.5</v>
      </c>
      <c r="F1250">
        <f t="shared" si="41"/>
        <v>0.5</v>
      </c>
    </row>
    <row r="1251" spans="1:6">
      <c r="A1251" s="30">
        <f t="shared" si="40"/>
        <v>44341</v>
      </c>
      <c r="B1251" s="32" t="s">
        <v>199</v>
      </c>
      <c r="C1251" t="s">
        <v>207</v>
      </c>
      <c r="D1251">
        <f>IF(B1251=$AB$2,$AC$2,$AC$3)</f>
        <v>1</v>
      </c>
      <c r="E1251">
        <f>IF(ISBLANK(C1251),0,VLOOKUP(C1251,$AE$2:$AF$7,2,0))</f>
        <v>0.5</v>
      </c>
      <c r="F1251">
        <f t="shared" si="41"/>
        <v>0.5</v>
      </c>
    </row>
    <row r="1252" spans="1:6">
      <c r="A1252" s="30">
        <f t="shared" si="40"/>
        <v>44342</v>
      </c>
      <c r="B1252" s="32" t="s">
        <v>199</v>
      </c>
      <c r="C1252" t="s">
        <v>207</v>
      </c>
      <c r="D1252">
        <f>IF(B1252=$AB$2,$AC$2,$AC$3)</f>
        <v>1</v>
      </c>
      <c r="E1252">
        <f>IF(ISBLANK(C1252),0,VLOOKUP(C1252,$AE$2:$AF$7,2,0))</f>
        <v>0.5</v>
      </c>
      <c r="F1252">
        <f t="shared" si="41"/>
        <v>0.5</v>
      </c>
    </row>
    <row r="1253" spans="1:6">
      <c r="A1253" s="30">
        <f t="shared" si="40"/>
        <v>44343</v>
      </c>
      <c r="B1253" s="32" t="s">
        <v>199</v>
      </c>
      <c r="C1253" t="s">
        <v>207</v>
      </c>
      <c r="D1253">
        <f>IF(B1253=$AB$2,$AC$2,$AC$3)</f>
        <v>1</v>
      </c>
      <c r="E1253">
        <f>IF(ISBLANK(C1253),0,VLOOKUP(C1253,$AE$2:$AF$7,2,0))</f>
        <v>0.5</v>
      </c>
      <c r="F1253">
        <f t="shared" si="41"/>
        <v>0.5</v>
      </c>
    </row>
    <row r="1254" spans="1:6">
      <c r="A1254" s="30">
        <f t="shared" si="40"/>
        <v>44344</v>
      </c>
      <c r="B1254" s="32" t="s">
        <v>199</v>
      </c>
      <c r="C1254" t="s">
        <v>207</v>
      </c>
      <c r="D1254">
        <f>IF(B1254=$AB$2,$AC$2,$AC$3)</f>
        <v>1</v>
      </c>
      <c r="E1254">
        <f>IF(ISBLANK(C1254),0,VLOOKUP(C1254,$AE$2:$AF$7,2,0))</f>
        <v>0.5</v>
      </c>
      <c r="F1254">
        <f t="shared" si="41"/>
        <v>0.5</v>
      </c>
    </row>
    <row r="1255" spans="1:6">
      <c r="A1255" s="30">
        <f t="shared" si="40"/>
        <v>44345</v>
      </c>
      <c r="B1255" s="32" t="s">
        <v>199</v>
      </c>
      <c r="C1255" t="s">
        <v>207</v>
      </c>
      <c r="D1255">
        <f>IF(B1255=$AB$2,$AC$2,$AC$3)</f>
        <v>1</v>
      </c>
      <c r="E1255">
        <f>IF(ISBLANK(C1255),0,VLOOKUP(C1255,$AE$2:$AF$7,2,0))</f>
        <v>0.5</v>
      </c>
      <c r="F1255">
        <f t="shared" si="41"/>
        <v>0.5</v>
      </c>
    </row>
    <row r="1256" spans="1:6">
      <c r="A1256" s="30">
        <f t="shared" si="40"/>
        <v>44346</v>
      </c>
      <c r="B1256" s="32" t="s">
        <v>199</v>
      </c>
      <c r="C1256" t="s">
        <v>207</v>
      </c>
      <c r="D1256">
        <f>IF(B1256=$AB$2,$AC$2,$AC$3)</f>
        <v>1</v>
      </c>
      <c r="E1256">
        <f>IF(ISBLANK(C1256),0,VLOOKUP(C1256,$AE$2:$AF$7,2,0))</f>
        <v>0.5</v>
      </c>
      <c r="F1256">
        <f t="shared" si="41"/>
        <v>0.5</v>
      </c>
    </row>
    <row r="1257" spans="1:6">
      <c r="A1257" s="30">
        <f>A1256+1</f>
        <v>44347</v>
      </c>
      <c r="B1257" s="32" t="s">
        <v>199</v>
      </c>
      <c r="C1257" t="s">
        <v>207</v>
      </c>
      <c r="D1257">
        <f>IF(B1257=$AB$2,$AC$2,$AC$3)</f>
        <v>1</v>
      </c>
      <c r="E1257">
        <f>IF(ISBLANK(C1257),0,VLOOKUP(C1257,$AE$2:$AF$7,2,0))</f>
        <v>0.5</v>
      </c>
      <c r="F1257">
        <f t="shared" si="41"/>
        <v>0.5</v>
      </c>
    </row>
    <row r="1258" spans="1:6">
      <c r="A1258" s="30">
        <f t="shared" ref="A1258:A1321" si="42">A1257+1</f>
        <v>44348</v>
      </c>
      <c r="B1258" s="32" t="s">
        <v>199</v>
      </c>
      <c r="C1258" t="s">
        <v>207</v>
      </c>
      <c r="D1258">
        <f>IF(B1258=$AB$2,$AC$2,$AC$3)</f>
        <v>1</v>
      </c>
      <c r="E1258">
        <f>IF(ISBLANK(C1258),0,VLOOKUP(C1258,$AE$2:$AF$7,2,0))</f>
        <v>0.5</v>
      </c>
      <c r="F1258">
        <f t="shared" si="41"/>
        <v>0.5</v>
      </c>
    </row>
    <row r="1259" spans="1:6">
      <c r="A1259" s="30">
        <f t="shared" si="42"/>
        <v>44349</v>
      </c>
      <c r="B1259" s="32" t="s">
        <v>199</v>
      </c>
      <c r="C1259" t="s">
        <v>207</v>
      </c>
      <c r="D1259">
        <f>IF(B1259=$AB$2,$AC$2,$AC$3)</f>
        <v>1</v>
      </c>
      <c r="E1259">
        <f>IF(ISBLANK(C1259),0,VLOOKUP(C1259,$AE$2:$AF$7,2,0))</f>
        <v>0.5</v>
      </c>
      <c r="F1259">
        <f t="shared" si="41"/>
        <v>0.5</v>
      </c>
    </row>
    <row r="1260" spans="1:6">
      <c r="A1260" s="30">
        <f t="shared" si="42"/>
        <v>44350</v>
      </c>
      <c r="B1260" s="32" t="s">
        <v>199</v>
      </c>
      <c r="C1260" t="s">
        <v>207</v>
      </c>
      <c r="D1260">
        <f>IF(B1260=$AB$2,$AC$2,$AC$3)</f>
        <v>1</v>
      </c>
      <c r="E1260">
        <f>IF(ISBLANK(C1260),0,VLOOKUP(C1260,$AE$2:$AF$7,2,0))</f>
        <v>0.5</v>
      </c>
      <c r="F1260">
        <f t="shared" si="41"/>
        <v>0.5</v>
      </c>
    </row>
    <row r="1261" spans="1:6">
      <c r="A1261" s="30">
        <f t="shared" si="42"/>
        <v>44351</v>
      </c>
      <c r="B1261" s="32" t="s">
        <v>199</v>
      </c>
      <c r="C1261" t="s">
        <v>207</v>
      </c>
      <c r="D1261">
        <f>IF(B1261=$AB$2,$AC$2,$AC$3)</f>
        <v>1</v>
      </c>
      <c r="E1261">
        <f>IF(ISBLANK(C1261),0,VLOOKUP(C1261,$AE$2:$AF$7,2,0))</f>
        <v>0.5</v>
      </c>
      <c r="F1261">
        <f t="shared" si="41"/>
        <v>0.5</v>
      </c>
    </row>
    <row r="1262" spans="1:6">
      <c r="A1262" s="30">
        <f t="shared" si="42"/>
        <v>44352</v>
      </c>
      <c r="B1262" s="32" t="s">
        <v>199</v>
      </c>
      <c r="C1262" t="s">
        <v>207</v>
      </c>
      <c r="D1262">
        <f>IF(B1262=$AB$2,$AC$2,$AC$3)</f>
        <v>1</v>
      </c>
      <c r="E1262">
        <f>IF(ISBLANK(C1262),0,VLOOKUP(C1262,$AE$2:$AF$7,2,0))</f>
        <v>0.5</v>
      </c>
      <c r="F1262">
        <f t="shared" si="41"/>
        <v>0.5</v>
      </c>
    </row>
    <row r="1263" spans="1:6">
      <c r="A1263" s="30">
        <f t="shared" si="42"/>
        <v>44353</v>
      </c>
      <c r="B1263" s="32" t="s">
        <v>199</v>
      </c>
      <c r="C1263" t="s">
        <v>207</v>
      </c>
      <c r="D1263">
        <f>IF(B1263=$AB$2,$AC$2,$AC$3)</f>
        <v>1</v>
      </c>
      <c r="E1263">
        <f>IF(ISBLANK(C1263),0,VLOOKUP(C1263,$AE$2:$AF$7,2,0))</f>
        <v>0.5</v>
      </c>
      <c r="F1263">
        <f t="shared" si="41"/>
        <v>0.5</v>
      </c>
    </row>
    <row r="1264" spans="1:6">
      <c r="A1264" s="30">
        <f t="shared" si="42"/>
        <v>44354</v>
      </c>
      <c r="B1264" s="32" t="s">
        <v>199</v>
      </c>
      <c r="C1264" t="s">
        <v>207</v>
      </c>
      <c r="D1264">
        <f>IF(B1264=$AB$2,$AC$2,$AC$3)</f>
        <v>1</v>
      </c>
      <c r="E1264">
        <f>IF(ISBLANK(C1264),0,VLOOKUP(C1264,$AE$2:$AF$7,2,0))</f>
        <v>0.5</v>
      </c>
      <c r="F1264">
        <f t="shared" si="41"/>
        <v>0.5</v>
      </c>
    </row>
    <row r="1265" spans="1:6">
      <c r="A1265" s="30">
        <f t="shared" si="42"/>
        <v>44355</v>
      </c>
      <c r="B1265" s="32" t="s">
        <v>199</v>
      </c>
      <c r="C1265" t="s">
        <v>207</v>
      </c>
      <c r="D1265">
        <f>IF(B1265=$AB$2,$AC$2,$AC$3)</f>
        <v>1</v>
      </c>
      <c r="E1265">
        <f>IF(ISBLANK(C1265),0,VLOOKUP(C1265,$AE$2:$AF$7,2,0))</f>
        <v>0.5</v>
      </c>
      <c r="F1265">
        <f t="shared" si="41"/>
        <v>0.5</v>
      </c>
    </row>
    <row r="1266" spans="1:6">
      <c r="A1266" s="30">
        <f t="shared" si="42"/>
        <v>44356</v>
      </c>
      <c r="B1266" s="32" t="s">
        <v>199</v>
      </c>
      <c r="C1266" t="s">
        <v>207</v>
      </c>
      <c r="D1266">
        <f>IF(B1266=$AB$2,$AC$2,$AC$3)</f>
        <v>1</v>
      </c>
      <c r="E1266">
        <f>IF(ISBLANK(C1266),0,VLOOKUP(C1266,$AE$2:$AF$7,2,0))</f>
        <v>0.5</v>
      </c>
      <c r="F1266">
        <f t="shared" si="41"/>
        <v>0.5</v>
      </c>
    </row>
    <row r="1267" spans="1:6">
      <c r="A1267" s="30">
        <f t="shared" si="42"/>
        <v>44357</v>
      </c>
      <c r="B1267" s="32" t="s">
        <v>199</v>
      </c>
      <c r="C1267" t="s">
        <v>207</v>
      </c>
      <c r="D1267">
        <f>IF(B1267=$AB$2,$AC$2,$AC$3)</f>
        <v>1</v>
      </c>
      <c r="E1267">
        <f>IF(ISBLANK(C1267),0,VLOOKUP(C1267,$AE$2:$AF$7,2,0))</f>
        <v>0.5</v>
      </c>
      <c r="F1267">
        <f t="shared" si="41"/>
        <v>0.5</v>
      </c>
    </row>
    <row r="1268" spans="1:6">
      <c r="A1268" s="30">
        <f t="shared" si="42"/>
        <v>44358</v>
      </c>
      <c r="B1268" s="32" t="s">
        <v>199</v>
      </c>
      <c r="C1268" t="s">
        <v>207</v>
      </c>
      <c r="D1268">
        <f>IF(B1268=$AB$2,$AC$2,$AC$3)</f>
        <v>1</v>
      </c>
      <c r="E1268">
        <f>IF(ISBLANK(C1268),0,VLOOKUP(C1268,$AE$2:$AF$7,2,0))</f>
        <v>0.5</v>
      </c>
      <c r="F1268">
        <f t="shared" si="41"/>
        <v>0.5</v>
      </c>
    </row>
    <row r="1269" spans="1:6">
      <c r="A1269" s="30">
        <f t="shared" si="42"/>
        <v>44359</v>
      </c>
      <c r="B1269" s="32" t="s">
        <v>199</v>
      </c>
      <c r="C1269" t="s">
        <v>207</v>
      </c>
      <c r="D1269">
        <f>IF(B1269=$AB$2,$AC$2,$AC$3)</f>
        <v>1</v>
      </c>
      <c r="E1269">
        <f>IF(ISBLANK(C1269),0,VLOOKUP(C1269,$AE$2:$AF$7,2,0))</f>
        <v>0.5</v>
      </c>
      <c r="F1269">
        <f t="shared" si="41"/>
        <v>0.5</v>
      </c>
    </row>
    <row r="1270" spans="1:6">
      <c r="A1270" s="30">
        <f t="shared" si="42"/>
        <v>44360</v>
      </c>
      <c r="B1270" s="32" t="s">
        <v>199</v>
      </c>
      <c r="C1270" t="s">
        <v>207</v>
      </c>
      <c r="D1270">
        <f>IF(B1270=$AB$2,$AC$2,$AC$3)</f>
        <v>1</v>
      </c>
      <c r="E1270">
        <f>IF(ISBLANK(C1270),0,VLOOKUP(C1270,$AE$2:$AF$7,2,0))</f>
        <v>0.5</v>
      </c>
      <c r="F1270">
        <f t="shared" si="41"/>
        <v>0.5</v>
      </c>
    </row>
    <row r="1271" spans="1:6">
      <c r="A1271" s="30">
        <f t="shared" si="42"/>
        <v>44361</v>
      </c>
      <c r="B1271" s="32" t="s">
        <v>199</v>
      </c>
      <c r="C1271" t="s">
        <v>207</v>
      </c>
      <c r="D1271">
        <f>IF(B1271=$AB$2,$AC$2,$AC$3)</f>
        <v>1</v>
      </c>
      <c r="E1271">
        <f>IF(ISBLANK(C1271),0,VLOOKUP(C1271,$AE$2:$AF$7,2,0))</f>
        <v>0.5</v>
      </c>
      <c r="F1271">
        <f t="shared" si="41"/>
        <v>0.5</v>
      </c>
    </row>
    <row r="1272" spans="1:6">
      <c r="A1272" s="30">
        <f t="shared" si="42"/>
        <v>44362</v>
      </c>
      <c r="B1272" s="32" t="s">
        <v>199</v>
      </c>
      <c r="C1272" t="s">
        <v>207</v>
      </c>
      <c r="D1272">
        <f>IF(B1272=$AB$2,$AC$2,$AC$3)</f>
        <v>1</v>
      </c>
      <c r="E1272">
        <f>IF(ISBLANK(C1272),0,VLOOKUP(C1272,$AE$2:$AF$7,2,0))</f>
        <v>0.5</v>
      </c>
      <c r="F1272">
        <f t="shared" si="41"/>
        <v>0.5</v>
      </c>
    </row>
    <row r="1273" spans="1:6">
      <c r="A1273" s="30">
        <f t="shared" si="42"/>
        <v>44363</v>
      </c>
      <c r="B1273" s="32" t="s">
        <v>199</v>
      </c>
      <c r="C1273" t="s">
        <v>207</v>
      </c>
      <c r="D1273">
        <f>IF(B1273=$AB$2,$AC$2,$AC$3)</f>
        <v>1</v>
      </c>
      <c r="E1273">
        <f>IF(ISBLANK(C1273),0,VLOOKUP(C1273,$AE$2:$AF$7,2,0))</f>
        <v>0.5</v>
      </c>
      <c r="F1273">
        <f t="shared" si="41"/>
        <v>0.5</v>
      </c>
    </row>
    <row r="1274" spans="1:6">
      <c r="A1274" s="30">
        <f t="shared" si="42"/>
        <v>44364</v>
      </c>
      <c r="B1274" s="32" t="s">
        <v>199</v>
      </c>
      <c r="C1274" t="s">
        <v>207</v>
      </c>
      <c r="D1274">
        <f>IF(B1274=$AB$2,$AC$2,$AC$3)</f>
        <v>1</v>
      </c>
      <c r="E1274">
        <f>IF(ISBLANK(C1274),0,VLOOKUP(C1274,$AE$2:$AF$7,2,0))</f>
        <v>0.5</v>
      </c>
      <c r="F1274">
        <f t="shared" si="41"/>
        <v>0.5</v>
      </c>
    </row>
    <row r="1275" spans="1:6">
      <c r="A1275" s="30">
        <f t="shared" si="42"/>
        <v>44365</v>
      </c>
      <c r="B1275" s="32" t="s">
        <v>199</v>
      </c>
      <c r="C1275" t="s">
        <v>207</v>
      </c>
      <c r="D1275">
        <f>IF(B1275=$AB$2,$AC$2,$AC$3)</f>
        <v>1</v>
      </c>
      <c r="E1275">
        <f>IF(ISBLANK(C1275),0,VLOOKUP(C1275,$AE$2:$AF$7,2,0))</f>
        <v>0.5</v>
      </c>
      <c r="F1275">
        <f t="shared" si="41"/>
        <v>0.5</v>
      </c>
    </row>
    <row r="1276" spans="1:6">
      <c r="A1276" s="30">
        <f t="shared" si="42"/>
        <v>44366</v>
      </c>
      <c r="B1276" s="32" t="s">
        <v>199</v>
      </c>
      <c r="C1276" t="s">
        <v>207</v>
      </c>
      <c r="D1276">
        <f>IF(B1276=$AB$2,$AC$2,$AC$3)</f>
        <v>1</v>
      </c>
      <c r="E1276">
        <f>IF(ISBLANK(C1276),0,VLOOKUP(C1276,$AE$2:$AF$7,2,0))</f>
        <v>0.5</v>
      </c>
      <c r="F1276">
        <f t="shared" si="41"/>
        <v>0.5</v>
      </c>
    </row>
    <row r="1277" spans="1:6">
      <c r="A1277" s="30">
        <f t="shared" si="42"/>
        <v>44367</v>
      </c>
      <c r="B1277" s="32" t="s">
        <v>199</v>
      </c>
      <c r="C1277" t="s">
        <v>207</v>
      </c>
      <c r="D1277">
        <f>IF(B1277=$AB$2,$AC$2,$AC$3)</f>
        <v>1</v>
      </c>
      <c r="E1277">
        <f>IF(ISBLANK(C1277),0,VLOOKUP(C1277,$AE$2:$AF$7,2,0))</f>
        <v>0.5</v>
      </c>
      <c r="F1277">
        <f t="shared" si="41"/>
        <v>0.5</v>
      </c>
    </row>
    <row r="1278" spans="1:6">
      <c r="A1278" s="30">
        <f t="shared" si="42"/>
        <v>44368</v>
      </c>
      <c r="B1278" s="32" t="s">
        <v>199</v>
      </c>
      <c r="C1278" t="s">
        <v>207</v>
      </c>
      <c r="D1278">
        <f>IF(B1278=$AB$2,$AC$2,$AC$3)</f>
        <v>1</v>
      </c>
      <c r="E1278">
        <f>IF(ISBLANK(C1278),0,VLOOKUP(C1278,$AE$2:$AF$7,2,0))</f>
        <v>0.5</v>
      </c>
      <c r="F1278">
        <f t="shared" si="41"/>
        <v>0.5</v>
      </c>
    </row>
    <row r="1279" spans="1:6">
      <c r="A1279" s="30">
        <f t="shared" si="42"/>
        <v>44369</v>
      </c>
      <c r="B1279" s="32" t="s">
        <v>199</v>
      </c>
      <c r="C1279" t="s">
        <v>207</v>
      </c>
      <c r="D1279">
        <f>IF(B1279=$AB$2,$AC$2,$AC$3)</f>
        <v>1</v>
      </c>
      <c r="E1279">
        <f>IF(ISBLANK(C1279),0,VLOOKUP(C1279,$AE$2:$AF$7,2,0))</f>
        <v>0.5</v>
      </c>
      <c r="F1279">
        <f t="shared" si="41"/>
        <v>0.5</v>
      </c>
    </row>
    <row r="1280" spans="1:6">
      <c r="A1280" s="30">
        <f t="shared" si="42"/>
        <v>44370</v>
      </c>
      <c r="B1280" s="32" t="s">
        <v>199</v>
      </c>
      <c r="C1280" t="s">
        <v>207</v>
      </c>
      <c r="D1280">
        <f>IF(B1280=$AB$2,$AC$2,$AC$3)</f>
        <v>1</v>
      </c>
      <c r="E1280">
        <f>IF(ISBLANK(C1280),0,VLOOKUP(C1280,$AE$2:$AF$7,2,0))</f>
        <v>0.5</v>
      </c>
      <c r="F1280">
        <f t="shared" si="41"/>
        <v>0.5</v>
      </c>
    </row>
    <row r="1281" spans="1:6">
      <c r="A1281" s="30">
        <f t="shared" si="42"/>
        <v>44371</v>
      </c>
      <c r="B1281" s="32" t="s">
        <v>199</v>
      </c>
      <c r="C1281" t="s">
        <v>207</v>
      </c>
      <c r="D1281">
        <f>IF(B1281=$AB$2,$AC$2,$AC$3)</f>
        <v>1</v>
      </c>
      <c r="E1281">
        <f>IF(ISBLANK(C1281),0,VLOOKUP(C1281,$AE$2:$AF$7,2,0))</f>
        <v>0.5</v>
      </c>
      <c r="F1281">
        <f t="shared" si="41"/>
        <v>0.5</v>
      </c>
    </row>
    <row r="1282" spans="1:6">
      <c r="A1282" s="30">
        <f t="shared" si="42"/>
        <v>44372</v>
      </c>
      <c r="B1282" s="32" t="s">
        <v>199</v>
      </c>
      <c r="C1282" t="s">
        <v>207</v>
      </c>
      <c r="D1282">
        <f>IF(B1282=$AB$2,$AC$2,$AC$3)</f>
        <v>1</v>
      </c>
      <c r="E1282">
        <f>IF(ISBLANK(C1282),0,VLOOKUP(C1282,$AE$2:$AF$7,2,0))</f>
        <v>0.5</v>
      </c>
      <c r="F1282">
        <f t="shared" si="41"/>
        <v>0.5</v>
      </c>
    </row>
    <row r="1283" spans="1:6">
      <c r="A1283" s="30">
        <f t="shared" si="42"/>
        <v>44373</v>
      </c>
      <c r="B1283" s="32" t="s">
        <v>199</v>
      </c>
      <c r="C1283" t="s">
        <v>207</v>
      </c>
      <c r="D1283">
        <f>IF(B1283=$AB$2,$AC$2,$AC$3)</f>
        <v>1</v>
      </c>
      <c r="E1283">
        <f>IF(ISBLANK(C1283),0,VLOOKUP(C1283,$AE$2:$AF$7,2,0))</f>
        <v>0.5</v>
      </c>
      <c r="F1283">
        <f t="shared" ref="F1283:F1346" si="43">D1283*E1283</f>
        <v>0.5</v>
      </c>
    </row>
    <row r="1284" spans="1:6">
      <c r="A1284" s="30">
        <f t="shared" si="42"/>
        <v>44374</v>
      </c>
      <c r="B1284" s="32" t="s">
        <v>199</v>
      </c>
      <c r="C1284" t="s">
        <v>207</v>
      </c>
      <c r="D1284">
        <f>IF(B1284=$AB$2,$AC$2,$AC$3)</f>
        <v>1</v>
      </c>
      <c r="E1284">
        <f>IF(ISBLANK(C1284),0,VLOOKUP(C1284,$AE$2:$AF$7,2,0))</f>
        <v>0.5</v>
      </c>
      <c r="F1284">
        <f t="shared" si="43"/>
        <v>0.5</v>
      </c>
    </row>
    <row r="1285" spans="1:6">
      <c r="A1285" s="30">
        <f t="shared" si="42"/>
        <v>44375</v>
      </c>
      <c r="B1285" s="32" t="s">
        <v>199</v>
      </c>
      <c r="C1285" t="s">
        <v>207</v>
      </c>
      <c r="D1285">
        <f>IF(B1285=$AB$2,$AC$2,$AC$3)</f>
        <v>1</v>
      </c>
      <c r="E1285">
        <f>IF(ISBLANK(C1285),0,VLOOKUP(C1285,$AE$2:$AF$7,2,0))</f>
        <v>0.5</v>
      </c>
      <c r="F1285">
        <f t="shared" si="43"/>
        <v>0.5</v>
      </c>
    </row>
    <row r="1286" spans="1:6">
      <c r="A1286" s="30">
        <f t="shared" si="42"/>
        <v>44376</v>
      </c>
      <c r="B1286" s="32" t="s">
        <v>199</v>
      </c>
      <c r="C1286" t="s">
        <v>207</v>
      </c>
      <c r="D1286">
        <f>IF(B1286=$AB$2,$AC$2,$AC$3)</f>
        <v>1</v>
      </c>
      <c r="E1286">
        <f>IF(ISBLANK(C1286),0,VLOOKUP(C1286,$AE$2:$AF$7,2,0))</f>
        <v>0.5</v>
      </c>
      <c r="F1286">
        <f t="shared" si="43"/>
        <v>0.5</v>
      </c>
    </row>
    <row r="1287" spans="1:6">
      <c r="A1287" s="30">
        <f t="shared" si="42"/>
        <v>44377</v>
      </c>
      <c r="B1287" s="32" t="s">
        <v>199</v>
      </c>
      <c r="C1287" t="s">
        <v>207</v>
      </c>
      <c r="D1287">
        <f>IF(B1287=$AB$2,$AC$2,$AC$3)</f>
        <v>1</v>
      </c>
      <c r="E1287">
        <f>IF(ISBLANK(C1287),0,VLOOKUP(C1287,$AE$2:$AF$7,2,0))</f>
        <v>0.5</v>
      </c>
      <c r="F1287">
        <f t="shared" si="43"/>
        <v>0.5</v>
      </c>
    </row>
    <row r="1288" spans="1:6">
      <c r="A1288" s="30">
        <f t="shared" si="42"/>
        <v>44378</v>
      </c>
      <c r="B1288" s="32" t="s">
        <v>199</v>
      </c>
      <c r="C1288" t="s">
        <v>207</v>
      </c>
      <c r="D1288">
        <f>IF(B1288=$AB$2,$AC$2,$AC$3)</f>
        <v>1</v>
      </c>
      <c r="E1288">
        <f>IF(ISBLANK(C1288),0,VLOOKUP(C1288,$AE$2:$AF$7,2,0))</f>
        <v>0.5</v>
      </c>
      <c r="F1288">
        <f t="shared" si="43"/>
        <v>0.5</v>
      </c>
    </row>
    <row r="1289" spans="1:6">
      <c r="A1289" s="30">
        <f t="shared" si="42"/>
        <v>44379</v>
      </c>
      <c r="B1289" s="32" t="s">
        <v>199</v>
      </c>
      <c r="C1289" t="s">
        <v>207</v>
      </c>
      <c r="D1289">
        <f>IF(B1289=$AB$2,$AC$2,$AC$3)</f>
        <v>1</v>
      </c>
      <c r="E1289">
        <f>IF(ISBLANK(C1289),0,VLOOKUP(C1289,$AE$2:$AF$7,2,0))</f>
        <v>0.5</v>
      </c>
      <c r="F1289">
        <f t="shared" si="43"/>
        <v>0.5</v>
      </c>
    </row>
    <row r="1290" spans="1:6">
      <c r="A1290" s="30">
        <f t="shared" si="42"/>
        <v>44380</v>
      </c>
      <c r="B1290" s="32" t="s">
        <v>199</v>
      </c>
      <c r="C1290" t="s">
        <v>207</v>
      </c>
      <c r="D1290">
        <f>IF(B1290=$AB$2,$AC$2,$AC$3)</f>
        <v>1</v>
      </c>
      <c r="E1290">
        <f>IF(ISBLANK(C1290),0,VLOOKUP(C1290,$AE$2:$AF$7,2,0))</f>
        <v>0.5</v>
      </c>
      <c r="F1290">
        <f t="shared" si="43"/>
        <v>0.5</v>
      </c>
    </row>
    <row r="1291" spans="1:6">
      <c r="A1291" s="30">
        <f t="shared" si="42"/>
        <v>44381</v>
      </c>
      <c r="B1291" s="32" t="s">
        <v>199</v>
      </c>
      <c r="C1291" t="s">
        <v>207</v>
      </c>
      <c r="D1291">
        <f>IF(B1291=$AB$2,$AC$2,$AC$3)</f>
        <v>1</v>
      </c>
      <c r="E1291">
        <f>IF(ISBLANK(C1291),0,VLOOKUP(C1291,$AE$2:$AF$7,2,0))</f>
        <v>0.5</v>
      </c>
      <c r="F1291">
        <f t="shared" si="43"/>
        <v>0.5</v>
      </c>
    </row>
    <row r="1292" spans="1:6">
      <c r="A1292" s="30">
        <f t="shared" si="42"/>
        <v>44382</v>
      </c>
      <c r="B1292" s="32" t="s">
        <v>199</v>
      </c>
      <c r="C1292" t="s">
        <v>207</v>
      </c>
      <c r="D1292">
        <f>IF(B1292=$AB$2,$AC$2,$AC$3)</f>
        <v>1</v>
      </c>
      <c r="E1292">
        <f>IF(ISBLANK(C1292),0,VLOOKUP(C1292,$AE$2:$AF$7,2,0))</f>
        <v>0.5</v>
      </c>
      <c r="F1292">
        <f t="shared" si="43"/>
        <v>0.5</v>
      </c>
    </row>
    <row r="1293" spans="1:6">
      <c r="A1293" s="30">
        <f t="shared" si="42"/>
        <v>44383</v>
      </c>
      <c r="B1293" s="32" t="s">
        <v>199</v>
      </c>
      <c r="C1293" t="s">
        <v>207</v>
      </c>
      <c r="D1293">
        <f>IF(B1293=$AB$2,$AC$2,$AC$3)</f>
        <v>1</v>
      </c>
      <c r="E1293">
        <f>IF(ISBLANK(C1293),0,VLOOKUP(C1293,$AE$2:$AF$7,2,0))</f>
        <v>0.5</v>
      </c>
      <c r="F1293">
        <f t="shared" si="43"/>
        <v>0.5</v>
      </c>
    </row>
    <row r="1294" spans="1:6">
      <c r="A1294" s="30">
        <f t="shared" si="42"/>
        <v>44384</v>
      </c>
      <c r="B1294" s="32" t="s">
        <v>199</v>
      </c>
      <c r="C1294" t="s">
        <v>207</v>
      </c>
      <c r="D1294">
        <f>IF(B1294=$AB$2,$AC$2,$AC$3)</f>
        <v>1</v>
      </c>
      <c r="E1294">
        <f>IF(ISBLANK(C1294),0,VLOOKUP(C1294,$AE$2:$AF$7,2,0))</f>
        <v>0.5</v>
      </c>
      <c r="F1294">
        <f t="shared" si="43"/>
        <v>0.5</v>
      </c>
    </row>
    <row r="1295" spans="1:6">
      <c r="A1295" s="30">
        <f t="shared" si="42"/>
        <v>44385</v>
      </c>
      <c r="B1295" s="32" t="s">
        <v>199</v>
      </c>
      <c r="C1295" t="s">
        <v>207</v>
      </c>
      <c r="D1295">
        <f>IF(B1295=$AB$2,$AC$2,$AC$3)</f>
        <v>1</v>
      </c>
      <c r="E1295">
        <f>IF(ISBLANK(C1295),0,VLOOKUP(C1295,$AE$2:$AF$7,2,0))</f>
        <v>0.5</v>
      </c>
      <c r="F1295">
        <f t="shared" si="43"/>
        <v>0.5</v>
      </c>
    </row>
    <row r="1296" spans="1:6">
      <c r="A1296" s="30">
        <f t="shared" si="42"/>
        <v>44386</v>
      </c>
      <c r="B1296" s="32" t="s">
        <v>199</v>
      </c>
      <c r="C1296" t="s">
        <v>207</v>
      </c>
      <c r="D1296">
        <f>IF(B1296=$AB$2,$AC$2,$AC$3)</f>
        <v>1</v>
      </c>
      <c r="E1296">
        <f>IF(ISBLANK(C1296),0,VLOOKUP(C1296,$AE$2:$AF$7,2,0))</f>
        <v>0.5</v>
      </c>
      <c r="F1296">
        <f t="shared" si="43"/>
        <v>0.5</v>
      </c>
    </row>
    <row r="1297" spans="1:6">
      <c r="A1297" s="30">
        <f t="shared" si="42"/>
        <v>44387</v>
      </c>
      <c r="B1297" s="32" t="s">
        <v>199</v>
      </c>
      <c r="C1297" t="s">
        <v>207</v>
      </c>
      <c r="D1297">
        <f>IF(B1297=$AB$2,$AC$2,$AC$3)</f>
        <v>1</v>
      </c>
      <c r="E1297">
        <f>IF(ISBLANK(C1297),0,VLOOKUP(C1297,$AE$2:$AF$7,2,0))</f>
        <v>0.5</v>
      </c>
      <c r="F1297">
        <f t="shared" si="43"/>
        <v>0.5</v>
      </c>
    </row>
    <row r="1298" spans="1:6">
      <c r="A1298" s="30">
        <f t="shared" si="42"/>
        <v>44388</v>
      </c>
      <c r="B1298" s="32" t="s">
        <v>199</v>
      </c>
      <c r="C1298" t="s">
        <v>207</v>
      </c>
      <c r="D1298">
        <f>IF(B1298=$AB$2,$AC$2,$AC$3)</f>
        <v>1</v>
      </c>
      <c r="E1298">
        <f>IF(ISBLANK(C1298),0,VLOOKUP(C1298,$AE$2:$AF$7,2,0))</f>
        <v>0.5</v>
      </c>
      <c r="F1298">
        <f t="shared" si="43"/>
        <v>0.5</v>
      </c>
    </row>
    <row r="1299" spans="1:6">
      <c r="A1299" s="30">
        <f t="shared" si="42"/>
        <v>44389</v>
      </c>
      <c r="B1299" s="32" t="s">
        <v>199</v>
      </c>
      <c r="C1299" t="s">
        <v>207</v>
      </c>
      <c r="D1299">
        <f>IF(B1299=$AB$2,$AC$2,$AC$3)</f>
        <v>1</v>
      </c>
      <c r="E1299">
        <f>IF(ISBLANK(C1299),0,VLOOKUP(C1299,$AE$2:$AF$7,2,0))</f>
        <v>0.5</v>
      </c>
      <c r="F1299">
        <f t="shared" si="43"/>
        <v>0.5</v>
      </c>
    </row>
    <row r="1300" spans="1:6">
      <c r="A1300" s="30">
        <f t="shared" si="42"/>
        <v>44390</v>
      </c>
      <c r="B1300" s="32" t="s">
        <v>199</v>
      </c>
      <c r="C1300" t="s">
        <v>207</v>
      </c>
      <c r="D1300">
        <f>IF(B1300=$AB$2,$AC$2,$AC$3)</f>
        <v>1</v>
      </c>
      <c r="E1300">
        <f>IF(ISBLANK(C1300),0,VLOOKUP(C1300,$AE$2:$AF$7,2,0))</f>
        <v>0.5</v>
      </c>
      <c r="F1300">
        <f t="shared" si="43"/>
        <v>0.5</v>
      </c>
    </row>
    <row r="1301" spans="1:6">
      <c r="A1301" s="30">
        <f t="shared" si="42"/>
        <v>44391</v>
      </c>
      <c r="B1301" s="32" t="s">
        <v>199</v>
      </c>
      <c r="C1301" t="s">
        <v>207</v>
      </c>
      <c r="D1301">
        <f>IF(B1301=$AB$2,$AC$2,$AC$3)</f>
        <v>1</v>
      </c>
      <c r="E1301">
        <f>IF(ISBLANK(C1301),0,VLOOKUP(C1301,$AE$2:$AF$7,2,0))</f>
        <v>0.5</v>
      </c>
      <c r="F1301">
        <f t="shared" si="43"/>
        <v>0.5</v>
      </c>
    </row>
    <row r="1302" spans="1:6">
      <c r="A1302" s="30">
        <f t="shared" si="42"/>
        <v>44392</v>
      </c>
      <c r="B1302" s="32" t="s">
        <v>199</v>
      </c>
      <c r="C1302" t="s">
        <v>207</v>
      </c>
      <c r="D1302">
        <f>IF(B1302=$AB$2,$AC$2,$AC$3)</f>
        <v>1</v>
      </c>
      <c r="E1302">
        <f>IF(ISBLANK(C1302),0,VLOOKUP(C1302,$AE$2:$AF$7,2,0))</f>
        <v>0.5</v>
      </c>
      <c r="F1302">
        <f t="shared" si="43"/>
        <v>0.5</v>
      </c>
    </row>
    <row r="1303" spans="1:6">
      <c r="A1303" s="30">
        <f t="shared" si="42"/>
        <v>44393</v>
      </c>
      <c r="B1303" s="32" t="s">
        <v>199</v>
      </c>
      <c r="C1303" t="s">
        <v>207</v>
      </c>
      <c r="D1303">
        <f>IF(B1303=$AB$2,$AC$2,$AC$3)</f>
        <v>1</v>
      </c>
      <c r="E1303">
        <f>IF(ISBLANK(C1303),0,VLOOKUP(C1303,$AE$2:$AF$7,2,0))</f>
        <v>0.5</v>
      </c>
      <c r="F1303">
        <f t="shared" si="43"/>
        <v>0.5</v>
      </c>
    </row>
    <row r="1304" spans="1:6">
      <c r="A1304" s="30">
        <f t="shared" si="42"/>
        <v>44394</v>
      </c>
      <c r="B1304" s="32" t="s">
        <v>199</v>
      </c>
      <c r="C1304" t="s">
        <v>207</v>
      </c>
      <c r="D1304">
        <f>IF(B1304=$AB$2,$AC$2,$AC$3)</f>
        <v>1</v>
      </c>
      <c r="E1304">
        <f>IF(ISBLANK(C1304),0,VLOOKUP(C1304,$AE$2:$AF$7,2,0))</f>
        <v>0.5</v>
      </c>
      <c r="F1304">
        <f t="shared" si="43"/>
        <v>0.5</v>
      </c>
    </row>
    <row r="1305" spans="1:6">
      <c r="A1305" s="30">
        <f t="shared" si="42"/>
        <v>44395</v>
      </c>
      <c r="B1305" s="32" t="s">
        <v>199</v>
      </c>
      <c r="C1305" t="s">
        <v>207</v>
      </c>
      <c r="D1305">
        <f>IF(B1305=$AB$2,$AC$2,$AC$3)</f>
        <v>1</v>
      </c>
      <c r="E1305">
        <f>IF(ISBLANK(C1305),0,VLOOKUP(C1305,$AE$2:$AF$7,2,0))</f>
        <v>0.5</v>
      </c>
      <c r="F1305">
        <f t="shared" si="43"/>
        <v>0.5</v>
      </c>
    </row>
    <row r="1306" spans="1:6">
      <c r="A1306" s="30">
        <f t="shared" si="42"/>
        <v>44396</v>
      </c>
      <c r="B1306" s="32" t="s">
        <v>199</v>
      </c>
      <c r="C1306" t="s">
        <v>207</v>
      </c>
      <c r="D1306">
        <f>IF(B1306=$AB$2,$AC$2,$AC$3)</f>
        <v>1</v>
      </c>
      <c r="E1306">
        <f>IF(ISBLANK(C1306),0,VLOOKUP(C1306,$AE$2:$AF$7,2,0))</f>
        <v>0.5</v>
      </c>
      <c r="F1306">
        <f t="shared" si="43"/>
        <v>0.5</v>
      </c>
    </row>
    <row r="1307" spans="1:6">
      <c r="A1307" s="30">
        <f t="shared" si="42"/>
        <v>44397</v>
      </c>
      <c r="B1307" s="32" t="s">
        <v>199</v>
      </c>
      <c r="C1307" t="s">
        <v>207</v>
      </c>
      <c r="D1307">
        <f>IF(B1307=$AB$2,$AC$2,$AC$3)</f>
        <v>1</v>
      </c>
      <c r="E1307">
        <f>IF(ISBLANK(C1307),0,VLOOKUP(C1307,$AE$2:$AF$7,2,0))</f>
        <v>0.5</v>
      </c>
      <c r="F1307">
        <f t="shared" si="43"/>
        <v>0.5</v>
      </c>
    </row>
    <row r="1308" spans="1:6">
      <c r="A1308" s="30">
        <f t="shared" si="42"/>
        <v>44398</v>
      </c>
      <c r="B1308" s="32" t="s">
        <v>199</v>
      </c>
      <c r="C1308" t="s">
        <v>207</v>
      </c>
      <c r="D1308">
        <f>IF(B1308=$AB$2,$AC$2,$AC$3)</f>
        <v>1</v>
      </c>
      <c r="E1308">
        <f>IF(ISBLANK(C1308),0,VLOOKUP(C1308,$AE$2:$AF$7,2,0))</f>
        <v>0.5</v>
      </c>
      <c r="F1308">
        <f t="shared" si="43"/>
        <v>0.5</v>
      </c>
    </row>
    <row r="1309" spans="1:6">
      <c r="A1309" s="30">
        <f t="shared" si="42"/>
        <v>44399</v>
      </c>
      <c r="B1309" s="32" t="s">
        <v>199</v>
      </c>
      <c r="C1309" t="s">
        <v>207</v>
      </c>
      <c r="D1309">
        <f>IF(B1309=$AB$2,$AC$2,$AC$3)</f>
        <v>1</v>
      </c>
      <c r="E1309">
        <f>IF(ISBLANK(C1309),0,VLOOKUP(C1309,$AE$2:$AF$7,2,0))</f>
        <v>0.5</v>
      </c>
      <c r="F1309">
        <f t="shared" si="43"/>
        <v>0.5</v>
      </c>
    </row>
    <row r="1310" spans="1:6">
      <c r="A1310" s="30">
        <f t="shared" si="42"/>
        <v>44400</v>
      </c>
      <c r="B1310" s="32" t="s">
        <v>199</v>
      </c>
      <c r="C1310" t="s">
        <v>207</v>
      </c>
      <c r="D1310">
        <f>IF(B1310=$AB$2,$AC$2,$AC$3)</f>
        <v>1</v>
      </c>
      <c r="E1310">
        <f>IF(ISBLANK(C1310),0,VLOOKUP(C1310,$AE$2:$AF$7,2,0))</f>
        <v>0.5</v>
      </c>
      <c r="F1310">
        <f t="shared" si="43"/>
        <v>0.5</v>
      </c>
    </row>
    <row r="1311" spans="1:6">
      <c r="A1311" s="30">
        <f t="shared" si="42"/>
        <v>44401</v>
      </c>
      <c r="B1311" s="32" t="s">
        <v>199</v>
      </c>
      <c r="C1311" t="s">
        <v>207</v>
      </c>
      <c r="D1311">
        <f>IF(B1311=$AB$2,$AC$2,$AC$3)</f>
        <v>1</v>
      </c>
      <c r="E1311">
        <f>IF(ISBLANK(C1311),0,VLOOKUP(C1311,$AE$2:$AF$7,2,0))</f>
        <v>0.5</v>
      </c>
      <c r="F1311">
        <f t="shared" si="43"/>
        <v>0.5</v>
      </c>
    </row>
    <row r="1312" spans="1:6">
      <c r="A1312" s="30">
        <f t="shared" si="42"/>
        <v>44402</v>
      </c>
      <c r="B1312" s="32" t="s">
        <v>199</v>
      </c>
      <c r="C1312" t="s">
        <v>207</v>
      </c>
      <c r="D1312">
        <f>IF(B1312=$AB$2,$AC$2,$AC$3)</f>
        <v>1</v>
      </c>
      <c r="E1312">
        <f>IF(ISBLANK(C1312),0,VLOOKUP(C1312,$AE$2:$AF$7,2,0))</f>
        <v>0.5</v>
      </c>
      <c r="F1312">
        <f t="shared" si="43"/>
        <v>0.5</v>
      </c>
    </row>
    <row r="1313" spans="1:6">
      <c r="A1313" s="30">
        <f t="shared" si="42"/>
        <v>44403</v>
      </c>
      <c r="B1313" s="32" t="s">
        <v>199</v>
      </c>
      <c r="C1313" t="s">
        <v>207</v>
      </c>
      <c r="D1313">
        <f>IF(B1313=$AB$2,$AC$2,$AC$3)</f>
        <v>1</v>
      </c>
      <c r="E1313">
        <f>IF(ISBLANK(C1313),0,VLOOKUP(C1313,$AE$2:$AF$7,2,0))</f>
        <v>0.5</v>
      </c>
      <c r="F1313">
        <f t="shared" si="43"/>
        <v>0.5</v>
      </c>
    </row>
    <row r="1314" spans="1:6">
      <c r="A1314" s="30">
        <f t="shared" si="42"/>
        <v>44404</v>
      </c>
      <c r="B1314" s="32" t="s">
        <v>199</v>
      </c>
      <c r="C1314" t="s">
        <v>207</v>
      </c>
      <c r="D1314">
        <f>IF(B1314=$AB$2,$AC$2,$AC$3)</f>
        <v>1</v>
      </c>
      <c r="E1314">
        <f>IF(ISBLANK(C1314),0,VLOOKUP(C1314,$AE$2:$AF$7,2,0))</f>
        <v>0.5</v>
      </c>
      <c r="F1314">
        <f t="shared" si="43"/>
        <v>0.5</v>
      </c>
    </row>
    <row r="1315" spans="1:6">
      <c r="A1315" s="30">
        <f t="shared" si="42"/>
        <v>44405</v>
      </c>
      <c r="B1315" s="32" t="s">
        <v>199</v>
      </c>
      <c r="C1315" t="s">
        <v>207</v>
      </c>
      <c r="D1315">
        <f>IF(B1315=$AB$2,$AC$2,$AC$3)</f>
        <v>1</v>
      </c>
      <c r="E1315">
        <f>IF(ISBLANK(C1315),0,VLOOKUP(C1315,$AE$2:$AF$7,2,0))</f>
        <v>0.5</v>
      </c>
      <c r="F1315">
        <f t="shared" si="43"/>
        <v>0.5</v>
      </c>
    </row>
    <row r="1316" spans="1:6">
      <c r="A1316" s="30">
        <f t="shared" si="42"/>
        <v>44406</v>
      </c>
      <c r="B1316" s="32" t="s">
        <v>199</v>
      </c>
      <c r="C1316" t="s">
        <v>207</v>
      </c>
      <c r="D1316">
        <f>IF(B1316=$AB$2,$AC$2,$AC$3)</f>
        <v>1</v>
      </c>
      <c r="E1316">
        <f>IF(ISBLANK(C1316),0,VLOOKUP(C1316,$AE$2:$AF$7,2,0))</f>
        <v>0.5</v>
      </c>
      <c r="F1316">
        <f t="shared" si="43"/>
        <v>0.5</v>
      </c>
    </row>
    <row r="1317" spans="1:6">
      <c r="A1317" s="30">
        <f t="shared" si="42"/>
        <v>44407</v>
      </c>
      <c r="B1317" s="32" t="s">
        <v>199</v>
      </c>
      <c r="C1317" t="s">
        <v>207</v>
      </c>
      <c r="D1317">
        <f>IF(B1317=$AB$2,$AC$2,$AC$3)</f>
        <v>1</v>
      </c>
      <c r="E1317">
        <f>IF(ISBLANK(C1317),0,VLOOKUP(C1317,$AE$2:$AF$7,2,0))</f>
        <v>0.5</v>
      </c>
      <c r="F1317">
        <f t="shared" si="43"/>
        <v>0.5</v>
      </c>
    </row>
    <row r="1318" spans="1:6">
      <c r="A1318" s="30">
        <f t="shared" si="42"/>
        <v>44408</v>
      </c>
      <c r="B1318" s="32" t="s">
        <v>199</v>
      </c>
      <c r="C1318" t="s">
        <v>207</v>
      </c>
      <c r="D1318">
        <f>IF(B1318=$AB$2,$AC$2,$AC$3)</f>
        <v>1</v>
      </c>
      <c r="E1318">
        <f>IF(ISBLANK(C1318),0,VLOOKUP(C1318,$AE$2:$AF$7,2,0))</f>
        <v>0.5</v>
      </c>
      <c r="F1318">
        <f t="shared" si="43"/>
        <v>0.5</v>
      </c>
    </row>
    <row r="1319" spans="1:6">
      <c r="A1319" s="30">
        <f t="shared" si="42"/>
        <v>44409</v>
      </c>
      <c r="B1319" s="32" t="s">
        <v>199</v>
      </c>
      <c r="C1319" t="s">
        <v>207</v>
      </c>
      <c r="D1319">
        <f>IF(B1319=$AB$2,$AC$2,$AC$3)</f>
        <v>1</v>
      </c>
      <c r="E1319">
        <f>IF(ISBLANK(C1319),0,VLOOKUP(C1319,$AE$2:$AF$7,2,0))</f>
        <v>0.5</v>
      </c>
      <c r="F1319">
        <f t="shared" si="43"/>
        <v>0.5</v>
      </c>
    </row>
    <row r="1320" spans="1:6">
      <c r="A1320" s="30">
        <f t="shared" si="42"/>
        <v>44410</v>
      </c>
      <c r="B1320" s="32" t="s">
        <v>199</v>
      </c>
      <c r="C1320" t="s">
        <v>207</v>
      </c>
      <c r="D1320">
        <f>IF(B1320=$AB$2,$AC$2,$AC$3)</f>
        <v>1</v>
      </c>
      <c r="E1320">
        <f>IF(ISBLANK(C1320),0,VLOOKUP(C1320,$AE$2:$AF$7,2,0))</f>
        <v>0.5</v>
      </c>
      <c r="F1320">
        <f t="shared" si="43"/>
        <v>0.5</v>
      </c>
    </row>
    <row r="1321" spans="1:6">
      <c r="A1321" s="30">
        <f t="shared" si="42"/>
        <v>44411</v>
      </c>
      <c r="B1321" s="32" t="s">
        <v>199</v>
      </c>
      <c r="C1321" t="s">
        <v>207</v>
      </c>
      <c r="D1321">
        <f>IF(B1321=$AB$2,$AC$2,$AC$3)</f>
        <v>1</v>
      </c>
      <c r="E1321">
        <f>IF(ISBLANK(C1321),0,VLOOKUP(C1321,$AE$2:$AF$7,2,0))</f>
        <v>0.5</v>
      </c>
      <c r="F1321">
        <f t="shared" si="43"/>
        <v>0.5</v>
      </c>
    </row>
    <row r="1322" spans="1:6">
      <c r="A1322" s="30">
        <f t="shared" ref="A1322:A1370" si="44">A1321+1</f>
        <v>44412</v>
      </c>
      <c r="B1322" s="32" t="s">
        <v>199</v>
      </c>
      <c r="C1322" t="s">
        <v>207</v>
      </c>
      <c r="D1322">
        <f>IF(B1322=$AB$2,$AC$2,$AC$3)</f>
        <v>1</v>
      </c>
      <c r="E1322">
        <f>IF(ISBLANK(C1322),0,VLOOKUP(C1322,$AE$2:$AF$7,2,0))</f>
        <v>0.5</v>
      </c>
      <c r="F1322">
        <f t="shared" si="43"/>
        <v>0.5</v>
      </c>
    </row>
    <row r="1323" spans="1:6">
      <c r="A1323" s="30">
        <f t="shared" si="44"/>
        <v>44413</v>
      </c>
      <c r="B1323" s="32" t="s">
        <v>199</v>
      </c>
      <c r="C1323" t="s">
        <v>207</v>
      </c>
      <c r="D1323">
        <f>IF(B1323=$AB$2,$AC$2,$AC$3)</f>
        <v>1</v>
      </c>
      <c r="E1323">
        <f>IF(ISBLANK(C1323),0,VLOOKUP(C1323,$AE$2:$AF$7,2,0))</f>
        <v>0.5</v>
      </c>
      <c r="F1323">
        <f t="shared" si="43"/>
        <v>0.5</v>
      </c>
    </row>
    <row r="1324" spans="1:6">
      <c r="A1324" s="30">
        <f t="shared" si="44"/>
        <v>44414</v>
      </c>
      <c r="B1324" s="32" t="s">
        <v>199</v>
      </c>
      <c r="C1324" t="s">
        <v>207</v>
      </c>
      <c r="D1324">
        <f>IF(B1324=$AB$2,$AC$2,$AC$3)</f>
        <v>1</v>
      </c>
      <c r="E1324">
        <f>IF(ISBLANK(C1324),0,VLOOKUP(C1324,$AE$2:$AF$7,2,0))</f>
        <v>0.5</v>
      </c>
      <c r="F1324">
        <f t="shared" si="43"/>
        <v>0.5</v>
      </c>
    </row>
    <row r="1325" spans="1:6">
      <c r="A1325" s="30">
        <f t="shared" si="44"/>
        <v>44415</v>
      </c>
      <c r="B1325" s="32" t="s">
        <v>199</v>
      </c>
      <c r="C1325" t="s">
        <v>207</v>
      </c>
      <c r="D1325">
        <f>IF(B1325=$AB$2,$AC$2,$AC$3)</f>
        <v>1</v>
      </c>
      <c r="E1325">
        <f>IF(ISBLANK(C1325),0,VLOOKUP(C1325,$AE$2:$AF$7,2,0))</f>
        <v>0.5</v>
      </c>
      <c r="F1325">
        <f t="shared" si="43"/>
        <v>0.5</v>
      </c>
    </row>
    <row r="1326" spans="1:6">
      <c r="A1326" s="30">
        <f t="shared" si="44"/>
        <v>44416</v>
      </c>
      <c r="B1326" s="32" t="s">
        <v>199</v>
      </c>
      <c r="C1326" t="s">
        <v>207</v>
      </c>
      <c r="D1326">
        <f>IF(B1326=$AB$2,$AC$2,$AC$3)</f>
        <v>1</v>
      </c>
      <c r="E1326">
        <f>IF(ISBLANK(C1326),0,VLOOKUP(C1326,$AE$2:$AF$7,2,0))</f>
        <v>0.5</v>
      </c>
      <c r="F1326">
        <f t="shared" si="43"/>
        <v>0.5</v>
      </c>
    </row>
    <row r="1327" spans="1:6">
      <c r="A1327" s="30">
        <f t="shared" si="44"/>
        <v>44417</v>
      </c>
      <c r="B1327" s="32" t="s">
        <v>199</v>
      </c>
      <c r="C1327" t="s">
        <v>207</v>
      </c>
      <c r="D1327">
        <f>IF(B1327=$AB$2,$AC$2,$AC$3)</f>
        <v>1</v>
      </c>
      <c r="E1327">
        <f>IF(ISBLANK(C1327),0,VLOOKUP(C1327,$AE$2:$AF$7,2,0))</f>
        <v>0.5</v>
      </c>
      <c r="F1327">
        <f t="shared" si="43"/>
        <v>0.5</v>
      </c>
    </row>
    <row r="1328" spans="1:6">
      <c r="A1328" s="30">
        <f t="shared" si="44"/>
        <v>44418</v>
      </c>
      <c r="B1328" s="32" t="s">
        <v>199</v>
      </c>
      <c r="C1328" t="s">
        <v>207</v>
      </c>
      <c r="D1328">
        <f>IF(B1328=$AB$2,$AC$2,$AC$3)</f>
        <v>1</v>
      </c>
      <c r="E1328">
        <f>IF(ISBLANK(C1328),0,VLOOKUP(C1328,$AE$2:$AF$7,2,0))</f>
        <v>0.5</v>
      </c>
      <c r="F1328">
        <f t="shared" si="43"/>
        <v>0.5</v>
      </c>
    </row>
    <row r="1329" spans="1:6">
      <c r="A1329" s="30">
        <f t="shared" si="44"/>
        <v>44419</v>
      </c>
      <c r="B1329" s="32" t="s">
        <v>199</v>
      </c>
      <c r="C1329" t="s">
        <v>207</v>
      </c>
      <c r="D1329">
        <f>IF(B1329=$AB$2,$AC$2,$AC$3)</f>
        <v>1</v>
      </c>
      <c r="E1329">
        <f>IF(ISBLANK(C1329),0,VLOOKUP(C1329,$AE$2:$AF$7,2,0))</f>
        <v>0.5</v>
      </c>
      <c r="F1329">
        <f t="shared" si="43"/>
        <v>0.5</v>
      </c>
    </row>
    <row r="1330" spans="1:6">
      <c r="A1330" s="30">
        <f t="shared" si="44"/>
        <v>44420</v>
      </c>
      <c r="B1330" s="32" t="s">
        <v>199</v>
      </c>
      <c r="C1330" t="s">
        <v>207</v>
      </c>
      <c r="D1330">
        <f>IF(B1330=$AB$2,$AC$2,$AC$3)</f>
        <v>1</v>
      </c>
      <c r="E1330">
        <f>IF(ISBLANK(C1330),0,VLOOKUP(C1330,$AE$2:$AF$7,2,0))</f>
        <v>0.5</v>
      </c>
      <c r="F1330">
        <f t="shared" si="43"/>
        <v>0.5</v>
      </c>
    </row>
    <row r="1331" spans="1:6">
      <c r="A1331" s="30">
        <f t="shared" si="44"/>
        <v>44421</v>
      </c>
      <c r="B1331" s="32" t="s">
        <v>199</v>
      </c>
      <c r="C1331" t="s">
        <v>207</v>
      </c>
      <c r="D1331">
        <f>IF(B1331=$AB$2,$AC$2,$AC$3)</f>
        <v>1</v>
      </c>
      <c r="E1331">
        <f>IF(ISBLANK(C1331),0,VLOOKUP(C1331,$AE$2:$AF$7,2,0))</f>
        <v>0.5</v>
      </c>
      <c r="F1331">
        <f t="shared" si="43"/>
        <v>0.5</v>
      </c>
    </row>
    <row r="1332" spans="1:6">
      <c r="A1332" s="30">
        <f t="shared" si="44"/>
        <v>44422</v>
      </c>
      <c r="B1332" s="32" t="s">
        <v>199</v>
      </c>
      <c r="C1332" t="s">
        <v>207</v>
      </c>
      <c r="D1332">
        <f>IF(B1332=$AB$2,$AC$2,$AC$3)</f>
        <v>1</v>
      </c>
      <c r="E1332">
        <f>IF(ISBLANK(C1332),0,VLOOKUP(C1332,$AE$2:$AF$7,2,0))</f>
        <v>0.5</v>
      </c>
      <c r="F1332">
        <f t="shared" si="43"/>
        <v>0.5</v>
      </c>
    </row>
    <row r="1333" spans="1:6">
      <c r="A1333" s="30">
        <f t="shared" si="44"/>
        <v>44423</v>
      </c>
      <c r="B1333" s="32" t="s">
        <v>199</v>
      </c>
      <c r="C1333" t="s">
        <v>207</v>
      </c>
      <c r="D1333">
        <f>IF(B1333=$AB$2,$AC$2,$AC$3)</f>
        <v>1</v>
      </c>
      <c r="E1333">
        <f>IF(ISBLANK(C1333),0,VLOOKUP(C1333,$AE$2:$AF$7,2,0))</f>
        <v>0.5</v>
      </c>
      <c r="F1333">
        <f t="shared" si="43"/>
        <v>0.5</v>
      </c>
    </row>
    <row r="1334" spans="1:6">
      <c r="A1334" s="30">
        <f t="shared" si="44"/>
        <v>44424</v>
      </c>
      <c r="B1334" s="32" t="s">
        <v>199</v>
      </c>
      <c r="C1334" t="s">
        <v>207</v>
      </c>
      <c r="D1334">
        <f>IF(B1334=$AB$2,$AC$2,$AC$3)</f>
        <v>1</v>
      </c>
      <c r="E1334">
        <f>IF(ISBLANK(C1334),0,VLOOKUP(C1334,$AE$2:$AF$7,2,0))</f>
        <v>0.5</v>
      </c>
      <c r="F1334">
        <f t="shared" si="43"/>
        <v>0.5</v>
      </c>
    </row>
    <row r="1335" spans="1:6">
      <c r="A1335" s="30">
        <f t="shared" si="44"/>
        <v>44425</v>
      </c>
      <c r="B1335" s="32" t="s">
        <v>199</v>
      </c>
      <c r="C1335" t="s">
        <v>207</v>
      </c>
      <c r="D1335">
        <f>IF(B1335=$AB$2,$AC$2,$AC$3)</f>
        <v>1</v>
      </c>
      <c r="E1335">
        <f>IF(ISBLANK(C1335),0,VLOOKUP(C1335,$AE$2:$AF$7,2,0))</f>
        <v>0.5</v>
      </c>
      <c r="F1335">
        <f t="shared" si="43"/>
        <v>0.5</v>
      </c>
    </row>
    <row r="1336" spans="1:6">
      <c r="A1336" s="30">
        <f t="shared" si="44"/>
        <v>44426</v>
      </c>
      <c r="B1336" s="32" t="s">
        <v>199</v>
      </c>
      <c r="C1336" t="s">
        <v>207</v>
      </c>
      <c r="D1336">
        <f>IF(B1336=$AB$2,$AC$2,$AC$3)</f>
        <v>1</v>
      </c>
      <c r="E1336">
        <f>IF(ISBLANK(C1336),0,VLOOKUP(C1336,$AE$2:$AF$7,2,0))</f>
        <v>0.5</v>
      </c>
      <c r="F1336">
        <f t="shared" si="43"/>
        <v>0.5</v>
      </c>
    </row>
    <row r="1337" spans="1:6">
      <c r="A1337" s="30">
        <f t="shared" si="44"/>
        <v>44427</v>
      </c>
      <c r="B1337" s="32" t="s">
        <v>199</v>
      </c>
      <c r="C1337" t="s">
        <v>207</v>
      </c>
      <c r="D1337">
        <f>IF(B1337=$AB$2,$AC$2,$AC$3)</f>
        <v>1</v>
      </c>
      <c r="E1337">
        <f>IF(ISBLANK(C1337),0,VLOOKUP(C1337,$AE$2:$AF$7,2,0))</f>
        <v>0.5</v>
      </c>
      <c r="F1337">
        <f t="shared" si="43"/>
        <v>0.5</v>
      </c>
    </row>
    <row r="1338" spans="1:6">
      <c r="A1338" s="30">
        <f t="shared" si="44"/>
        <v>44428</v>
      </c>
      <c r="B1338" s="32" t="s">
        <v>199</v>
      </c>
      <c r="C1338" t="s">
        <v>207</v>
      </c>
      <c r="D1338">
        <f>IF(B1338=$AB$2,$AC$2,$AC$3)</f>
        <v>1</v>
      </c>
      <c r="E1338">
        <f>IF(ISBLANK(C1338),0,VLOOKUP(C1338,$AE$2:$AF$7,2,0))</f>
        <v>0.5</v>
      </c>
      <c r="F1338">
        <f t="shared" si="43"/>
        <v>0.5</v>
      </c>
    </row>
    <row r="1339" spans="1:6">
      <c r="A1339" s="30">
        <f t="shared" si="44"/>
        <v>44429</v>
      </c>
      <c r="B1339" s="32" t="s">
        <v>199</v>
      </c>
      <c r="C1339" t="s">
        <v>207</v>
      </c>
      <c r="D1339">
        <f>IF(B1339=$AB$2,$AC$2,$AC$3)</f>
        <v>1</v>
      </c>
      <c r="E1339">
        <f>IF(ISBLANK(C1339),0,VLOOKUP(C1339,$AE$2:$AF$7,2,0))</f>
        <v>0.5</v>
      </c>
      <c r="F1339">
        <f t="shared" si="43"/>
        <v>0.5</v>
      </c>
    </row>
    <row r="1340" spans="1:6">
      <c r="A1340" s="30">
        <f t="shared" si="44"/>
        <v>44430</v>
      </c>
      <c r="B1340" s="32" t="s">
        <v>199</v>
      </c>
      <c r="C1340" t="s">
        <v>207</v>
      </c>
      <c r="D1340">
        <f>IF(B1340=$AB$2,$AC$2,$AC$3)</f>
        <v>1</v>
      </c>
      <c r="E1340">
        <f>IF(ISBLANK(C1340),0,VLOOKUP(C1340,$AE$2:$AF$7,2,0))</f>
        <v>0.5</v>
      </c>
      <c r="F1340">
        <f t="shared" si="43"/>
        <v>0.5</v>
      </c>
    </row>
    <row r="1341" spans="1:6">
      <c r="A1341" s="30">
        <f t="shared" si="44"/>
        <v>44431</v>
      </c>
      <c r="B1341" s="32" t="s">
        <v>199</v>
      </c>
      <c r="C1341" t="s">
        <v>207</v>
      </c>
      <c r="D1341">
        <f>IF(B1341=$AB$2,$AC$2,$AC$3)</f>
        <v>1</v>
      </c>
      <c r="E1341">
        <f>IF(ISBLANK(C1341),0,VLOOKUP(C1341,$AE$2:$AF$7,2,0))</f>
        <v>0.5</v>
      </c>
      <c r="F1341">
        <f t="shared" si="43"/>
        <v>0.5</v>
      </c>
    </row>
    <row r="1342" spans="1:6">
      <c r="A1342" s="30">
        <f t="shared" si="44"/>
        <v>44432</v>
      </c>
      <c r="B1342" s="32" t="s">
        <v>199</v>
      </c>
      <c r="C1342" t="s">
        <v>207</v>
      </c>
      <c r="D1342">
        <f>IF(B1342=$AB$2,$AC$2,$AC$3)</f>
        <v>1</v>
      </c>
      <c r="E1342">
        <f>IF(ISBLANK(C1342),0,VLOOKUP(C1342,$AE$2:$AF$7,2,0))</f>
        <v>0.5</v>
      </c>
      <c r="F1342">
        <f t="shared" si="43"/>
        <v>0.5</v>
      </c>
    </row>
    <row r="1343" spans="1:6">
      <c r="A1343" s="30">
        <f t="shared" si="44"/>
        <v>44433</v>
      </c>
      <c r="B1343" s="32" t="s">
        <v>199</v>
      </c>
      <c r="C1343" t="s">
        <v>207</v>
      </c>
      <c r="D1343">
        <f>IF(B1343=$AB$2,$AC$2,$AC$3)</f>
        <v>1</v>
      </c>
      <c r="E1343">
        <f>IF(ISBLANK(C1343),0,VLOOKUP(C1343,$AE$2:$AF$7,2,0))</f>
        <v>0.5</v>
      </c>
      <c r="F1343">
        <f t="shared" si="43"/>
        <v>0.5</v>
      </c>
    </row>
    <row r="1344" spans="1:6">
      <c r="A1344" s="30">
        <f t="shared" si="44"/>
        <v>44434</v>
      </c>
      <c r="B1344" s="32" t="s">
        <v>199</v>
      </c>
      <c r="C1344" t="s">
        <v>207</v>
      </c>
      <c r="D1344">
        <f>IF(B1344=$AB$2,$AC$2,$AC$3)</f>
        <v>1</v>
      </c>
      <c r="E1344">
        <f>IF(ISBLANK(C1344),0,VLOOKUP(C1344,$AE$2:$AF$7,2,0))</f>
        <v>0.5</v>
      </c>
      <c r="F1344">
        <f t="shared" si="43"/>
        <v>0.5</v>
      </c>
    </row>
    <row r="1345" spans="1:6">
      <c r="A1345" s="30">
        <f t="shared" si="44"/>
        <v>44435</v>
      </c>
      <c r="B1345" s="32" t="s">
        <v>199</v>
      </c>
      <c r="C1345" t="s">
        <v>207</v>
      </c>
      <c r="D1345">
        <f>IF(B1345=$AB$2,$AC$2,$AC$3)</f>
        <v>1</v>
      </c>
      <c r="E1345">
        <f>IF(ISBLANK(C1345),0,VLOOKUP(C1345,$AE$2:$AF$7,2,0))</f>
        <v>0.5</v>
      </c>
      <c r="F1345">
        <f t="shared" si="43"/>
        <v>0.5</v>
      </c>
    </row>
    <row r="1346" spans="1:6">
      <c r="A1346" s="30">
        <f t="shared" si="44"/>
        <v>44436</v>
      </c>
      <c r="B1346" s="32" t="s">
        <v>199</v>
      </c>
      <c r="C1346" t="s">
        <v>207</v>
      </c>
      <c r="D1346">
        <f>IF(B1346=$AB$2,$AC$2,$AC$3)</f>
        <v>1</v>
      </c>
      <c r="E1346">
        <f>IF(ISBLANK(C1346),0,VLOOKUP(C1346,$AE$2:$AF$7,2,0))</f>
        <v>0.5</v>
      </c>
      <c r="F1346">
        <f t="shared" si="43"/>
        <v>0.5</v>
      </c>
    </row>
    <row r="1347" spans="1:6">
      <c r="A1347" s="30">
        <f t="shared" si="44"/>
        <v>44437</v>
      </c>
      <c r="B1347" s="32" t="s">
        <v>199</v>
      </c>
      <c r="C1347" t="s">
        <v>207</v>
      </c>
      <c r="D1347">
        <f>IF(B1347=$AB$2,$AC$2,$AC$3)</f>
        <v>1</v>
      </c>
      <c r="E1347">
        <f>IF(ISBLANK(C1347),0,VLOOKUP(C1347,$AE$2:$AF$7,2,0))</f>
        <v>0.5</v>
      </c>
      <c r="F1347">
        <f t="shared" ref="F1347:F1410" si="45">D1347*E1347</f>
        <v>0.5</v>
      </c>
    </row>
    <row r="1348" spans="1:6">
      <c r="A1348" s="30">
        <f t="shared" si="44"/>
        <v>44438</v>
      </c>
      <c r="B1348" s="32" t="s">
        <v>199</v>
      </c>
      <c r="C1348" t="s">
        <v>207</v>
      </c>
      <c r="D1348">
        <f>IF(B1348=$AB$2,$AC$2,$AC$3)</f>
        <v>1</v>
      </c>
      <c r="E1348">
        <f>IF(ISBLANK(C1348),0,VLOOKUP(C1348,$AE$2:$AF$7,2,0))</f>
        <v>0.5</v>
      </c>
      <c r="F1348">
        <f t="shared" si="45"/>
        <v>0.5</v>
      </c>
    </row>
    <row r="1349" spans="1:6">
      <c r="A1349" s="30">
        <f t="shared" si="44"/>
        <v>44439</v>
      </c>
      <c r="B1349" s="32" t="s">
        <v>199</v>
      </c>
      <c r="C1349" t="s">
        <v>207</v>
      </c>
      <c r="D1349">
        <f>IF(B1349=$AB$2,$AC$2,$AC$3)</f>
        <v>1</v>
      </c>
      <c r="E1349">
        <f>IF(ISBLANK(C1349),0,VLOOKUP(C1349,$AE$2:$AF$7,2,0))</f>
        <v>0.5</v>
      </c>
      <c r="F1349">
        <f t="shared" si="45"/>
        <v>0.5</v>
      </c>
    </row>
    <row r="1350" spans="1:6">
      <c r="A1350" s="30">
        <f t="shared" si="44"/>
        <v>44440</v>
      </c>
      <c r="B1350" s="32" t="s">
        <v>199</v>
      </c>
      <c r="C1350" t="s">
        <v>207</v>
      </c>
      <c r="D1350">
        <f>IF(B1350=$AB$2,$AC$2,$AC$3)</f>
        <v>1</v>
      </c>
      <c r="E1350">
        <f>IF(ISBLANK(C1350),0,VLOOKUP(C1350,$AE$2:$AF$7,2,0))</f>
        <v>0.5</v>
      </c>
      <c r="F1350">
        <f t="shared" si="45"/>
        <v>0.5</v>
      </c>
    </row>
    <row r="1351" spans="1:6">
      <c r="A1351" s="30">
        <f t="shared" si="44"/>
        <v>44441</v>
      </c>
      <c r="B1351" s="32" t="s">
        <v>199</v>
      </c>
      <c r="C1351" t="s">
        <v>207</v>
      </c>
      <c r="D1351">
        <f>IF(B1351=$AB$2,$AC$2,$AC$3)</f>
        <v>1</v>
      </c>
      <c r="E1351">
        <f>IF(ISBLANK(C1351),0,VLOOKUP(C1351,$AE$2:$AF$7,2,0))</f>
        <v>0.5</v>
      </c>
      <c r="F1351">
        <f t="shared" si="45"/>
        <v>0.5</v>
      </c>
    </row>
    <row r="1352" spans="1:6">
      <c r="A1352" s="30">
        <f t="shared" si="44"/>
        <v>44442</v>
      </c>
      <c r="B1352" s="32" t="s">
        <v>199</v>
      </c>
      <c r="C1352" t="s">
        <v>207</v>
      </c>
      <c r="D1352">
        <f>IF(B1352=$AB$2,$AC$2,$AC$3)</f>
        <v>1</v>
      </c>
      <c r="E1352">
        <f>IF(ISBLANK(C1352),0,VLOOKUP(C1352,$AE$2:$AF$7,2,0))</f>
        <v>0.5</v>
      </c>
      <c r="F1352">
        <f t="shared" si="45"/>
        <v>0.5</v>
      </c>
    </row>
    <row r="1353" spans="1:6">
      <c r="A1353" s="30">
        <f t="shared" si="44"/>
        <v>44443</v>
      </c>
      <c r="B1353" s="32" t="s">
        <v>199</v>
      </c>
      <c r="C1353" t="s">
        <v>207</v>
      </c>
      <c r="D1353">
        <f>IF(B1353=$AB$2,$AC$2,$AC$3)</f>
        <v>1</v>
      </c>
      <c r="E1353">
        <f>IF(ISBLANK(C1353),0,VLOOKUP(C1353,$AE$2:$AF$7,2,0))</f>
        <v>0.5</v>
      </c>
      <c r="F1353">
        <f t="shared" si="45"/>
        <v>0.5</v>
      </c>
    </row>
    <row r="1354" spans="1:6">
      <c r="A1354" s="30">
        <f t="shared" si="44"/>
        <v>44444</v>
      </c>
      <c r="B1354" s="32" t="s">
        <v>199</v>
      </c>
      <c r="C1354" t="s">
        <v>207</v>
      </c>
      <c r="D1354">
        <f>IF(B1354=$AB$2,$AC$2,$AC$3)</f>
        <v>1</v>
      </c>
      <c r="E1354">
        <f>IF(ISBLANK(C1354),0,VLOOKUP(C1354,$AE$2:$AF$7,2,0))</f>
        <v>0.5</v>
      </c>
      <c r="F1354">
        <f t="shared" si="45"/>
        <v>0.5</v>
      </c>
    </row>
    <row r="1355" spans="1:6">
      <c r="A1355" s="30">
        <f t="shared" si="44"/>
        <v>44445</v>
      </c>
      <c r="B1355" s="32" t="s">
        <v>199</v>
      </c>
      <c r="C1355" t="s">
        <v>207</v>
      </c>
      <c r="D1355">
        <f>IF(B1355=$AB$2,$AC$2,$AC$3)</f>
        <v>1</v>
      </c>
      <c r="E1355">
        <f>IF(ISBLANK(C1355),0,VLOOKUP(C1355,$AE$2:$AF$7,2,0))</f>
        <v>0.5</v>
      </c>
      <c r="F1355">
        <f t="shared" si="45"/>
        <v>0.5</v>
      </c>
    </row>
    <row r="1356" spans="1:6">
      <c r="A1356" s="30">
        <f t="shared" si="44"/>
        <v>44446</v>
      </c>
      <c r="B1356" s="32" t="s">
        <v>199</v>
      </c>
      <c r="C1356" t="s">
        <v>207</v>
      </c>
      <c r="D1356">
        <f>IF(B1356=$AB$2,$AC$2,$AC$3)</f>
        <v>1</v>
      </c>
      <c r="E1356">
        <f>IF(ISBLANK(C1356),0,VLOOKUP(C1356,$AE$2:$AF$7,2,0))</f>
        <v>0.5</v>
      </c>
      <c r="F1356">
        <f t="shared" si="45"/>
        <v>0.5</v>
      </c>
    </row>
    <row r="1357" spans="1:6">
      <c r="A1357" s="30">
        <f t="shared" si="44"/>
        <v>44447</v>
      </c>
      <c r="B1357" s="32" t="s">
        <v>199</v>
      </c>
      <c r="C1357" t="s">
        <v>207</v>
      </c>
      <c r="D1357">
        <f>IF(B1357=$AB$2,$AC$2,$AC$3)</f>
        <v>1</v>
      </c>
      <c r="E1357">
        <f>IF(ISBLANK(C1357),0,VLOOKUP(C1357,$AE$2:$AF$7,2,0))</f>
        <v>0.5</v>
      </c>
      <c r="F1357">
        <f t="shared" si="45"/>
        <v>0.5</v>
      </c>
    </row>
    <row r="1358" spans="1:6">
      <c r="A1358" s="30">
        <f t="shared" si="44"/>
        <v>44448</v>
      </c>
      <c r="B1358" s="32" t="s">
        <v>199</v>
      </c>
      <c r="C1358" t="s">
        <v>207</v>
      </c>
      <c r="D1358">
        <f>IF(B1358=$AB$2,$AC$2,$AC$3)</f>
        <v>1</v>
      </c>
      <c r="E1358">
        <f>IF(ISBLANK(C1358),0,VLOOKUP(C1358,$AE$2:$AF$7,2,0))</f>
        <v>0.5</v>
      </c>
      <c r="F1358">
        <f t="shared" si="45"/>
        <v>0.5</v>
      </c>
    </row>
    <row r="1359" spans="1:6">
      <c r="A1359" s="30">
        <f t="shared" si="44"/>
        <v>44449</v>
      </c>
      <c r="B1359" s="32" t="s">
        <v>199</v>
      </c>
      <c r="C1359" t="s">
        <v>207</v>
      </c>
      <c r="D1359">
        <f>IF(B1359=$AB$2,$AC$2,$AC$3)</f>
        <v>1</v>
      </c>
      <c r="E1359">
        <f>IF(ISBLANK(C1359),0,VLOOKUP(C1359,$AE$2:$AF$7,2,0))</f>
        <v>0.5</v>
      </c>
      <c r="F1359">
        <f t="shared" si="45"/>
        <v>0.5</v>
      </c>
    </row>
    <row r="1360" spans="1:6">
      <c r="A1360" s="30">
        <f t="shared" si="44"/>
        <v>44450</v>
      </c>
      <c r="B1360" s="32" t="s">
        <v>199</v>
      </c>
      <c r="C1360" t="s">
        <v>207</v>
      </c>
      <c r="D1360">
        <f>IF(B1360=$AB$2,$AC$2,$AC$3)</f>
        <v>1</v>
      </c>
      <c r="E1360">
        <f>IF(ISBLANK(C1360),0,VLOOKUP(C1360,$AE$2:$AF$7,2,0))</f>
        <v>0.5</v>
      </c>
      <c r="F1360">
        <f t="shared" si="45"/>
        <v>0.5</v>
      </c>
    </row>
    <row r="1361" spans="1:6">
      <c r="A1361" s="30">
        <f t="shared" si="44"/>
        <v>44451</v>
      </c>
      <c r="B1361" s="32" t="s">
        <v>199</v>
      </c>
      <c r="C1361" t="s">
        <v>207</v>
      </c>
      <c r="D1361">
        <f>IF(B1361=$AB$2,$AC$2,$AC$3)</f>
        <v>1</v>
      </c>
      <c r="E1361">
        <f>IF(ISBLANK(C1361),0,VLOOKUP(C1361,$AE$2:$AF$7,2,0))</f>
        <v>0.5</v>
      </c>
      <c r="F1361">
        <f t="shared" si="45"/>
        <v>0.5</v>
      </c>
    </row>
    <row r="1362" spans="1:6">
      <c r="A1362" s="30">
        <f t="shared" si="44"/>
        <v>44452</v>
      </c>
      <c r="B1362" s="32" t="s">
        <v>199</v>
      </c>
      <c r="C1362" t="s">
        <v>207</v>
      </c>
      <c r="D1362">
        <f>IF(B1362=$AB$2,$AC$2,$AC$3)</f>
        <v>1</v>
      </c>
      <c r="E1362">
        <f>IF(ISBLANK(C1362),0,VLOOKUP(C1362,$AE$2:$AF$7,2,0))</f>
        <v>0.5</v>
      </c>
      <c r="F1362">
        <f t="shared" si="45"/>
        <v>0.5</v>
      </c>
    </row>
    <row r="1363" spans="1:6">
      <c r="A1363" s="30">
        <f t="shared" si="44"/>
        <v>44453</v>
      </c>
      <c r="B1363" s="32" t="s">
        <v>199</v>
      </c>
      <c r="C1363" t="s">
        <v>207</v>
      </c>
      <c r="D1363">
        <f>IF(B1363=$AB$2,$AC$2,$AC$3)</f>
        <v>1</v>
      </c>
      <c r="E1363">
        <f>IF(ISBLANK(C1363),0,VLOOKUP(C1363,$AE$2:$AF$7,2,0))</f>
        <v>0.5</v>
      </c>
      <c r="F1363">
        <f t="shared" si="45"/>
        <v>0.5</v>
      </c>
    </row>
    <row r="1364" spans="1:6">
      <c r="A1364" s="30">
        <f t="shared" si="44"/>
        <v>44454</v>
      </c>
      <c r="B1364" s="32" t="s">
        <v>199</v>
      </c>
      <c r="C1364" t="s">
        <v>207</v>
      </c>
      <c r="D1364">
        <f>IF(B1364=$AB$2,$AC$2,$AC$3)</f>
        <v>1</v>
      </c>
      <c r="E1364">
        <f>IF(ISBLANK(C1364),0,VLOOKUP(C1364,$AE$2:$AF$7,2,0))</f>
        <v>0.5</v>
      </c>
      <c r="F1364">
        <f t="shared" si="45"/>
        <v>0.5</v>
      </c>
    </row>
    <row r="1365" spans="1:6">
      <c r="A1365" s="30">
        <f t="shared" si="44"/>
        <v>44455</v>
      </c>
      <c r="B1365" s="32" t="s">
        <v>199</v>
      </c>
      <c r="C1365" t="s">
        <v>207</v>
      </c>
      <c r="D1365">
        <f>IF(B1365=$AB$2,$AC$2,$AC$3)</f>
        <v>1</v>
      </c>
      <c r="E1365">
        <f>IF(ISBLANK(C1365),0,VLOOKUP(C1365,$AE$2:$AF$7,2,0))</f>
        <v>0.5</v>
      </c>
      <c r="F1365">
        <f t="shared" si="45"/>
        <v>0.5</v>
      </c>
    </row>
    <row r="1366" spans="1:6">
      <c r="A1366" s="30">
        <f t="shared" si="44"/>
        <v>44456</v>
      </c>
      <c r="B1366" s="32" t="s">
        <v>199</v>
      </c>
      <c r="C1366" t="s">
        <v>207</v>
      </c>
      <c r="D1366">
        <f>IF(B1366=$AB$2,$AC$2,$AC$3)</f>
        <v>1</v>
      </c>
      <c r="E1366">
        <f>IF(ISBLANK(C1366),0,VLOOKUP(C1366,$AE$2:$AF$7,2,0))</f>
        <v>0.5</v>
      </c>
      <c r="F1366">
        <f t="shared" si="45"/>
        <v>0.5</v>
      </c>
    </row>
    <row r="1367" spans="1:6">
      <c r="A1367" s="30">
        <f t="shared" si="44"/>
        <v>44457</v>
      </c>
      <c r="B1367" s="32" t="s">
        <v>199</v>
      </c>
      <c r="C1367" t="s">
        <v>207</v>
      </c>
      <c r="D1367">
        <f>IF(B1367=$AB$2,$AC$2,$AC$3)</f>
        <v>1</v>
      </c>
      <c r="E1367">
        <f>IF(ISBLANK(C1367),0,VLOOKUP(C1367,$AE$2:$AF$7,2,0))</f>
        <v>0.5</v>
      </c>
      <c r="F1367">
        <f t="shared" si="45"/>
        <v>0.5</v>
      </c>
    </row>
    <row r="1368" spans="1:6">
      <c r="A1368" s="30">
        <f t="shared" si="44"/>
        <v>44458</v>
      </c>
      <c r="B1368" s="32" t="s">
        <v>199</v>
      </c>
      <c r="C1368" t="s">
        <v>207</v>
      </c>
      <c r="D1368">
        <f>IF(B1368=$AB$2,$AC$2,$AC$3)</f>
        <v>1</v>
      </c>
      <c r="E1368">
        <f>IF(ISBLANK(C1368),0,VLOOKUP(C1368,$AE$2:$AF$7,2,0))</f>
        <v>0.5</v>
      </c>
      <c r="F1368">
        <f t="shared" si="45"/>
        <v>0.5</v>
      </c>
    </row>
    <row r="1369" spans="1:6">
      <c r="A1369" s="30">
        <f t="shared" si="44"/>
        <v>44459</v>
      </c>
      <c r="B1369" s="32" t="s">
        <v>199</v>
      </c>
      <c r="C1369" t="s">
        <v>207</v>
      </c>
      <c r="D1369">
        <f>IF(B1369=$AB$2,$AC$2,$AC$3)</f>
        <v>1</v>
      </c>
      <c r="E1369">
        <f>IF(ISBLANK(C1369),0,VLOOKUP(C1369,$AE$2:$AF$7,2,0))</f>
        <v>0.5</v>
      </c>
      <c r="F1369">
        <f t="shared" si="45"/>
        <v>0.5</v>
      </c>
    </row>
    <row r="1370" spans="1:6">
      <c r="A1370" s="30">
        <f t="shared" si="44"/>
        <v>44460</v>
      </c>
      <c r="B1370" s="32" t="s">
        <v>199</v>
      </c>
      <c r="C1370" t="s">
        <v>207</v>
      </c>
      <c r="D1370">
        <f>IF(B1370=$AB$2,$AC$2,$AC$3)</f>
        <v>1</v>
      </c>
      <c r="E1370">
        <f>IF(ISBLANK(C1370),0,VLOOKUP(C1370,$AE$2:$AF$7,2,0))</f>
        <v>0.5</v>
      </c>
      <c r="F1370">
        <f t="shared" si="45"/>
        <v>0.5</v>
      </c>
    </row>
    <row r="1371" spans="1:6">
      <c r="A1371" s="30">
        <f>A1370+1</f>
        <v>44461</v>
      </c>
      <c r="B1371" s="32" t="s">
        <v>199</v>
      </c>
      <c r="C1371" t="s">
        <v>207</v>
      </c>
      <c r="D1371">
        <f>IF(B1371=$AB$2,$AC$2,$AC$3)</f>
        <v>1</v>
      </c>
      <c r="E1371">
        <f>IF(ISBLANK(C1371),0,VLOOKUP(C1371,$AE$2:$AF$7,2,0))</f>
        <v>0.5</v>
      </c>
      <c r="F1371">
        <f t="shared" si="45"/>
        <v>0.5</v>
      </c>
    </row>
    <row r="1372" spans="1:6">
      <c r="A1372" s="30">
        <f t="shared" ref="A1372:A1435" si="46">A1371+1</f>
        <v>44462</v>
      </c>
      <c r="B1372" s="32" t="s">
        <v>199</v>
      </c>
      <c r="C1372" t="s">
        <v>207</v>
      </c>
      <c r="D1372">
        <f>IF(B1372=$AB$2,$AC$2,$AC$3)</f>
        <v>1</v>
      </c>
      <c r="E1372">
        <f>IF(ISBLANK(C1372),0,VLOOKUP(C1372,$AE$2:$AF$7,2,0))</f>
        <v>0.5</v>
      </c>
      <c r="F1372">
        <f t="shared" si="45"/>
        <v>0.5</v>
      </c>
    </row>
    <row r="1373" spans="1:6">
      <c r="A1373" s="30">
        <f t="shared" si="46"/>
        <v>44463</v>
      </c>
      <c r="B1373" s="32" t="s">
        <v>199</v>
      </c>
      <c r="C1373" t="s">
        <v>207</v>
      </c>
      <c r="D1373">
        <f>IF(B1373=$AB$2,$AC$2,$AC$3)</f>
        <v>1</v>
      </c>
      <c r="E1373">
        <f>IF(ISBLANK(C1373),0,VLOOKUP(C1373,$AE$2:$AF$7,2,0))</f>
        <v>0.5</v>
      </c>
      <c r="F1373">
        <f t="shared" si="45"/>
        <v>0.5</v>
      </c>
    </row>
    <row r="1374" spans="1:6">
      <c r="A1374" s="30">
        <f t="shared" si="46"/>
        <v>44464</v>
      </c>
      <c r="B1374" s="32" t="s">
        <v>199</v>
      </c>
      <c r="C1374" t="s">
        <v>207</v>
      </c>
      <c r="D1374">
        <f>IF(B1374=$AB$2,$AC$2,$AC$3)</f>
        <v>1</v>
      </c>
      <c r="E1374">
        <f>IF(ISBLANK(C1374),0,VLOOKUP(C1374,$AE$2:$AF$7,2,0))</f>
        <v>0.5</v>
      </c>
      <c r="F1374">
        <f t="shared" si="45"/>
        <v>0.5</v>
      </c>
    </row>
    <row r="1375" spans="1:6">
      <c r="A1375" s="30">
        <f t="shared" si="46"/>
        <v>44465</v>
      </c>
      <c r="B1375" s="32" t="s">
        <v>199</v>
      </c>
      <c r="C1375" t="s">
        <v>207</v>
      </c>
      <c r="D1375">
        <f>IF(B1375=$AB$2,$AC$2,$AC$3)</f>
        <v>1</v>
      </c>
      <c r="E1375">
        <f>IF(ISBLANK(C1375),0,VLOOKUP(C1375,$AE$2:$AF$7,2,0))</f>
        <v>0.5</v>
      </c>
      <c r="F1375">
        <f t="shared" si="45"/>
        <v>0.5</v>
      </c>
    </row>
    <row r="1376" spans="1:6">
      <c r="A1376" s="30">
        <f t="shared" si="46"/>
        <v>44466</v>
      </c>
      <c r="B1376" s="32" t="s">
        <v>199</v>
      </c>
      <c r="C1376" t="s">
        <v>207</v>
      </c>
      <c r="D1376">
        <f>IF(B1376=$AB$2,$AC$2,$AC$3)</f>
        <v>1</v>
      </c>
      <c r="E1376">
        <f>IF(ISBLANK(C1376),0,VLOOKUP(C1376,$AE$2:$AF$7,2,0))</f>
        <v>0.5</v>
      </c>
      <c r="F1376">
        <f t="shared" si="45"/>
        <v>0.5</v>
      </c>
    </row>
    <row r="1377" spans="1:6">
      <c r="A1377" s="30">
        <f t="shared" si="46"/>
        <v>44467</v>
      </c>
      <c r="B1377" s="32" t="s">
        <v>199</v>
      </c>
      <c r="C1377" t="s">
        <v>207</v>
      </c>
      <c r="D1377">
        <f>IF(B1377=$AB$2,$AC$2,$AC$3)</f>
        <v>1</v>
      </c>
      <c r="E1377">
        <f>IF(ISBLANK(C1377),0,VLOOKUP(C1377,$AE$2:$AF$7,2,0))</f>
        <v>0.5</v>
      </c>
      <c r="F1377">
        <f t="shared" si="45"/>
        <v>0.5</v>
      </c>
    </row>
    <row r="1378" spans="1:6">
      <c r="A1378" s="30">
        <f t="shared" si="46"/>
        <v>44468</v>
      </c>
      <c r="B1378" s="32" t="s">
        <v>199</v>
      </c>
      <c r="C1378" t="s">
        <v>207</v>
      </c>
      <c r="D1378">
        <f>IF(B1378=$AB$2,$AC$2,$AC$3)</f>
        <v>1</v>
      </c>
      <c r="E1378">
        <f>IF(ISBLANK(C1378),0,VLOOKUP(C1378,$AE$2:$AF$7,2,0))</f>
        <v>0.5</v>
      </c>
      <c r="F1378">
        <f t="shared" si="45"/>
        <v>0.5</v>
      </c>
    </row>
    <row r="1379" spans="1:6">
      <c r="A1379" s="30">
        <f t="shared" si="46"/>
        <v>44469</v>
      </c>
      <c r="B1379" s="32" t="s">
        <v>199</v>
      </c>
      <c r="C1379" t="s">
        <v>207</v>
      </c>
      <c r="D1379">
        <f>IF(B1379=$AB$2,$AC$2,$AC$3)</f>
        <v>1</v>
      </c>
      <c r="E1379">
        <f>IF(ISBLANK(C1379),0,VLOOKUP(C1379,$AE$2:$AF$7,2,0))</f>
        <v>0.5</v>
      </c>
      <c r="F1379">
        <f t="shared" si="45"/>
        <v>0.5</v>
      </c>
    </row>
    <row r="1380" spans="1:6">
      <c r="A1380" s="30">
        <f t="shared" si="46"/>
        <v>44470</v>
      </c>
      <c r="B1380" s="32" t="s">
        <v>199</v>
      </c>
      <c r="C1380" t="s">
        <v>207</v>
      </c>
      <c r="D1380">
        <f>IF(B1380=$AB$2,$AC$2,$AC$3)</f>
        <v>1</v>
      </c>
      <c r="E1380">
        <f>IF(ISBLANK(C1380),0,VLOOKUP(C1380,$AE$2:$AF$7,2,0))</f>
        <v>0.5</v>
      </c>
      <c r="F1380">
        <f t="shared" si="45"/>
        <v>0.5</v>
      </c>
    </row>
    <row r="1381" spans="1:6">
      <c r="A1381" s="30">
        <f t="shared" si="46"/>
        <v>44471</v>
      </c>
      <c r="B1381" s="32" t="s">
        <v>199</v>
      </c>
      <c r="C1381" t="s">
        <v>207</v>
      </c>
      <c r="D1381">
        <f>IF(B1381=$AB$2,$AC$2,$AC$3)</f>
        <v>1</v>
      </c>
      <c r="E1381">
        <f>IF(ISBLANK(C1381),0,VLOOKUP(C1381,$AE$2:$AF$7,2,0))</f>
        <v>0.5</v>
      </c>
      <c r="F1381">
        <f t="shared" si="45"/>
        <v>0.5</v>
      </c>
    </row>
    <row r="1382" spans="1:6">
      <c r="A1382" s="30">
        <f t="shared" si="46"/>
        <v>44472</v>
      </c>
      <c r="B1382" s="32" t="s">
        <v>199</v>
      </c>
      <c r="C1382" t="s">
        <v>207</v>
      </c>
      <c r="D1382">
        <f>IF(B1382=$AB$2,$AC$2,$AC$3)</f>
        <v>1</v>
      </c>
      <c r="E1382">
        <f>IF(ISBLANK(C1382),0,VLOOKUP(C1382,$AE$2:$AF$7,2,0))</f>
        <v>0.5</v>
      </c>
      <c r="F1382">
        <f t="shared" si="45"/>
        <v>0.5</v>
      </c>
    </row>
    <row r="1383" spans="1:6">
      <c r="A1383" s="30">
        <f t="shared" si="46"/>
        <v>44473</v>
      </c>
      <c r="B1383" s="32" t="s">
        <v>199</v>
      </c>
      <c r="C1383" t="s">
        <v>207</v>
      </c>
      <c r="D1383">
        <f>IF(B1383=$AB$2,$AC$2,$AC$3)</f>
        <v>1</v>
      </c>
      <c r="E1383">
        <f>IF(ISBLANK(C1383),0,VLOOKUP(C1383,$AE$2:$AF$7,2,0))</f>
        <v>0.5</v>
      </c>
      <c r="F1383">
        <f t="shared" si="45"/>
        <v>0.5</v>
      </c>
    </row>
    <row r="1384" spans="1:6">
      <c r="A1384" s="30">
        <f t="shared" si="46"/>
        <v>44474</v>
      </c>
      <c r="B1384" s="32" t="s">
        <v>199</v>
      </c>
      <c r="C1384" t="s">
        <v>207</v>
      </c>
      <c r="D1384">
        <f>IF(B1384=$AB$2,$AC$2,$AC$3)</f>
        <v>1</v>
      </c>
      <c r="E1384">
        <f>IF(ISBLANK(C1384),0,VLOOKUP(C1384,$AE$2:$AF$7,2,0))</f>
        <v>0.5</v>
      </c>
      <c r="F1384">
        <f t="shared" si="45"/>
        <v>0.5</v>
      </c>
    </row>
    <row r="1385" spans="1:6">
      <c r="A1385" s="30">
        <f t="shared" si="46"/>
        <v>44475</v>
      </c>
      <c r="B1385" s="32" t="s">
        <v>199</v>
      </c>
      <c r="C1385" t="s">
        <v>207</v>
      </c>
      <c r="D1385">
        <f>IF(B1385=$AB$2,$AC$2,$AC$3)</f>
        <v>1</v>
      </c>
      <c r="E1385">
        <f>IF(ISBLANK(C1385),0,VLOOKUP(C1385,$AE$2:$AF$7,2,0))</f>
        <v>0.5</v>
      </c>
      <c r="F1385">
        <f t="shared" si="45"/>
        <v>0.5</v>
      </c>
    </row>
    <row r="1386" spans="1:6">
      <c r="A1386" s="30">
        <f t="shared" si="46"/>
        <v>44476</v>
      </c>
      <c r="B1386" s="32" t="s">
        <v>199</v>
      </c>
      <c r="C1386" t="s">
        <v>207</v>
      </c>
      <c r="D1386">
        <f>IF(B1386=$AB$2,$AC$2,$AC$3)</f>
        <v>1</v>
      </c>
      <c r="E1386">
        <f>IF(ISBLANK(C1386),0,VLOOKUP(C1386,$AE$2:$AF$7,2,0))</f>
        <v>0.5</v>
      </c>
      <c r="F1386">
        <f t="shared" si="45"/>
        <v>0.5</v>
      </c>
    </row>
    <row r="1387" spans="1:6">
      <c r="A1387" s="30">
        <f t="shared" si="46"/>
        <v>44477</v>
      </c>
      <c r="B1387" s="32" t="s">
        <v>199</v>
      </c>
      <c r="C1387" t="s">
        <v>207</v>
      </c>
      <c r="D1387">
        <f>IF(B1387=$AB$2,$AC$2,$AC$3)</f>
        <v>1</v>
      </c>
      <c r="E1387">
        <f>IF(ISBLANK(C1387),0,VLOOKUP(C1387,$AE$2:$AF$7,2,0))</f>
        <v>0.5</v>
      </c>
      <c r="F1387">
        <f t="shared" si="45"/>
        <v>0.5</v>
      </c>
    </row>
    <row r="1388" spans="1:6">
      <c r="A1388" s="30">
        <f t="shared" si="46"/>
        <v>44478</v>
      </c>
      <c r="B1388" s="32" t="s">
        <v>199</v>
      </c>
      <c r="C1388" t="s">
        <v>207</v>
      </c>
      <c r="D1388">
        <f>IF(B1388=$AB$2,$AC$2,$AC$3)</f>
        <v>1</v>
      </c>
      <c r="E1388">
        <f>IF(ISBLANK(C1388),0,VLOOKUP(C1388,$AE$2:$AF$7,2,0))</f>
        <v>0.5</v>
      </c>
      <c r="F1388">
        <f t="shared" si="45"/>
        <v>0.5</v>
      </c>
    </row>
    <row r="1389" spans="1:6">
      <c r="A1389" s="30">
        <f t="shared" si="46"/>
        <v>44479</v>
      </c>
      <c r="B1389" s="32" t="s">
        <v>199</v>
      </c>
      <c r="C1389" t="s">
        <v>207</v>
      </c>
      <c r="D1389">
        <f>IF(B1389=$AB$2,$AC$2,$AC$3)</f>
        <v>1</v>
      </c>
      <c r="E1389">
        <f>IF(ISBLANK(C1389),0,VLOOKUP(C1389,$AE$2:$AF$7,2,0))</f>
        <v>0.5</v>
      </c>
      <c r="F1389">
        <f t="shared" si="45"/>
        <v>0.5</v>
      </c>
    </row>
    <row r="1390" spans="1:6">
      <c r="A1390" s="30">
        <f t="shared" si="46"/>
        <v>44480</v>
      </c>
      <c r="B1390" s="32" t="s">
        <v>199</v>
      </c>
      <c r="C1390" t="s">
        <v>207</v>
      </c>
      <c r="D1390">
        <f>IF(B1390=$AB$2,$AC$2,$AC$3)</f>
        <v>1</v>
      </c>
      <c r="E1390">
        <f>IF(ISBLANK(C1390),0,VLOOKUP(C1390,$AE$2:$AF$7,2,0))</f>
        <v>0.5</v>
      </c>
      <c r="F1390">
        <f t="shared" si="45"/>
        <v>0.5</v>
      </c>
    </row>
    <row r="1391" spans="1:6">
      <c r="A1391" s="30">
        <f t="shared" si="46"/>
        <v>44481</v>
      </c>
      <c r="B1391" s="32" t="s">
        <v>199</v>
      </c>
      <c r="C1391" t="s">
        <v>207</v>
      </c>
      <c r="D1391">
        <f>IF(B1391=$AB$2,$AC$2,$AC$3)</f>
        <v>1</v>
      </c>
      <c r="E1391">
        <f>IF(ISBLANK(C1391),0,VLOOKUP(C1391,$AE$2:$AF$7,2,0))</f>
        <v>0.5</v>
      </c>
      <c r="F1391">
        <f t="shared" si="45"/>
        <v>0.5</v>
      </c>
    </row>
    <row r="1392" spans="1:6">
      <c r="A1392" s="30">
        <f t="shared" si="46"/>
        <v>44482</v>
      </c>
      <c r="B1392" s="32" t="s">
        <v>199</v>
      </c>
      <c r="C1392" t="s">
        <v>207</v>
      </c>
      <c r="D1392">
        <f>IF(B1392=$AB$2,$AC$2,$AC$3)</f>
        <v>1</v>
      </c>
      <c r="E1392">
        <f>IF(ISBLANK(C1392),0,VLOOKUP(C1392,$AE$2:$AF$7,2,0))</f>
        <v>0.5</v>
      </c>
      <c r="F1392">
        <f t="shared" si="45"/>
        <v>0.5</v>
      </c>
    </row>
    <row r="1393" spans="1:6">
      <c r="A1393" s="30">
        <f t="shared" si="46"/>
        <v>44483</v>
      </c>
      <c r="B1393" s="32" t="s">
        <v>199</v>
      </c>
      <c r="C1393" t="s">
        <v>207</v>
      </c>
      <c r="D1393">
        <f>IF(B1393=$AB$2,$AC$2,$AC$3)</f>
        <v>1</v>
      </c>
      <c r="E1393">
        <f>IF(ISBLANK(C1393),0,VLOOKUP(C1393,$AE$2:$AF$7,2,0))</f>
        <v>0.5</v>
      </c>
      <c r="F1393">
        <f t="shared" si="45"/>
        <v>0.5</v>
      </c>
    </row>
    <row r="1394" spans="1:6">
      <c r="A1394" s="30">
        <f t="shared" si="46"/>
        <v>44484</v>
      </c>
      <c r="B1394" s="32" t="s">
        <v>199</v>
      </c>
      <c r="C1394" t="s">
        <v>207</v>
      </c>
      <c r="D1394">
        <f>IF(B1394=$AB$2,$AC$2,$AC$3)</f>
        <v>1</v>
      </c>
      <c r="E1394">
        <f>IF(ISBLANK(C1394),0,VLOOKUP(C1394,$AE$2:$AF$7,2,0))</f>
        <v>0.5</v>
      </c>
      <c r="F1394">
        <f t="shared" si="45"/>
        <v>0.5</v>
      </c>
    </row>
    <row r="1395" spans="1:6">
      <c r="A1395" s="30">
        <f t="shared" si="46"/>
        <v>44485</v>
      </c>
      <c r="B1395" s="32" t="s">
        <v>199</v>
      </c>
      <c r="C1395" t="s">
        <v>207</v>
      </c>
      <c r="D1395">
        <f>IF(B1395=$AB$2,$AC$2,$AC$3)</f>
        <v>1</v>
      </c>
      <c r="E1395">
        <f>IF(ISBLANK(C1395),0,VLOOKUP(C1395,$AE$2:$AF$7,2,0))</f>
        <v>0.5</v>
      </c>
      <c r="F1395">
        <f t="shared" si="45"/>
        <v>0.5</v>
      </c>
    </row>
    <row r="1396" spans="1:6">
      <c r="A1396" s="30">
        <f t="shared" si="46"/>
        <v>44486</v>
      </c>
      <c r="B1396" s="32" t="s">
        <v>199</v>
      </c>
      <c r="C1396" t="s">
        <v>207</v>
      </c>
      <c r="D1396">
        <f>IF(B1396=$AB$2,$AC$2,$AC$3)</f>
        <v>1</v>
      </c>
      <c r="E1396">
        <f>IF(ISBLANK(C1396),0,VLOOKUP(C1396,$AE$2:$AF$7,2,0))</f>
        <v>0.5</v>
      </c>
      <c r="F1396">
        <f t="shared" si="45"/>
        <v>0.5</v>
      </c>
    </row>
    <row r="1397" spans="1:6">
      <c r="A1397" s="30">
        <f t="shared" si="46"/>
        <v>44487</v>
      </c>
      <c r="B1397" s="32" t="s">
        <v>199</v>
      </c>
      <c r="C1397" t="s">
        <v>207</v>
      </c>
      <c r="D1397">
        <f>IF(B1397=$AB$2,$AC$2,$AC$3)</f>
        <v>1</v>
      </c>
      <c r="E1397">
        <f>IF(ISBLANK(C1397),0,VLOOKUP(C1397,$AE$2:$AF$7,2,0))</f>
        <v>0.5</v>
      </c>
      <c r="F1397">
        <f t="shared" si="45"/>
        <v>0.5</v>
      </c>
    </row>
    <row r="1398" spans="1:6">
      <c r="A1398" s="30">
        <f t="shared" si="46"/>
        <v>44488</v>
      </c>
      <c r="B1398" s="32" t="s">
        <v>199</v>
      </c>
      <c r="C1398" t="s">
        <v>207</v>
      </c>
      <c r="D1398">
        <f>IF(B1398=$AB$2,$AC$2,$AC$3)</f>
        <v>1</v>
      </c>
      <c r="E1398">
        <f>IF(ISBLANK(C1398),0,VLOOKUP(C1398,$AE$2:$AF$7,2,0))</f>
        <v>0.5</v>
      </c>
      <c r="F1398">
        <f t="shared" si="45"/>
        <v>0.5</v>
      </c>
    </row>
    <row r="1399" spans="1:6">
      <c r="A1399" s="30">
        <f t="shared" si="46"/>
        <v>44489</v>
      </c>
      <c r="B1399" s="32" t="s">
        <v>199</v>
      </c>
      <c r="C1399" t="s">
        <v>207</v>
      </c>
      <c r="D1399">
        <f>IF(B1399=$AB$2,$AC$2,$AC$3)</f>
        <v>1</v>
      </c>
      <c r="E1399">
        <f>IF(ISBLANK(C1399),0,VLOOKUP(C1399,$AE$2:$AF$7,2,0))</f>
        <v>0.5</v>
      </c>
      <c r="F1399">
        <f t="shared" si="45"/>
        <v>0.5</v>
      </c>
    </row>
    <row r="1400" spans="1:6">
      <c r="A1400" s="30">
        <f t="shared" si="46"/>
        <v>44490</v>
      </c>
      <c r="B1400" s="32" t="s">
        <v>199</v>
      </c>
      <c r="C1400" t="s">
        <v>207</v>
      </c>
      <c r="D1400">
        <f>IF(B1400=$AB$2,$AC$2,$AC$3)</f>
        <v>1</v>
      </c>
      <c r="E1400">
        <f>IF(ISBLANK(C1400),0,VLOOKUP(C1400,$AE$2:$AF$7,2,0))</f>
        <v>0.5</v>
      </c>
      <c r="F1400">
        <f t="shared" si="45"/>
        <v>0.5</v>
      </c>
    </row>
    <row r="1401" spans="1:6">
      <c r="A1401" s="30">
        <f t="shared" si="46"/>
        <v>44491</v>
      </c>
      <c r="B1401" s="32" t="s">
        <v>199</v>
      </c>
      <c r="C1401" t="s">
        <v>207</v>
      </c>
      <c r="D1401">
        <f>IF(B1401=$AB$2,$AC$2,$AC$3)</f>
        <v>1</v>
      </c>
      <c r="E1401">
        <f>IF(ISBLANK(C1401),0,VLOOKUP(C1401,$AE$2:$AF$7,2,0))</f>
        <v>0.5</v>
      </c>
      <c r="F1401">
        <f t="shared" si="45"/>
        <v>0.5</v>
      </c>
    </row>
    <row r="1402" spans="1:6">
      <c r="A1402" s="30">
        <f t="shared" si="46"/>
        <v>44492</v>
      </c>
      <c r="B1402" s="32" t="s">
        <v>199</v>
      </c>
      <c r="C1402" t="s">
        <v>207</v>
      </c>
      <c r="D1402">
        <f>IF(B1402=$AB$2,$AC$2,$AC$3)</f>
        <v>1</v>
      </c>
      <c r="E1402">
        <f>IF(ISBLANK(C1402),0,VLOOKUP(C1402,$AE$2:$AF$7,2,0))</f>
        <v>0.5</v>
      </c>
      <c r="F1402">
        <f t="shared" si="45"/>
        <v>0.5</v>
      </c>
    </row>
    <row r="1403" spans="1:6">
      <c r="A1403" s="30">
        <f t="shared" si="46"/>
        <v>44493</v>
      </c>
      <c r="B1403" s="32" t="s">
        <v>199</v>
      </c>
      <c r="C1403" t="s">
        <v>207</v>
      </c>
      <c r="D1403">
        <f>IF(B1403=$AB$2,$AC$2,$AC$3)</f>
        <v>1</v>
      </c>
      <c r="E1403">
        <f>IF(ISBLANK(C1403),0,VLOOKUP(C1403,$AE$2:$AF$7,2,0))</f>
        <v>0.5</v>
      </c>
      <c r="F1403">
        <f t="shared" si="45"/>
        <v>0.5</v>
      </c>
    </row>
    <row r="1404" spans="1:6">
      <c r="A1404" s="30">
        <f t="shared" si="46"/>
        <v>44494</v>
      </c>
      <c r="B1404" s="32" t="s">
        <v>199</v>
      </c>
      <c r="C1404" t="s">
        <v>207</v>
      </c>
      <c r="D1404">
        <f>IF(B1404=$AB$2,$AC$2,$AC$3)</f>
        <v>1</v>
      </c>
      <c r="E1404">
        <f>IF(ISBLANK(C1404),0,VLOOKUP(C1404,$AE$2:$AF$7,2,0))</f>
        <v>0.5</v>
      </c>
      <c r="F1404">
        <f t="shared" si="45"/>
        <v>0.5</v>
      </c>
    </row>
    <row r="1405" spans="1:6">
      <c r="A1405" s="30">
        <f t="shared" si="46"/>
        <v>44495</v>
      </c>
      <c r="B1405" s="32" t="s">
        <v>199</v>
      </c>
      <c r="C1405" t="s">
        <v>207</v>
      </c>
      <c r="D1405">
        <f>IF(B1405=$AB$2,$AC$2,$AC$3)</f>
        <v>1</v>
      </c>
      <c r="E1405">
        <f>IF(ISBLANK(C1405),0,VLOOKUP(C1405,$AE$2:$AF$7,2,0))</f>
        <v>0.5</v>
      </c>
      <c r="F1405">
        <f t="shared" si="45"/>
        <v>0.5</v>
      </c>
    </row>
    <row r="1406" spans="1:6">
      <c r="A1406" s="30">
        <f t="shared" si="46"/>
        <v>44496</v>
      </c>
      <c r="B1406" s="32" t="s">
        <v>199</v>
      </c>
      <c r="C1406" t="s">
        <v>207</v>
      </c>
      <c r="D1406">
        <f>IF(B1406=$AB$2,$AC$2,$AC$3)</f>
        <v>1</v>
      </c>
      <c r="E1406">
        <f>IF(ISBLANK(C1406),0,VLOOKUP(C1406,$AE$2:$AF$7,2,0))</f>
        <v>0.5</v>
      </c>
      <c r="F1406">
        <f t="shared" si="45"/>
        <v>0.5</v>
      </c>
    </row>
    <row r="1407" spans="1:6">
      <c r="A1407" s="30">
        <f t="shared" si="46"/>
        <v>44497</v>
      </c>
      <c r="B1407" s="32" t="s">
        <v>199</v>
      </c>
      <c r="C1407" t="s">
        <v>207</v>
      </c>
      <c r="D1407">
        <f>IF(B1407=$AB$2,$AC$2,$AC$3)</f>
        <v>1</v>
      </c>
      <c r="E1407">
        <f>IF(ISBLANK(C1407),0,VLOOKUP(C1407,$AE$2:$AF$7,2,0))</f>
        <v>0.5</v>
      </c>
      <c r="F1407">
        <f t="shared" si="45"/>
        <v>0.5</v>
      </c>
    </row>
    <row r="1408" spans="1:6">
      <c r="A1408" s="30">
        <f t="shared" si="46"/>
        <v>44498</v>
      </c>
      <c r="B1408" s="32" t="s">
        <v>199</v>
      </c>
      <c r="C1408" t="s">
        <v>207</v>
      </c>
      <c r="D1408">
        <f>IF(B1408=$AB$2,$AC$2,$AC$3)</f>
        <v>1</v>
      </c>
      <c r="E1408">
        <f>IF(ISBLANK(C1408),0,VLOOKUP(C1408,$AE$2:$AF$7,2,0))</f>
        <v>0.5</v>
      </c>
      <c r="F1408">
        <f t="shared" si="45"/>
        <v>0.5</v>
      </c>
    </row>
    <row r="1409" spans="1:6">
      <c r="A1409" s="30">
        <f t="shared" si="46"/>
        <v>44499</v>
      </c>
      <c r="B1409" s="32" t="s">
        <v>199</v>
      </c>
      <c r="C1409" t="s">
        <v>207</v>
      </c>
      <c r="D1409">
        <f>IF(B1409=$AB$2,$AC$2,$AC$3)</f>
        <v>1</v>
      </c>
      <c r="E1409">
        <f>IF(ISBLANK(C1409),0,VLOOKUP(C1409,$AE$2:$AF$7,2,0))</f>
        <v>0.5</v>
      </c>
      <c r="F1409">
        <f t="shared" si="45"/>
        <v>0.5</v>
      </c>
    </row>
    <row r="1410" spans="1:6">
      <c r="A1410" s="30">
        <f t="shared" si="46"/>
        <v>44500</v>
      </c>
      <c r="B1410" s="32" t="s">
        <v>199</v>
      </c>
      <c r="C1410" t="s">
        <v>207</v>
      </c>
      <c r="D1410">
        <f>IF(B1410=$AB$2,$AC$2,$AC$3)</f>
        <v>1</v>
      </c>
      <c r="E1410">
        <f>IF(ISBLANK(C1410),0,VLOOKUP(C1410,$AE$2:$AF$7,2,0))</f>
        <v>0.5</v>
      </c>
      <c r="F1410">
        <f t="shared" si="45"/>
        <v>0.5</v>
      </c>
    </row>
    <row r="1411" spans="1:6">
      <c r="A1411" s="30">
        <f t="shared" si="46"/>
        <v>44501</v>
      </c>
      <c r="B1411" s="32" t="s">
        <v>199</v>
      </c>
      <c r="C1411" t="s">
        <v>207</v>
      </c>
      <c r="D1411">
        <f>IF(B1411=$AB$2,$AC$2,$AC$3)</f>
        <v>1</v>
      </c>
      <c r="E1411">
        <f>IF(ISBLANK(C1411),0,VLOOKUP(C1411,$AE$2:$AF$7,2,0))</f>
        <v>0.5</v>
      </c>
      <c r="F1411">
        <f t="shared" ref="F1411:F1474" si="47">D1411*E1411</f>
        <v>0.5</v>
      </c>
    </row>
    <row r="1412" spans="1:6">
      <c r="A1412" s="30">
        <f t="shared" si="46"/>
        <v>44502</v>
      </c>
      <c r="B1412" s="32" t="s">
        <v>199</v>
      </c>
      <c r="C1412" t="s">
        <v>207</v>
      </c>
      <c r="D1412">
        <f>IF(B1412=$AB$2,$AC$2,$AC$3)</f>
        <v>1</v>
      </c>
      <c r="E1412">
        <f>IF(ISBLANK(C1412),0,VLOOKUP(C1412,$AE$2:$AF$7,2,0))</f>
        <v>0.5</v>
      </c>
      <c r="F1412">
        <f t="shared" si="47"/>
        <v>0.5</v>
      </c>
    </row>
    <row r="1413" spans="1:6">
      <c r="A1413" s="30">
        <f t="shared" si="46"/>
        <v>44503</v>
      </c>
      <c r="B1413" s="32" t="s">
        <v>199</v>
      </c>
      <c r="C1413" t="s">
        <v>207</v>
      </c>
      <c r="D1413">
        <f>IF(B1413=$AB$2,$AC$2,$AC$3)</f>
        <v>1</v>
      </c>
      <c r="E1413">
        <f>IF(ISBLANK(C1413),0,VLOOKUP(C1413,$AE$2:$AF$7,2,0))</f>
        <v>0.5</v>
      </c>
      <c r="F1413">
        <f t="shared" si="47"/>
        <v>0.5</v>
      </c>
    </row>
    <row r="1414" spans="1:6">
      <c r="A1414" s="30">
        <f t="shared" si="46"/>
        <v>44504</v>
      </c>
      <c r="B1414" s="32" t="s">
        <v>199</v>
      </c>
      <c r="C1414" t="s">
        <v>207</v>
      </c>
      <c r="D1414">
        <f>IF(B1414=$AB$2,$AC$2,$AC$3)</f>
        <v>1</v>
      </c>
      <c r="E1414">
        <f>IF(ISBLANK(C1414),0,VLOOKUP(C1414,$AE$2:$AF$7,2,0))</f>
        <v>0.5</v>
      </c>
      <c r="F1414">
        <f t="shared" si="47"/>
        <v>0.5</v>
      </c>
    </row>
    <row r="1415" spans="1:6">
      <c r="A1415" s="30">
        <f t="shared" si="46"/>
        <v>44505</v>
      </c>
      <c r="B1415" s="32" t="s">
        <v>199</v>
      </c>
      <c r="C1415" t="s">
        <v>207</v>
      </c>
      <c r="D1415">
        <f>IF(B1415=$AB$2,$AC$2,$AC$3)</f>
        <v>1</v>
      </c>
      <c r="E1415">
        <f>IF(ISBLANK(C1415),0,VLOOKUP(C1415,$AE$2:$AF$7,2,0))</f>
        <v>0.5</v>
      </c>
      <c r="F1415">
        <f t="shared" si="47"/>
        <v>0.5</v>
      </c>
    </row>
    <row r="1416" spans="1:6">
      <c r="A1416" s="30">
        <f t="shared" si="46"/>
        <v>44506</v>
      </c>
      <c r="B1416" s="32" t="s">
        <v>199</v>
      </c>
      <c r="C1416" t="s">
        <v>207</v>
      </c>
      <c r="D1416">
        <f>IF(B1416=$AB$2,$AC$2,$AC$3)</f>
        <v>1</v>
      </c>
      <c r="E1416">
        <f>IF(ISBLANK(C1416),0,VLOOKUP(C1416,$AE$2:$AF$7,2,0))</f>
        <v>0.5</v>
      </c>
      <c r="F1416">
        <f t="shared" si="47"/>
        <v>0.5</v>
      </c>
    </row>
    <row r="1417" spans="1:6">
      <c r="A1417" s="30">
        <f t="shared" si="46"/>
        <v>44507</v>
      </c>
      <c r="B1417" s="32" t="s">
        <v>199</v>
      </c>
      <c r="C1417" t="s">
        <v>207</v>
      </c>
      <c r="D1417">
        <f>IF(B1417=$AB$2,$AC$2,$AC$3)</f>
        <v>1</v>
      </c>
      <c r="E1417">
        <f>IF(ISBLANK(C1417),0,VLOOKUP(C1417,$AE$2:$AF$7,2,0))</f>
        <v>0.5</v>
      </c>
      <c r="F1417">
        <f t="shared" si="47"/>
        <v>0.5</v>
      </c>
    </row>
    <row r="1418" spans="1:6">
      <c r="A1418" s="30">
        <f t="shared" si="46"/>
        <v>44508</v>
      </c>
      <c r="B1418" s="32" t="s">
        <v>199</v>
      </c>
      <c r="C1418" t="s">
        <v>207</v>
      </c>
      <c r="D1418">
        <f>IF(B1418=$AB$2,$AC$2,$AC$3)</f>
        <v>1</v>
      </c>
      <c r="E1418">
        <f>IF(ISBLANK(C1418),0,VLOOKUP(C1418,$AE$2:$AF$7,2,0))</f>
        <v>0.5</v>
      </c>
      <c r="F1418">
        <f t="shared" si="47"/>
        <v>0.5</v>
      </c>
    </row>
    <row r="1419" spans="1:6">
      <c r="A1419" s="30">
        <f t="shared" si="46"/>
        <v>44509</v>
      </c>
      <c r="B1419" s="32" t="s">
        <v>199</v>
      </c>
      <c r="C1419" t="s">
        <v>207</v>
      </c>
      <c r="D1419">
        <f>IF(B1419=$AB$2,$AC$2,$AC$3)</f>
        <v>1</v>
      </c>
      <c r="E1419">
        <f>IF(ISBLANK(C1419),0,VLOOKUP(C1419,$AE$2:$AF$7,2,0))</f>
        <v>0.5</v>
      </c>
      <c r="F1419">
        <f t="shared" si="47"/>
        <v>0.5</v>
      </c>
    </row>
    <row r="1420" spans="1:6">
      <c r="A1420" s="30">
        <f t="shared" si="46"/>
        <v>44510</v>
      </c>
      <c r="B1420" s="32" t="s">
        <v>199</v>
      </c>
      <c r="C1420" t="s">
        <v>207</v>
      </c>
      <c r="D1420">
        <f>IF(B1420=$AB$2,$AC$2,$AC$3)</f>
        <v>1</v>
      </c>
      <c r="E1420">
        <f>IF(ISBLANK(C1420),0,VLOOKUP(C1420,$AE$2:$AF$7,2,0))</f>
        <v>0.5</v>
      </c>
      <c r="F1420">
        <f t="shared" si="47"/>
        <v>0.5</v>
      </c>
    </row>
    <row r="1421" spans="1:6">
      <c r="A1421" s="30">
        <f t="shared" si="46"/>
        <v>44511</v>
      </c>
      <c r="B1421" s="32" t="s">
        <v>199</v>
      </c>
      <c r="C1421" t="s">
        <v>207</v>
      </c>
      <c r="D1421">
        <f>IF(B1421=$AB$2,$AC$2,$AC$3)</f>
        <v>1</v>
      </c>
      <c r="E1421">
        <f>IF(ISBLANK(C1421),0,VLOOKUP(C1421,$AE$2:$AF$7,2,0))</f>
        <v>0.5</v>
      </c>
      <c r="F1421">
        <f t="shared" si="47"/>
        <v>0.5</v>
      </c>
    </row>
    <row r="1422" spans="1:6">
      <c r="A1422" s="30">
        <f t="shared" si="46"/>
        <v>44512</v>
      </c>
      <c r="B1422" s="32" t="s">
        <v>199</v>
      </c>
      <c r="C1422" t="s">
        <v>207</v>
      </c>
      <c r="D1422">
        <f>IF(B1422=$AB$2,$AC$2,$AC$3)</f>
        <v>1</v>
      </c>
      <c r="E1422">
        <f>IF(ISBLANK(C1422),0,VLOOKUP(C1422,$AE$2:$AF$7,2,0))</f>
        <v>0.5</v>
      </c>
      <c r="F1422">
        <f t="shared" si="47"/>
        <v>0.5</v>
      </c>
    </row>
    <row r="1423" spans="1:6">
      <c r="A1423" s="30">
        <f t="shared" si="46"/>
        <v>44513</v>
      </c>
      <c r="B1423" s="32" t="s">
        <v>199</v>
      </c>
      <c r="C1423" t="s">
        <v>207</v>
      </c>
      <c r="D1423">
        <f>IF(B1423=$AB$2,$AC$2,$AC$3)</f>
        <v>1</v>
      </c>
      <c r="E1423">
        <f>IF(ISBLANK(C1423),0,VLOOKUP(C1423,$AE$2:$AF$7,2,0))</f>
        <v>0.5</v>
      </c>
      <c r="F1423">
        <f t="shared" si="47"/>
        <v>0.5</v>
      </c>
    </row>
    <row r="1424" spans="1:6">
      <c r="A1424" s="30">
        <f t="shared" si="46"/>
        <v>44514</v>
      </c>
      <c r="B1424" s="32" t="s">
        <v>199</v>
      </c>
      <c r="C1424" t="s">
        <v>207</v>
      </c>
      <c r="D1424">
        <f>IF(B1424=$AB$2,$AC$2,$AC$3)</f>
        <v>1</v>
      </c>
      <c r="E1424">
        <f>IF(ISBLANK(C1424),0,VLOOKUP(C1424,$AE$2:$AF$7,2,0))</f>
        <v>0.5</v>
      </c>
      <c r="F1424">
        <f t="shared" si="47"/>
        <v>0.5</v>
      </c>
    </row>
    <row r="1425" spans="1:6">
      <c r="A1425" s="30">
        <f t="shared" si="46"/>
        <v>44515</v>
      </c>
      <c r="B1425" s="32" t="s">
        <v>199</v>
      </c>
      <c r="C1425" t="s">
        <v>207</v>
      </c>
      <c r="D1425">
        <f>IF(B1425=$AB$2,$AC$2,$AC$3)</f>
        <v>1</v>
      </c>
      <c r="E1425">
        <f>IF(ISBLANK(C1425),0,VLOOKUP(C1425,$AE$2:$AF$7,2,0))</f>
        <v>0.5</v>
      </c>
      <c r="F1425">
        <f t="shared" si="47"/>
        <v>0.5</v>
      </c>
    </row>
    <row r="1426" spans="1:6">
      <c r="A1426" s="30">
        <f t="shared" si="46"/>
        <v>44516</v>
      </c>
      <c r="B1426" s="32" t="s">
        <v>199</v>
      </c>
      <c r="C1426" t="s">
        <v>207</v>
      </c>
      <c r="D1426">
        <f>IF(B1426=$AB$2,$AC$2,$AC$3)</f>
        <v>1</v>
      </c>
      <c r="E1426">
        <f>IF(ISBLANK(C1426),0,VLOOKUP(C1426,$AE$2:$AF$7,2,0))</f>
        <v>0.5</v>
      </c>
      <c r="F1426">
        <f t="shared" si="47"/>
        <v>0.5</v>
      </c>
    </row>
    <row r="1427" spans="1:6">
      <c r="A1427" s="30">
        <f t="shared" si="46"/>
        <v>44517</v>
      </c>
      <c r="B1427" s="32" t="s">
        <v>199</v>
      </c>
      <c r="C1427" t="s">
        <v>207</v>
      </c>
      <c r="D1427">
        <f>IF(B1427=$AB$2,$AC$2,$AC$3)</f>
        <v>1</v>
      </c>
      <c r="E1427">
        <f>IF(ISBLANK(C1427),0,VLOOKUP(C1427,$AE$2:$AF$7,2,0))</f>
        <v>0.5</v>
      </c>
      <c r="F1427">
        <f t="shared" si="47"/>
        <v>0.5</v>
      </c>
    </row>
    <row r="1428" spans="1:6">
      <c r="A1428" s="30">
        <f t="shared" si="46"/>
        <v>44518</v>
      </c>
      <c r="B1428" s="32" t="s">
        <v>199</v>
      </c>
      <c r="C1428" t="s">
        <v>207</v>
      </c>
      <c r="D1428">
        <f>IF(B1428=$AB$2,$AC$2,$AC$3)</f>
        <v>1</v>
      </c>
      <c r="E1428">
        <f>IF(ISBLANK(C1428),0,VLOOKUP(C1428,$AE$2:$AF$7,2,0))</f>
        <v>0.5</v>
      </c>
      <c r="F1428">
        <f t="shared" si="47"/>
        <v>0.5</v>
      </c>
    </row>
    <row r="1429" spans="1:6">
      <c r="A1429" s="30">
        <f t="shared" si="46"/>
        <v>44519</v>
      </c>
      <c r="B1429" s="32" t="s">
        <v>199</v>
      </c>
      <c r="C1429" t="s">
        <v>207</v>
      </c>
      <c r="D1429">
        <f>IF(B1429=$AB$2,$AC$2,$AC$3)</f>
        <v>1</v>
      </c>
      <c r="E1429">
        <f>IF(ISBLANK(C1429),0,VLOOKUP(C1429,$AE$2:$AF$7,2,0))</f>
        <v>0.5</v>
      </c>
      <c r="F1429">
        <f t="shared" si="47"/>
        <v>0.5</v>
      </c>
    </row>
    <row r="1430" spans="1:6">
      <c r="A1430" s="30">
        <f t="shared" si="46"/>
        <v>44520</v>
      </c>
      <c r="B1430" s="32" t="s">
        <v>199</v>
      </c>
      <c r="C1430" t="s">
        <v>207</v>
      </c>
      <c r="D1430">
        <f>IF(B1430=$AB$2,$AC$2,$AC$3)</f>
        <v>1</v>
      </c>
      <c r="E1430">
        <f>IF(ISBLANK(C1430),0,VLOOKUP(C1430,$AE$2:$AF$7,2,0))</f>
        <v>0.5</v>
      </c>
      <c r="F1430">
        <f t="shared" si="47"/>
        <v>0.5</v>
      </c>
    </row>
    <row r="1431" spans="1:6">
      <c r="A1431" s="30">
        <f t="shared" si="46"/>
        <v>44521</v>
      </c>
      <c r="B1431" s="32" t="s">
        <v>199</v>
      </c>
      <c r="C1431" t="s">
        <v>207</v>
      </c>
      <c r="D1431">
        <f>IF(B1431=$AB$2,$AC$2,$AC$3)</f>
        <v>1</v>
      </c>
      <c r="E1431">
        <f>IF(ISBLANK(C1431),0,VLOOKUP(C1431,$AE$2:$AF$7,2,0))</f>
        <v>0.5</v>
      </c>
      <c r="F1431">
        <f t="shared" si="47"/>
        <v>0.5</v>
      </c>
    </row>
    <row r="1432" spans="1:6">
      <c r="A1432" s="30">
        <f t="shared" si="46"/>
        <v>44522</v>
      </c>
      <c r="B1432" s="32" t="s">
        <v>199</v>
      </c>
      <c r="C1432" t="s">
        <v>207</v>
      </c>
      <c r="D1432">
        <f>IF(B1432=$AB$2,$AC$2,$AC$3)</f>
        <v>1</v>
      </c>
      <c r="E1432">
        <f>IF(ISBLANK(C1432),0,VLOOKUP(C1432,$AE$2:$AF$7,2,0))</f>
        <v>0.5</v>
      </c>
      <c r="F1432">
        <f t="shared" si="47"/>
        <v>0.5</v>
      </c>
    </row>
    <row r="1433" spans="1:6">
      <c r="A1433" s="30">
        <f t="shared" si="46"/>
        <v>44523</v>
      </c>
      <c r="B1433" s="32" t="s">
        <v>199</v>
      </c>
      <c r="C1433" t="s">
        <v>207</v>
      </c>
      <c r="D1433">
        <f>IF(B1433=$AB$2,$AC$2,$AC$3)</f>
        <v>1</v>
      </c>
      <c r="E1433">
        <f>IF(ISBLANK(C1433),0,VLOOKUP(C1433,$AE$2:$AF$7,2,0))</f>
        <v>0.5</v>
      </c>
      <c r="F1433">
        <f t="shared" si="47"/>
        <v>0.5</v>
      </c>
    </row>
    <row r="1434" spans="1:6">
      <c r="A1434" s="30">
        <f t="shared" si="46"/>
        <v>44524</v>
      </c>
      <c r="B1434" s="32" t="s">
        <v>199</v>
      </c>
      <c r="C1434" t="s">
        <v>207</v>
      </c>
      <c r="D1434">
        <f>IF(B1434=$AB$2,$AC$2,$AC$3)</f>
        <v>1</v>
      </c>
      <c r="E1434">
        <f>IF(ISBLANK(C1434),0,VLOOKUP(C1434,$AE$2:$AF$7,2,0))</f>
        <v>0.5</v>
      </c>
      <c r="F1434">
        <f t="shared" si="47"/>
        <v>0.5</v>
      </c>
    </row>
    <row r="1435" spans="1:6">
      <c r="A1435" s="30">
        <f t="shared" si="46"/>
        <v>44525</v>
      </c>
      <c r="B1435" s="32" t="s">
        <v>199</v>
      </c>
      <c r="C1435" t="s">
        <v>207</v>
      </c>
      <c r="D1435">
        <f>IF(B1435=$AB$2,$AC$2,$AC$3)</f>
        <v>1</v>
      </c>
      <c r="E1435">
        <f>IF(ISBLANK(C1435),0,VLOOKUP(C1435,$AE$2:$AF$7,2,0))</f>
        <v>0.5</v>
      </c>
      <c r="F1435">
        <f t="shared" si="47"/>
        <v>0.5</v>
      </c>
    </row>
    <row r="1436" spans="1:6">
      <c r="A1436" s="30">
        <f t="shared" ref="A1436:A1484" si="48">A1435+1</f>
        <v>44526</v>
      </c>
      <c r="B1436" s="32" t="s">
        <v>199</v>
      </c>
      <c r="C1436" t="s">
        <v>207</v>
      </c>
      <c r="D1436">
        <f>IF(B1436=$AB$2,$AC$2,$AC$3)</f>
        <v>1</v>
      </c>
      <c r="E1436">
        <f>IF(ISBLANK(C1436),0,VLOOKUP(C1436,$AE$2:$AF$7,2,0))</f>
        <v>0.5</v>
      </c>
      <c r="F1436">
        <f t="shared" si="47"/>
        <v>0.5</v>
      </c>
    </row>
    <row r="1437" spans="1:6">
      <c r="A1437" s="30">
        <f t="shared" si="48"/>
        <v>44527</v>
      </c>
      <c r="B1437" s="32" t="s">
        <v>199</v>
      </c>
      <c r="C1437" t="s">
        <v>207</v>
      </c>
      <c r="D1437">
        <f>IF(B1437=$AB$2,$AC$2,$AC$3)</f>
        <v>1</v>
      </c>
      <c r="E1437">
        <f>IF(ISBLANK(C1437),0,VLOOKUP(C1437,$AE$2:$AF$7,2,0))</f>
        <v>0.5</v>
      </c>
      <c r="F1437">
        <f t="shared" si="47"/>
        <v>0.5</v>
      </c>
    </row>
    <row r="1438" spans="1:6">
      <c r="A1438" s="30">
        <f t="shared" si="48"/>
        <v>44528</v>
      </c>
      <c r="B1438" s="32" t="s">
        <v>199</v>
      </c>
      <c r="C1438" t="s">
        <v>207</v>
      </c>
      <c r="D1438">
        <f>IF(B1438=$AB$2,$AC$2,$AC$3)</f>
        <v>1</v>
      </c>
      <c r="E1438">
        <f>IF(ISBLANK(C1438),0,VLOOKUP(C1438,$AE$2:$AF$7,2,0))</f>
        <v>0.5</v>
      </c>
      <c r="F1438">
        <f t="shared" si="47"/>
        <v>0.5</v>
      </c>
    </row>
    <row r="1439" spans="1:6">
      <c r="A1439" s="30">
        <f t="shared" si="48"/>
        <v>44529</v>
      </c>
      <c r="B1439" s="32" t="s">
        <v>199</v>
      </c>
      <c r="C1439" t="s">
        <v>207</v>
      </c>
      <c r="D1439">
        <f>IF(B1439=$AB$2,$AC$2,$AC$3)</f>
        <v>1</v>
      </c>
      <c r="E1439">
        <f>IF(ISBLANK(C1439),0,VLOOKUP(C1439,$AE$2:$AF$7,2,0))</f>
        <v>0.5</v>
      </c>
      <c r="F1439">
        <f t="shared" si="47"/>
        <v>0.5</v>
      </c>
    </row>
    <row r="1440" spans="1:6">
      <c r="A1440" s="30">
        <f t="shared" si="48"/>
        <v>44530</v>
      </c>
      <c r="B1440" s="32" t="s">
        <v>199</v>
      </c>
      <c r="C1440" t="s">
        <v>207</v>
      </c>
      <c r="D1440">
        <f>IF(B1440=$AB$2,$AC$2,$AC$3)</f>
        <v>1</v>
      </c>
      <c r="E1440">
        <f>IF(ISBLANK(C1440),0,VLOOKUP(C1440,$AE$2:$AF$7,2,0))</f>
        <v>0.5</v>
      </c>
      <c r="F1440">
        <f t="shared" si="47"/>
        <v>0.5</v>
      </c>
    </row>
    <row r="1441" spans="1:6">
      <c r="A1441" s="30">
        <f t="shared" si="48"/>
        <v>44531</v>
      </c>
      <c r="B1441" s="32" t="s">
        <v>199</v>
      </c>
      <c r="C1441" t="s">
        <v>207</v>
      </c>
      <c r="D1441">
        <f>IF(B1441=$AB$2,$AC$2,$AC$3)</f>
        <v>1</v>
      </c>
      <c r="E1441">
        <f>IF(ISBLANK(C1441),0,VLOOKUP(C1441,$AE$2:$AF$7,2,0))</f>
        <v>0.5</v>
      </c>
      <c r="F1441">
        <f t="shared" si="47"/>
        <v>0.5</v>
      </c>
    </row>
    <row r="1442" spans="1:6">
      <c r="A1442" s="30">
        <f t="shared" si="48"/>
        <v>44532</v>
      </c>
      <c r="B1442" s="32" t="s">
        <v>199</v>
      </c>
      <c r="C1442" t="s">
        <v>207</v>
      </c>
      <c r="D1442">
        <f>IF(B1442=$AB$2,$AC$2,$AC$3)</f>
        <v>1</v>
      </c>
      <c r="E1442">
        <f>IF(ISBLANK(C1442),0,VLOOKUP(C1442,$AE$2:$AF$7,2,0))</f>
        <v>0.5</v>
      </c>
      <c r="F1442">
        <f t="shared" si="47"/>
        <v>0.5</v>
      </c>
    </row>
    <row r="1443" spans="1:6">
      <c r="A1443" s="30">
        <f t="shared" si="48"/>
        <v>44533</v>
      </c>
      <c r="B1443" s="32" t="s">
        <v>199</v>
      </c>
      <c r="C1443" t="s">
        <v>207</v>
      </c>
      <c r="D1443">
        <f>IF(B1443=$AB$2,$AC$2,$AC$3)</f>
        <v>1</v>
      </c>
      <c r="E1443">
        <f>IF(ISBLANK(C1443),0,VLOOKUP(C1443,$AE$2:$AF$7,2,0))</f>
        <v>0.5</v>
      </c>
      <c r="F1443">
        <f t="shared" si="47"/>
        <v>0.5</v>
      </c>
    </row>
    <row r="1444" spans="1:6">
      <c r="A1444" s="30">
        <f t="shared" si="48"/>
        <v>44534</v>
      </c>
      <c r="B1444" s="32" t="s">
        <v>199</v>
      </c>
      <c r="C1444" t="s">
        <v>207</v>
      </c>
      <c r="D1444">
        <f>IF(B1444=$AB$2,$AC$2,$AC$3)</f>
        <v>1</v>
      </c>
      <c r="E1444">
        <f>IF(ISBLANK(C1444),0,VLOOKUP(C1444,$AE$2:$AF$7,2,0))</f>
        <v>0.5</v>
      </c>
      <c r="F1444">
        <f t="shared" si="47"/>
        <v>0.5</v>
      </c>
    </row>
    <row r="1445" spans="1:6">
      <c r="A1445" s="30">
        <f t="shared" si="48"/>
        <v>44535</v>
      </c>
      <c r="B1445" s="32" t="s">
        <v>199</v>
      </c>
      <c r="C1445" t="s">
        <v>207</v>
      </c>
      <c r="D1445">
        <f>IF(B1445=$AB$2,$AC$2,$AC$3)</f>
        <v>1</v>
      </c>
      <c r="E1445">
        <f>IF(ISBLANK(C1445),0,VLOOKUP(C1445,$AE$2:$AF$7,2,0))</f>
        <v>0.5</v>
      </c>
      <c r="F1445">
        <f t="shared" si="47"/>
        <v>0.5</v>
      </c>
    </row>
    <row r="1446" spans="1:6">
      <c r="A1446" s="30">
        <f t="shared" si="48"/>
        <v>44536</v>
      </c>
      <c r="B1446" s="32" t="s">
        <v>199</v>
      </c>
      <c r="C1446" t="s">
        <v>207</v>
      </c>
      <c r="D1446">
        <f>IF(B1446=$AB$2,$AC$2,$AC$3)</f>
        <v>1</v>
      </c>
      <c r="E1446">
        <f>IF(ISBLANK(C1446),0,VLOOKUP(C1446,$AE$2:$AF$7,2,0))</f>
        <v>0.5</v>
      </c>
      <c r="F1446">
        <f t="shared" si="47"/>
        <v>0.5</v>
      </c>
    </row>
    <row r="1447" spans="1:6">
      <c r="A1447" s="30">
        <f t="shared" si="48"/>
        <v>44537</v>
      </c>
      <c r="B1447" s="32" t="s">
        <v>199</v>
      </c>
      <c r="C1447" t="s">
        <v>207</v>
      </c>
      <c r="D1447">
        <f>IF(B1447=$AB$2,$AC$2,$AC$3)</f>
        <v>1</v>
      </c>
      <c r="E1447">
        <f>IF(ISBLANK(C1447),0,VLOOKUP(C1447,$AE$2:$AF$7,2,0))</f>
        <v>0.5</v>
      </c>
      <c r="F1447">
        <f t="shared" si="47"/>
        <v>0.5</v>
      </c>
    </row>
    <row r="1448" spans="1:6">
      <c r="A1448" s="30">
        <f t="shared" si="48"/>
        <v>44538</v>
      </c>
      <c r="B1448" s="32" t="s">
        <v>199</v>
      </c>
      <c r="C1448" t="s">
        <v>207</v>
      </c>
      <c r="D1448">
        <f>IF(B1448=$AB$2,$AC$2,$AC$3)</f>
        <v>1</v>
      </c>
      <c r="E1448">
        <f>IF(ISBLANK(C1448),0,VLOOKUP(C1448,$AE$2:$AF$7,2,0))</f>
        <v>0.5</v>
      </c>
      <c r="F1448">
        <f t="shared" si="47"/>
        <v>0.5</v>
      </c>
    </row>
    <row r="1449" spans="1:6">
      <c r="A1449" s="30">
        <f t="shared" si="48"/>
        <v>44539</v>
      </c>
      <c r="B1449" s="32" t="s">
        <v>199</v>
      </c>
      <c r="C1449" t="s">
        <v>207</v>
      </c>
      <c r="D1449">
        <f>IF(B1449=$AB$2,$AC$2,$AC$3)</f>
        <v>1</v>
      </c>
      <c r="E1449">
        <f>IF(ISBLANK(C1449),0,VLOOKUP(C1449,$AE$2:$AF$7,2,0))</f>
        <v>0.5</v>
      </c>
      <c r="F1449">
        <f t="shared" si="47"/>
        <v>0.5</v>
      </c>
    </row>
    <row r="1450" spans="1:6">
      <c r="A1450" s="30">
        <f t="shared" si="48"/>
        <v>44540</v>
      </c>
      <c r="B1450" s="32" t="s">
        <v>199</v>
      </c>
      <c r="C1450" t="s">
        <v>207</v>
      </c>
      <c r="D1450">
        <f>IF(B1450=$AB$2,$AC$2,$AC$3)</f>
        <v>1</v>
      </c>
      <c r="E1450">
        <f>IF(ISBLANK(C1450),0,VLOOKUP(C1450,$AE$2:$AF$7,2,0))</f>
        <v>0.5</v>
      </c>
      <c r="F1450">
        <f t="shared" si="47"/>
        <v>0.5</v>
      </c>
    </row>
    <row r="1451" spans="1:6">
      <c r="A1451" s="30">
        <f t="shared" si="48"/>
        <v>44541</v>
      </c>
      <c r="B1451" s="32" t="s">
        <v>199</v>
      </c>
      <c r="C1451" t="s">
        <v>207</v>
      </c>
      <c r="D1451">
        <f>IF(B1451=$AB$2,$AC$2,$AC$3)</f>
        <v>1</v>
      </c>
      <c r="E1451">
        <f>IF(ISBLANK(C1451),0,VLOOKUP(C1451,$AE$2:$AF$7,2,0))</f>
        <v>0.5</v>
      </c>
      <c r="F1451">
        <f t="shared" si="47"/>
        <v>0.5</v>
      </c>
    </row>
    <row r="1452" spans="1:6">
      <c r="A1452" s="30">
        <f t="shared" si="48"/>
        <v>44542</v>
      </c>
      <c r="B1452" s="32" t="s">
        <v>199</v>
      </c>
      <c r="C1452" t="s">
        <v>207</v>
      </c>
      <c r="D1452">
        <f>IF(B1452=$AB$2,$AC$2,$AC$3)</f>
        <v>1</v>
      </c>
      <c r="E1452">
        <f>IF(ISBLANK(C1452),0,VLOOKUP(C1452,$AE$2:$AF$7,2,0))</f>
        <v>0.5</v>
      </c>
      <c r="F1452">
        <f t="shared" si="47"/>
        <v>0.5</v>
      </c>
    </row>
    <row r="1453" spans="1:6">
      <c r="A1453" s="30">
        <f t="shared" si="48"/>
        <v>44543</v>
      </c>
      <c r="B1453" s="32" t="s">
        <v>199</v>
      </c>
      <c r="C1453" t="s">
        <v>207</v>
      </c>
      <c r="D1453">
        <f>IF(B1453=$AB$2,$AC$2,$AC$3)</f>
        <v>1</v>
      </c>
      <c r="E1453">
        <f>IF(ISBLANK(C1453),0,VLOOKUP(C1453,$AE$2:$AF$7,2,0))</f>
        <v>0.5</v>
      </c>
      <c r="F1453">
        <f t="shared" si="47"/>
        <v>0.5</v>
      </c>
    </row>
    <row r="1454" spans="1:6">
      <c r="A1454" s="30">
        <f t="shared" si="48"/>
        <v>44544</v>
      </c>
      <c r="B1454" s="32" t="s">
        <v>199</v>
      </c>
      <c r="C1454" t="s">
        <v>207</v>
      </c>
      <c r="D1454">
        <f>IF(B1454=$AB$2,$AC$2,$AC$3)</f>
        <v>1</v>
      </c>
      <c r="E1454">
        <f>IF(ISBLANK(C1454),0,VLOOKUP(C1454,$AE$2:$AF$7,2,0))</f>
        <v>0.5</v>
      </c>
      <c r="F1454">
        <f t="shared" si="47"/>
        <v>0.5</v>
      </c>
    </row>
    <row r="1455" spans="1:6">
      <c r="A1455" s="30">
        <f t="shared" si="48"/>
        <v>44545</v>
      </c>
      <c r="B1455" s="32" t="s">
        <v>199</v>
      </c>
      <c r="C1455" t="s">
        <v>207</v>
      </c>
      <c r="D1455">
        <f>IF(B1455=$AB$2,$AC$2,$AC$3)</f>
        <v>1</v>
      </c>
      <c r="E1455">
        <f>IF(ISBLANK(C1455),0,VLOOKUP(C1455,$AE$2:$AF$7,2,0))</f>
        <v>0.5</v>
      </c>
      <c r="F1455">
        <f t="shared" si="47"/>
        <v>0.5</v>
      </c>
    </row>
    <row r="1456" spans="1:6">
      <c r="A1456" s="30">
        <f t="shared" si="48"/>
        <v>44546</v>
      </c>
      <c r="B1456" s="32" t="s">
        <v>199</v>
      </c>
      <c r="C1456" t="s">
        <v>207</v>
      </c>
      <c r="D1456">
        <f>IF(B1456=$AB$2,$AC$2,$AC$3)</f>
        <v>1</v>
      </c>
      <c r="E1456">
        <f>IF(ISBLANK(C1456),0,VLOOKUP(C1456,$AE$2:$AF$7,2,0))</f>
        <v>0.5</v>
      </c>
      <c r="F1456">
        <f t="shared" si="47"/>
        <v>0.5</v>
      </c>
    </row>
    <row r="1457" spans="1:6">
      <c r="A1457" s="30">
        <f t="shared" si="48"/>
        <v>44547</v>
      </c>
      <c r="B1457" s="32" t="s">
        <v>199</v>
      </c>
      <c r="C1457" t="s">
        <v>207</v>
      </c>
      <c r="D1457">
        <f>IF(B1457=$AB$2,$AC$2,$AC$3)</f>
        <v>1</v>
      </c>
      <c r="E1457">
        <f>IF(ISBLANK(C1457),0,VLOOKUP(C1457,$AE$2:$AF$7,2,0))</f>
        <v>0.5</v>
      </c>
      <c r="F1457">
        <f t="shared" si="47"/>
        <v>0.5</v>
      </c>
    </row>
    <row r="1458" spans="1:6">
      <c r="A1458" s="30">
        <f t="shared" si="48"/>
        <v>44548</v>
      </c>
      <c r="B1458" s="32" t="s">
        <v>199</v>
      </c>
      <c r="C1458" t="s">
        <v>207</v>
      </c>
      <c r="D1458">
        <f>IF(B1458=$AB$2,$AC$2,$AC$3)</f>
        <v>1</v>
      </c>
      <c r="E1458">
        <f>IF(ISBLANK(C1458),0,VLOOKUP(C1458,$AE$2:$AF$7,2,0))</f>
        <v>0.5</v>
      </c>
      <c r="F1458">
        <f t="shared" si="47"/>
        <v>0.5</v>
      </c>
    </row>
    <row r="1459" spans="1:6">
      <c r="A1459" s="30">
        <f t="shared" si="48"/>
        <v>44549</v>
      </c>
      <c r="B1459" s="32" t="s">
        <v>199</v>
      </c>
      <c r="C1459" t="s">
        <v>207</v>
      </c>
      <c r="D1459">
        <f>IF(B1459=$AB$2,$AC$2,$AC$3)</f>
        <v>1</v>
      </c>
      <c r="E1459">
        <f>IF(ISBLANK(C1459),0,VLOOKUP(C1459,$AE$2:$AF$7,2,0))</f>
        <v>0.5</v>
      </c>
      <c r="F1459">
        <f t="shared" si="47"/>
        <v>0.5</v>
      </c>
    </row>
    <row r="1460" spans="1:6">
      <c r="A1460" s="30">
        <f t="shared" si="48"/>
        <v>44550</v>
      </c>
      <c r="B1460" s="32" t="s">
        <v>199</v>
      </c>
      <c r="C1460" t="s">
        <v>207</v>
      </c>
      <c r="D1460">
        <f>IF(B1460=$AB$2,$AC$2,$AC$3)</f>
        <v>1</v>
      </c>
      <c r="E1460">
        <f>IF(ISBLANK(C1460),0,VLOOKUP(C1460,$AE$2:$AF$7,2,0))</f>
        <v>0.5</v>
      </c>
      <c r="F1460">
        <f t="shared" si="47"/>
        <v>0.5</v>
      </c>
    </row>
    <row r="1461" spans="1:6">
      <c r="A1461" s="30">
        <f t="shared" si="48"/>
        <v>44551</v>
      </c>
      <c r="B1461" s="32" t="s">
        <v>199</v>
      </c>
      <c r="C1461" t="s">
        <v>207</v>
      </c>
      <c r="D1461">
        <f>IF(B1461=$AB$2,$AC$2,$AC$3)</f>
        <v>1</v>
      </c>
      <c r="E1461">
        <f>IF(ISBLANK(C1461),0,VLOOKUP(C1461,$AE$2:$AF$7,2,0))</f>
        <v>0.5</v>
      </c>
      <c r="F1461">
        <f t="shared" si="47"/>
        <v>0.5</v>
      </c>
    </row>
    <row r="1462" spans="1:6">
      <c r="A1462" s="30">
        <f t="shared" si="48"/>
        <v>44552</v>
      </c>
      <c r="B1462" s="32" t="s">
        <v>199</v>
      </c>
      <c r="C1462" t="s">
        <v>207</v>
      </c>
      <c r="D1462">
        <f>IF(B1462=$AB$2,$AC$2,$AC$3)</f>
        <v>1</v>
      </c>
      <c r="E1462">
        <f>IF(ISBLANK(C1462),0,VLOOKUP(C1462,$AE$2:$AF$7,2,0))</f>
        <v>0.5</v>
      </c>
      <c r="F1462">
        <f t="shared" si="47"/>
        <v>0.5</v>
      </c>
    </row>
    <row r="1463" spans="1:6">
      <c r="A1463" s="30">
        <f t="shared" si="48"/>
        <v>44553</v>
      </c>
      <c r="B1463" s="32" t="s">
        <v>199</v>
      </c>
      <c r="C1463" t="s">
        <v>207</v>
      </c>
      <c r="D1463">
        <f>IF(B1463=$AB$2,$AC$2,$AC$3)</f>
        <v>1</v>
      </c>
      <c r="E1463">
        <f>IF(ISBLANK(C1463),0,VLOOKUP(C1463,$AE$2:$AF$7,2,0))</f>
        <v>0.5</v>
      </c>
      <c r="F1463">
        <f t="shared" si="47"/>
        <v>0.5</v>
      </c>
    </row>
    <row r="1464" spans="1:6">
      <c r="A1464" s="30">
        <f t="shared" si="48"/>
        <v>44554</v>
      </c>
      <c r="B1464" s="32" t="s">
        <v>199</v>
      </c>
      <c r="C1464" t="s">
        <v>207</v>
      </c>
      <c r="D1464">
        <f>IF(B1464=$AB$2,$AC$2,$AC$3)</f>
        <v>1</v>
      </c>
      <c r="E1464">
        <f>IF(ISBLANK(C1464),0,VLOOKUP(C1464,$AE$2:$AF$7,2,0))</f>
        <v>0.5</v>
      </c>
      <c r="F1464">
        <f t="shared" si="47"/>
        <v>0.5</v>
      </c>
    </row>
    <row r="1465" spans="1:6">
      <c r="A1465" s="30">
        <f t="shared" si="48"/>
        <v>44555</v>
      </c>
      <c r="B1465" s="32" t="s">
        <v>199</v>
      </c>
      <c r="C1465" t="s">
        <v>207</v>
      </c>
      <c r="D1465">
        <f>IF(B1465=$AB$2,$AC$2,$AC$3)</f>
        <v>1</v>
      </c>
      <c r="E1465">
        <f>IF(ISBLANK(C1465),0,VLOOKUP(C1465,$AE$2:$AF$7,2,0))</f>
        <v>0.5</v>
      </c>
      <c r="F1465">
        <f t="shared" si="47"/>
        <v>0.5</v>
      </c>
    </row>
    <row r="1466" spans="1:6">
      <c r="A1466" s="30">
        <f t="shared" si="48"/>
        <v>44556</v>
      </c>
      <c r="B1466" s="32" t="s">
        <v>199</v>
      </c>
      <c r="C1466" t="s">
        <v>207</v>
      </c>
      <c r="D1466">
        <f>IF(B1466=$AB$2,$AC$2,$AC$3)</f>
        <v>1</v>
      </c>
      <c r="E1466">
        <f>IF(ISBLANK(C1466),0,VLOOKUP(C1466,$AE$2:$AF$7,2,0))</f>
        <v>0.5</v>
      </c>
      <c r="F1466">
        <f t="shared" si="47"/>
        <v>0.5</v>
      </c>
    </row>
    <row r="1467" spans="1:6">
      <c r="A1467" s="30">
        <f t="shared" si="48"/>
        <v>44557</v>
      </c>
      <c r="B1467" s="32" t="s">
        <v>199</v>
      </c>
      <c r="C1467" t="s">
        <v>207</v>
      </c>
      <c r="D1467">
        <f>IF(B1467=$AB$2,$AC$2,$AC$3)</f>
        <v>1</v>
      </c>
      <c r="E1467">
        <f>IF(ISBLANK(C1467),0,VLOOKUP(C1467,$AE$2:$AF$7,2,0))</f>
        <v>0.5</v>
      </c>
      <c r="F1467">
        <f t="shared" si="47"/>
        <v>0.5</v>
      </c>
    </row>
    <row r="1468" spans="1:6">
      <c r="A1468" s="30">
        <f t="shared" si="48"/>
        <v>44558</v>
      </c>
      <c r="B1468" s="32" t="s">
        <v>199</v>
      </c>
      <c r="C1468" t="s">
        <v>207</v>
      </c>
      <c r="D1468">
        <f>IF(B1468=$AB$2,$AC$2,$AC$3)</f>
        <v>1</v>
      </c>
      <c r="E1468">
        <f>IF(ISBLANK(C1468),0,VLOOKUP(C1468,$AE$2:$AF$7,2,0))</f>
        <v>0.5</v>
      </c>
      <c r="F1468">
        <f t="shared" si="47"/>
        <v>0.5</v>
      </c>
    </row>
    <row r="1469" spans="1:6">
      <c r="A1469" s="30">
        <f t="shared" si="48"/>
        <v>44559</v>
      </c>
      <c r="B1469" s="32" t="s">
        <v>199</v>
      </c>
      <c r="C1469" t="s">
        <v>207</v>
      </c>
      <c r="D1469">
        <f>IF(B1469=$AB$2,$AC$2,$AC$3)</f>
        <v>1</v>
      </c>
      <c r="E1469">
        <f>IF(ISBLANK(C1469),0,VLOOKUP(C1469,$AE$2:$AF$7,2,0))</f>
        <v>0.5</v>
      </c>
      <c r="F1469">
        <f t="shared" si="47"/>
        <v>0.5</v>
      </c>
    </row>
    <row r="1470" spans="1:6">
      <c r="A1470" s="30">
        <f t="shared" si="48"/>
        <v>44560</v>
      </c>
      <c r="B1470" s="32" t="s">
        <v>199</v>
      </c>
      <c r="C1470" t="s">
        <v>207</v>
      </c>
      <c r="D1470">
        <f>IF(B1470=$AB$2,$AC$2,$AC$3)</f>
        <v>1</v>
      </c>
      <c r="E1470">
        <f>IF(ISBLANK(C1470),0,VLOOKUP(C1470,$AE$2:$AF$7,2,0))</f>
        <v>0.5</v>
      </c>
      <c r="F1470">
        <f t="shared" si="47"/>
        <v>0.5</v>
      </c>
    </row>
    <row r="1471" spans="1:6">
      <c r="A1471" s="30">
        <f t="shared" si="48"/>
        <v>44561</v>
      </c>
      <c r="B1471" s="32" t="s">
        <v>199</v>
      </c>
      <c r="C1471" t="s">
        <v>207</v>
      </c>
      <c r="D1471">
        <f>IF(B1471=$AB$2,$AC$2,$AC$3)</f>
        <v>1</v>
      </c>
      <c r="E1471">
        <f>IF(ISBLANK(C1471),0,VLOOKUP(C1471,$AE$2:$AF$7,2,0))</f>
        <v>0.5</v>
      </c>
      <c r="F1471">
        <f t="shared" si="47"/>
        <v>0.5</v>
      </c>
    </row>
    <row r="1472" spans="1:6">
      <c r="A1472" s="30">
        <f t="shared" si="48"/>
        <v>44562</v>
      </c>
      <c r="B1472" s="32" t="s">
        <v>199</v>
      </c>
      <c r="C1472" t="s">
        <v>207</v>
      </c>
      <c r="D1472">
        <f>IF(B1472=$AB$2,$AC$2,$AC$3)</f>
        <v>1</v>
      </c>
      <c r="E1472">
        <f>IF(ISBLANK(C1472),0,VLOOKUP(C1472,$AE$2:$AF$7,2,0))</f>
        <v>0.5</v>
      </c>
      <c r="F1472">
        <f t="shared" si="47"/>
        <v>0.5</v>
      </c>
    </row>
    <row r="1473" spans="1:6">
      <c r="A1473" s="30">
        <f t="shared" si="48"/>
        <v>44563</v>
      </c>
      <c r="B1473" s="32" t="s">
        <v>199</v>
      </c>
      <c r="C1473" t="s">
        <v>207</v>
      </c>
      <c r="D1473">
        <f>IF(B1473=$AB$2,$AC$2,$AC$3)</f>
        <v>1</v>
      </c>
      <c r="E1473">
        <f>IF(ISBLANK(C1473),0,VLOOKUP(C1473,$AE$2:$AF$7,2,0))</f>
        <v>0.5</v>
      </c>
      <c r="F1473">
        <f t="shared" si="47"/>
        <v>0.5</v>
      </c>
    </row>
    <row r="1474" spans="1:6">
      <c r="A1474" s="30">
        <f t="shared" si="48"/>
        <v>44564</v>
      </c>
      <c r="B1474" s="32" t="s">
        <v>199</v>
      </c>
      <c r="C1474" t="s">
        <v>207</v>
      </c>
      <c r="D1474">
        <f>IF(B1474=$AB$2,$AC$2,$AC$3)</f>
        <v>1</v>
      </c>
      <c r="E1474">
        <f>IF(ISBLANK(C1474),0,VLOOKUP(C1474,$AE$2:$AF$7,2,0))</f>
        <v>0.5</v>
      </c>
      <c r="F1474">
        <f t="shared" si="47"/>
        <v>0.5</v>
      </c>
    </row>
    <row r="1475" spans="1:6">
      <c r="A1475" s="30">
        <f t="shared" si="48"/>
        <v>44565</v>
      </c>
      <c r="B1475" s="32" t="s">
        <v>199</v>
      </c>
      <c r="C1475" t="s">
        <v>207</v>
      </c>
      <c r="D1475">
        <f>IF(B1475=$AB$2,$AC$2,$AC$3)</f>
        <v>1</v>
      </c>
      <c r="E1475">
        <f>IF(ISBLANK(C1475),0,VLOOKUP(C1475,$AE$2:$AF$7,2,0))</f>
        <v>0.5</v>
      </c>
      <c r="F1475">
        <f t="shared" ref="F1475:F1538" si="49">D1475*E1475</f>
        <v>0.5</v>
      </c>
    </row>
    <row r="1476" spans="1:6">
      <c r="A1476" s="30">
        <f t="shared" si="48"/>
        <v>44566</v>
      </c>
      <c r="B1476" s="32" t="s">
        <v>199</v>
      </c>
      <c r="C1476" t="s">
        <v>207</v>
      </c>
      <c r="D1476">
        <f>IF(B1476=$AB$2,$AC$2,$AC$3)</f>
        <v>1</v>
      </c>
      <c r="E1476">
        <f>IF(ISBLANK(C1476),0,VLOOKUP(C1476,$AE$2:$AF$7,2,0))</f>
        <v>0.5</v>
      </c>
      <c r="F1476">
        <f t="shared" si="49"/>
        <v>0.5</v>
      </c>
    </row>
    <row r="1477" spans="1:6">
      <c r="A1477" s="30">
        <f t="shared" si="48"/>
        <v>44567</v>
      </c>
      <c r="B1477" s="32" t="s">
        <v>199</v>
      </c>
      <c r="C1477" t="s">
        <v>207</v>
      </c>
      <c r="D1477">
        <f>IF(B1477=$AB$2,$AC$2,$AC$3)</f>
        <v>1</v>
      </c>
      <c r="E1477">
        <f>IF(ISBLANK(C1477),0,VLOOKUP(C1477,$AE$2:$AF$7,2,0))</f>
        <v>0.5</v>
      </c>
      <c r="F1477">
        <f t="shared" si="49"/>
        <v>0.5</v>
      </c>
    </row>
    <row r="1478" spans="1:6">
      <c r="A1478" s="30">
        <f t="shared" si="48"/>
        <v>44568</v>
      </c>
      <c r="B1478" s="32" t="s">
        <v>199</v>
      </c>
      <c r="C1478" t="s">
        <v>207</v>
      </c>
      <c r="D1478">
        <f>IF(B1478=$AB$2,$AC$2,$AC$3)</f>
        <v>1</v>
      </c>
      <c r="E1478">
        <f>IF(ISBLANK(C1478),0,VLOOKUP(C1478,$AE$2:$AF$7,2,0))</f>
        <v>0.5</v>
      </c>
      <c r="F1478">
        <f t="shared" si="49"/>
        <v>0.5</v>
      </c>
    </row>
    <row r="1479" spans="1:6">
      <c r="A1479" s="30">
        <f t="shared" si="48"/>
        <v>44569</v>
      </c>
      <c r="B1479" s="32" t="s">
        <v>199</v>
      </c>
      <c r="C1479" t="s">
        <v>207</v>
      </c>
      <c r="D1479">
        <f>IF(B1479=$AB$2,$AC$2,$AC$3)</f>
        <v>1</v>
      </c>
      <c r="E1479">
        <f>IF(ISBLANK(C1479),0,VLOOKUP(C1479,$AE$2:$AF$7,2,0))</f>
        <v>0.5</v>
      </c>
      <c r="F1479">
        <f t="shared" si="49"/>
        <v>0.5</v>
      </c>
    </row>
    <row r="1480" spans="1:6">
      <c r="A1480" s="30">
        <f t="shared" si="48"/>
        <v>44570</v>
      </c>
      <c r="B1480" s="32" t="s">
        <v>199</v>
      </c>
      <c r="C1480" t="s">
        <v>207</v>
      </c>
      <c r="D1480">
        <f>IF(B1480=$AB$2,$AC$2,$AC$3)</f>
        <v>1</v>
      </c>
      <c r="E1480">
        <f>IF(ISBLANK(C1480),0,VLOOKUP(C1480,$AE$2:$AF$7,2,0))</f>
        <v>0.5</v>
      </c>
      <c r="F1480">
        <f t="shared" si="49"/>
        <v>0.5</v>
      </c>
    </row>
    <row r="1481" spans="1:6">
      <c r="A1481" s="30">
        <f t="shared" si="48"/>
        <v>44571</v>
      </c>
      <c r="B1481" s="32" t="s">
        <v>199</v>
      </c>
      <c r="C1481" t="s">
        <v>207</v>
      </c>
      <c r="D1481">
        <f>IF(B1481=$AB$2,$AC$2,$AC$3)</f>
        <v>1</v>
      </c>
      <c r="E1481">
        <f>IF(ISBLANK(C1481),0,VLOOKUP(C1481,$AE$2:$AF$7,2,0))</f>
        <v>0.5</v>
      </c>
      <c r="F1481">
        <f t="shared" si="49"/>
        <v>0.5</v>
      </c>
    </row>
    <row r="1482" spans="1:6">
      <c r="A1482" s="30">
        <f t="shared" si="48"/>
        <v>44572</v>
      </c>
      <c r="B1482" s="32" t="s">
        <v>199</v>
      </c>
      <c r="C1482" t="s">
        <v>207</v>
      </c>
      <c r="D1482">
        <f>IF(B1482=$AB$2,$AC$2,$AC$3)</f>
        <v>1</v>
      </c>
      <c r="E1482">
        <f>IF(ISBLANK(C1482),0,VLOOKUP(C1482,$AE$2:$AF$7,2,0))</f>
        <v>0.5</v>
      </c>
      <c r="F1482">
        <f t="shared" si="49"/>
        <v>0.5</v>
      </c>
    </row>
    <row r="1483" spans="1:6">
      <c r="A1483" s="30">
        <f t="shared" si="48"/>
        <v>44573</v>
      </c>
      <c r="B1483" s="32" t="s">
        <v>199</v>
      </c>
      <c r="C1483" t="s">
        <v>207</v>
      </c>
      <c r="D1483">
        <f>IF(B1483=$AB$2,$AC$2,$AC$3)</f>
        <v>1</v>
      </c>
      <c r="E1483">
        <f>IF(ISBLANK(C1483),0,VLOOKUP(C1483,$AE$2:$AF$7,2,0))</f>
        <v>0.5</v>
      </c>
      <c r="F1483">
        <f t="shared" si="49"/>
        <v>0.5</v>
      </c>
    </row>
    <row r="1484" spans="1:6">
      <c r="A1484" s="30">
        <f t="shared" si="48"/>
        <v>44574</v>
      </c>
      <c r="B1484" s="32" t="s">
        <v>199</v>
      </c>
      <c r="C1484" t="s">
        <v>207</v>
      </c>
      <c r="D1484">
        <f>IF(B1484=$AB$2,$AC$2,$AC$3)</f>
        <v>1</v>
      </c>
      <c r="E1484">
        <f>IF(ISBLANK(C1484),0,VLOOKUP(C1484,$AE$2:$AF$7,2,0))</f>
        <v>0.5</v>
      </c>
      <c r="F1484">
        <f t="shared" si="49"/>
        <v>0.5</v>
      </c>
    </row>
    <row r="1485" spans="1:6">
      <c r="A1485" s="30">
        <f>A1484+1</f>
        <v>44575</v>
      </c>
      <c r="B1485" s="32" t="s">
        <v>199</v>
      </c>
      <c r="C1485" t="s">
        <v>207</v>
      </c>
      <c r="D1485">
        <f>IF(B1485=$AB$2,$AC$2,$AC$3)</f>
        <v>1</v>
      </c>
      <c r="E1485">
        <f>IF(ISBLANK(C1485),0,VLOOKUP(C1485,$AE$2:$AF$7,2,0))</f>
        <v>0.5</v>
      </c>
      <c r="F1485">
        <f t="shared" si="49"/>
        <v>0.5</v>
      </c>
    </row>
    <row r="1486" spans="1:6">
      <c r="A1486" s="30">
        <f t="shared" ref="A1486:A1549" si="50">A1485+1</f>
        <v>44576</v>
      </c>
      <c r="B1486" s="32" t="s">
        <v>199</v>
      </c>
      <c r="C1486" t="s">
        <v>207</v>
      </c>
      <c r="D1486">
        <f>IF(B1486=$AB$2,$AC$2,$AC$3)</f>
        <v>1</v>
      </c>
      <c r="E1486">
        <f>IF(ISBLANK(C1486),0,VLOOKUP(C1486,$AE$2:$AF$7,2,0))</f>
        <v>0.5</v>
      </c>
      <c r="F1486">
        <f t="shared" si="49"/>
        <v>0.5</v>
      </c>
    </row>
    <row r="1487" spans="1:6">
      <c r="A1487" s="30">
        <f t="shared" si="50"/>
        <v>44577</v>
      </c>
      <c r="B1487" s="32" t="s">
        <v>199</v>
      </c>
      <c r="C1487" t="s">
        <v>207</v>
      </c>
      <c r="D1487">
        <f>IF(B1487=$AB$2,$AC$2,$AC$3)</f>
        <v>1</v>
      </c>
      <c r="E1487">
        <f>IF(ISBLANK(C1487),0,VLOOKUP(C1487,$AE$2:$AF$7,2,0))</f>
        <v>0.5</v>
      </c>
      <c r="F1487">
        <f t="shared" si="49"/>
        <v>0.5</v>
      </c>
    </row>
    <row r="1488" spans="1:6">
      <c r="A1488" s="30">
        <f t="shared" si="50"/>
        <v>44578</v>
      </c>
      <c r="B1488" s="32" t="s">
        <v>199</v>
      </c>
      <c r="C1488" t="s">
        <v>207</v>
      </c>
      <c r="D1488">
        <f>IF(B1488=$AB$2,$AC$2,$AC$3)</f>
        <v>1</v>
      </c>
      <c r="E1488">
        <f>IF(ISBLANK(C1488),0,VLOOKUP(C1488,$AE$2:$AF$7,2,0))</f>
        <v>0.5</v>
      </c>
      <c r="F1488">
        <f t="shared" si="49"/>
        <v>0.5</v>
      </c>
    </row>
    <row r="1489" spans="1:6">
      <c r="A1489" s="30">
        <f t="shared" si="50"/>
        <v>44579</v>
      </c>
      <c r="B1489" s="32" t="s">
        <v>199</v>
      </c>
      <c r="C1489" t="s">
        <v>207</v>
      </c>
      <c r="D1489">
        <f>IF(B1489=$AB$2,$AC$2,$AC$3)</f>
        <v>1</v>
      </c>
      <c r="E1489">
        <f>IF(ISBLANK(C1489),0,VLOOKUP(C1489,$AE$2:$AF$7,2,0))</f>
        <v>0.5</v>
      </c>
      <c r="F1489">
        <f t="shared" si="49"/>
        <v>0.5</v>
      </c>
    </row>
    <row r="1490" spans="1:6">
      <c r="A1490" s="30">
        <f t="shared" si="50"/>
        <v>44580</v>
      </c>
      <c r="B1490" s="32" t="s">
        <v>199</v>
      </c>
      <c r="C1490" t="s">
        <v>207</v>
      </c>
      <c r="D1490">
        <f>IF(B1490=$AB$2,$AC$2,$AC$3)</f>
        <v>1</v>
      </c>
      <c r="E1490">
        <f>IF(ISBLANK(C1490),0,VLOOKUP(C1490,$AE$2:$AF$7,2,0))</f>
        <v>0.5</v>
      </c>
      <c r="F1490">
        <f t="shared" si="49"/>
        <v>0.5</v>
      </c>
    </row>
    <row r="1491" spans="1:6">
      <c r="A1491" s="30">
        <f t="shared" si="50"/>
        <v>44581</v>
      </c>
      <c r="B1491" s="32" t="s">
        <v>199</v>
      </c>
      <c r="C1491" t="s">
        <v>207</v>
      </c>
      <c r="D1491">
        <f>IF(B1491=$AB$2,$AC$2,$AC$3)</f>
        <v>1</v>
      </c>
      <c r="E1491">
        <f>IF(ISBLANK(C1491),0,VLOOKUP(C1491,$AE$2:$AF$7,2,0))</f>
        <v>0.5</v>
      </c>
      <c r="F1491">
        <f t="shared" si="49"/>
        <v>0.5</v>
      </c>
    </row>
    <row r="1492" spans="1:6">
      <c r="A1492" s="30">
        <f t="shared" si="50"/>
        <v>44582</v>
      </c>
      <c r="B1492" s="32" t="s">
        <v>199</v>
      </c>
      <c r="C1492" t="s">
        <v>207</v>
      </c>
      <c r="D1492">
        <f>IF(B1492=$AB$2,$AC$2,$AC$3)</f>
        <v>1</v>
      </c>
      <c r="E1492">
        <f>IF(ISBLANK(C1492),0,VLOOKUP(C1492,$AE$2:$AF$7,2,0))</f>
        <v>0.5</v>
      </c>
      <c r="F1492">
        <f t="shared" si="49"/>
        <v>0.5</v>
      </c>
    </row>
    <row r="1493" spans="1:6">
      <c r="A1493" s="30">
        <f t="shared" si="50"/>
        <v>44583</v>
      </c>
      <c r="B1493" s="32" t="s">
        <v>199</v>
      </c>
      <c r="C1493" t="s">
        <v>207</v>
      </c>
      <c r="D1493">
        <f>IF(B1493=$AB$2,$AC$2,$AC$3)</f>
        <v>1</v>
      </c>
      <c r="E1493">
        <f>IF(ISBLANK(C1493),0,VLOOKUP(C1493,$AE$2:$AF$7,2,0))</f>
        <v>0.5</v>
      </c>
      <c r="F1493">
        <f t="shared" si="49"/>
        <v>0.5</v>
      </c>
    </row>
    <row r="1494" spans="1:6">
      <c r="A1494" s="30">
        <f t="shared" si="50"/>
        <v>44584</v>
      </c>
      <c r="B1494" s="32" t="s">
        <v>199</v>
      </c>
      <c r="C1494" t="s">
        <v>207</v>
      </c>
      <c r="D1494">
        <f>IF(B1494=$AB$2,$AC$2,$AC$3)</f>
        <v>1</v>
      </c>
      <c r="E1494">
        <f>IF(ISBLANK(C1494),0,VLOOKUP(C1494,$AE$2:$AF$7,2,0))</f>
        <v>0.5</v>
      </c>
      <c r="F1494">
        <f t="shared" si="49"/>
        <v>0.5</v>
      </c>
    </row>
    <row r="1495" spans="1:6">
      <c r="A1495" s="30">
        <f t="shared" si="50"/>
        <v>44585</v>
      </c>
      <c r="B1495" s="32" t="s">
        <v>199</v>
      </c>
      <c r="C1495" t="s">
        <v>207</v>
      </c>
      <c r="D1495">
        <f>IF(B1495=$AB$2,$AC$2,$AC$3)</f>
        <v>1</v>
      </c>
      <c r="E1495">
        <f>IF(ISBLANK(C1495),0,VLOOKUP(C1495,$AE$2:$AF$7,2,0))</f>
        <v>0.5</v>
      </c>
      <c r="F1495">
        <f t="shared" si="49"/>
        <v>0.5</v>
      </c>
    </row>
    <row r="1496" spans="1:6">
      <c r="A1496" s="30">
        <f t="shared" si="50"/>
        <v>44586</v>
      </c>
      <c r="B1496" s="32" t="s">
        <v>199</v>
      </c>
      <c r="C1496" t="s">
        <v>207</v>
      </c>
      <c r="D1496">
        <f>IF(B1496=$AB$2,$AC$2,$AC$3)</f>
        <v>1</v>
      </c>
      <c r="E1496">
        <f>IF(ISBLANK(C1496),0,VLOOKUP(C1496,$AE$2:$AF$7,2,0))</f>
        <v>0.5</v>
      </c>
      <c r="F1496">
        <f t="shared" si="49"/>
        <v>0.5</v>
      </c>
    </row>
    <row r="1497" spans="1:6">
      <c r="A1497" s="30">
        <f t="shared" si="50"/>
        <v>44587</v>
      </c>
      <c r="B1497" s="32" t="s">
        <v>199</v>
      </c>
      <c r="C1497" t="s">
        <v>207</v>
      </c>
      <c r="D1497">
        <f>IF(B1497=$AB$2,$AC$2,$AC$3)</f>
        <v>1</v>
      </c>
      <c r="E1497">
        <f>IF(ISBLANK(C1497),0,VLOOKUP(C1497,$AE$2:$AF$7,2,0))</f>
        <v>0.5</v>
      </c>
      <c r="F1497">
        <f t="shared" si="49"/>
        <v>0.5</v>
      </c>
    </row>
    <row r="1498" spans="1:6">
      <c r="A1498" s="30">
        <f t="shared" si="50"/>
        <v>44588</v>
      </c>
      <c r="B1498" s="32" t="s">
        <v>199</v>
      </c>
      <c r="C1498" t="s">
        <v>207</v>
      </c>
      <c r="D1498">
        <f>IF(B1498=$AB$2,$AC$2,$AC$3)</f>
        <v>1</v>
      </c>
      <c r="E1498">
        <f>IF(ISBLANK(C1498),0,VLOOKUP(C1498,$AE$2:$AF$7,2,0))</f>
        <v>0.5</v>
      </c>
      <c r="F1498">
        <f t="shared" si="49"/>
        <v>0.5</v>
      </c>
    </row>
    <row r="1499" spans="1:6">
      <c r="A1499" s="30">
        <f t="shared" si="50"/>
        <v>44589</v>
      </c>
      <c r="B1499" s="32" t="s">
        <v>199</v>
      </c>
      <c r="C1499" t="s">
        <v>207</v>
      </c>
      <c r="D1499">
        <f>IF(B1499=$AB$2,$AC$2,$AC$3)</f>
        <v>1</v>
      </c>
      <c r="E1499">
        <f>IF(ISBLANK(C1499),0,VLOOKUP(C1499,$AE$2:$AF$7,2,0))</f>
        <v>0.5</v>
      </c>
      <c r="F1499">
        <f t="shared" si="49"/>
        <v>0.5</v>
      </c>
    </row>
    <row r="1500" spans="1:6">
      <c r="A1500" s="30">
        <f t="shared" si="50"/>
        <v>44590</v>
      </c>
      <c r="B1500" s="32" t="s">
        <v>199</v>
      </c>
      <c r="C1500" t="s">
        <v>207</v>
      </c>
      <c r="D1500">
        <f>IF(B1500=$AB$2,$AC$2,$AC$3)</f>
        <v>1</v>
      </c>
      <c r="E1500">
        <f>IF(ISBLANK(C1500),0,VLOOKUP(C1500,$AE$2:$AF$7,2,0))</f>
        <v>0.5</v>
      </c>
      <c r="F1500">
        <f t="shared" si="49"/>
        <v>0.5</v>
      </c>
    </row>
    <row r="1501" spans="1:6">
      <c r="A1501" s="30">
        <f t="shared" si="50"/>
        <v>44591</v>
      </c>
      <c r="B1501" s="32" t="s">
        <v>199</v>
      </c>
      <c r="C1501" t="s">
        <v>207</v>
      </c>
      <c r="D1501">
        <f>IF(B1501=$AB$2,$AC$2,$AC$3)</f>
        <v>1</v>
      </c>
      <c r="E1501">
        <f>IF(ISBLANK(C1501),0,VLOOKUP(C1501,$AE$2:$AF$7,2,0))</f>
        <v>0.5</v>
      </c>
      <c r="F1501">
        <f t="shared" si="49"/>
        <v>0.5</v>
      </c>
    </row>
    <row r="1502" spans="1:6">
      <c r="A1502" s="30">
        <f t="shared" si="50"/>
        <v>44592</v>
      </c>
      <c r="B1502" s="32" t="s">
        <v>199</v>
      </c>
      <c r="C1502" t="s">
        <v>207</v>
      </c>
      <c r="D1502">
        <f>IF(B1502=$AB$2,$AC$2,$AC$3)</f>
        <v>1</v>
      </c>
      <c r="E1502">
        <f>IF(ISBLANK(C1502),0,VLOOKUP(C1502,$AE$2:$AF$7,2,0))</f>
        <v>0.5</v>
      </c>
      <c r="F1502">
        <f t="shared" si="49"/>
        <v>0.5</v>
      </c>
    </row>
    <row r="1503" spans="1:6">
      <c r="A1503" s="30">
        <f t="shared" si="50"/>
        <v>44593</v>
      </c>
      <c r="B1503" s="32" t="s">
        <v>199</v>
      </c>
      <c r="C1503" t="s">
        <v>207</v>
      </c>
      <c r="D1503">
        <f>IF(B1503=$AB$2,$AC$2,$AC$3)</f>
        <v>1</v>
      </c>
      <c r="E1503">
        <f>IF(ISBLANK(C1503),0,VLOOKUP(C1503,$AE$2:$AF$7,2,0))</f>
        <v>0.5</v>
      </c>
      <c r="F1503">
        <f t="shared" si="49"/>
        <v>0.5</v>
      </c>
    </row>
    <row r="1504" spans="1:6">
      <c r="A1504" s="30">
        <f t="shared" si="50"/>
        <v>44594</v>
      </c>
      <c r="B1504" s="32" t="s">
        <v>199</v>
      </c>
      <c r="C1504" t="s">
        <v>207</v>
      </c>
      <c r="D1504">
        <f>IF(B1504=$AB$2,$AC$2,$AC$3)</f>
        <v>1</v>
      </c>
      <c r="E1504">
        <f>IF(ISBLANK(C1504),0,VLOOKUP(C1504,$AE$2:$AF$7,2,0))</f>
        <v>0.5</v>
      </c>
      <c r="F1504">
        <f t="shared" si="49"/>
        <v>0.5</v>
      </c>
    </row>
    <row r="1505" spans="1:6">
      <c r="A1505" s="30">
        <f t="shared" si="50"/>
        <v>44595</v>
      </c>
      <c r="B1505" s="32" t="s">
        <v>199</v>
      </c>
      <c r="C1505" t="s">
        <v>207</v>
      </c>
      <c r="D1505">
        <f>IF(B1505=$AB$2,$AC$2,$AC$3)</f>
        <v>1</v>
      </c>
      <c r="E1505">
        <f>IF(ISBLANK(C1505),0,VLOOKUP(C1505,$AE$2:$AF$7,2,0))</f>
        <v>0.5</v>
      </c>
      <c r="F1505">
        <f t="shared" si="49"/>
        <v>0.5</v>
      </c>
    </row>
    <row r="1506" spans="1:6">
      <c r="A1506" s="30">
        <f t="shared" si="50"/>
        <v>44596</v>
      </c>
      <c r="B1506" s="32" t="s">
        <v>199</v>
      </c>
      <c r="C1506" t="s">
        <v>207</v>
      </c>
      <c r="D1506">
        <f>IF(B1506=$AB$2,$AC$2,$AC$3)</f>
        <v>1</v>
      </c>
      <c r="E1506">
        <f>IF(ISBLANK(C1506),0,VLOOKUP(C1506,$AE$2:$AF$7,2,0))</f>
        <v>0.5</v>
      </c>
      <c r="F1506">
        <f t="shared" si="49"/>
        <v>0.5</v>
      </c>
    </row>
    <row r="1507" spans="1:6">
      <c r="A1507" s="30">
        <f t="shared" si="50"/>
        <v>44597</v>
      </c>
      <c r="B1507" s="32" t="s">
        <v>199</v>
      </c>
      <c r="C1507" t="s">
        <v>207</v>
      </c>
      <c r="D1507">
        <f>IF(B1507=$AB$2,$AC$2,$AC$3)</f>
        <v>1</v>
      </c>
      <c r="E1507">
        <f>IF(ISBLANK(C1507),0,VLOOKUP(C1507,$AE$2:$AF$7,2,0))</f>
        <v>0.5</v>
      </c>
      <c r="F1507">
        <f t="shared" si="49"/>
        <v>0.5</v>
      </c>
    </row>
    <row r="1508" spans="1:6">
      <c r="A1508" s="30">
        <f t="shared" si="50"/>
        <v>44598</v>
      </c>
      <c r="B1508" s="32" t="s">
        <v>199</v>
      </c>
      <c r="C1508" t="s">
        <v>207</v>
      </c>
      <c r="D1508">
        <f>IF(B1508=$AB$2,$AC$2,$AC$3)</f>
        <v>1</v>
      </c>
      <c r="E1508">
        <f>IF(ISBLANK(C1508),0,VLOOKUP(C1508,$AE$2:$AF$7,2,0))</f>
        <v>0.5</v>
      </c>
      <c r="F1508">
        <f t="shared" si="49"/>
        <v>0.5</v>
      </c>
    </row>
    <row r="1509" spans="1:6">
      <c r="A1509" s="30">
        <f t="shared" si="50"/>
        <v>44599</v>
      </c>
      <c r="B1509" s="32" t="s">
        <v>199</v>
      </c>
      <c r="C1509" t="s">
        <v>207</v>
      </c>
      <c r="D1509">
        <f>IF(B1509=$AB$2,$AC$2,$AC$3)</f>
        <v>1</v>
      </c>
      <c r="E1509">
        <f>IF(ISBLANK(C1509),0,VLOOKUP(C1509,$AE$2:$AF$7,2,0))</f>
        <v>0.5</v>
      </c>
      <c r="F1509">
        <f t="shared" si="49"/>
        <v>0.5</v>
      </c>
    </row>
    <row r="1510" spans="1:6">
      <c r="A1510" s="30">
        <f t="shared" si="50"/>
        <v>44600</v>
      </c>
      <c r="B1510" s="32" t="s">
        <v>199</v>
      </c>
      <c r="C1510" t="s">
        <v>207</v>
      </c>
      <c r="D1510">
        <f>IF(B1510=$AB$2,$AC$2,$AC$3)</f>
        <v>1</v>
      </c>
      <c r="E1510">
        <f>IF(ISBLANK(C1510),0,VLOOKUP(C1510,$AE$2:$AF$7,2,0))</f>
        <v>0.5</v>
      </c>
      <c r="F1510">
        <f t="shared" si="49"/>
        <v>0.5</v>
      </c>
    </row>
    <row r="1511" spans="1:6">
      <c r="A1511" s="30">
        <f t="shared" si="50"/>
        <v>44601</v>
      </c>
      <c r="B1511" s="32" t="s">
        <v>199</v>
      </c>
      <c r="C1511" t="s">
        <v>207</v>
      </c>
      <c r="D1511">
        <f>IF(B1511=$AB$2,$AC$2,$AC$3)</f>
        <v>1</v>
      </c>
      <c r="E1511">
        <f>IF(ISBLANK(C1511),0,VLOOKUP(C1511,$AE$2:$AF$7,2,0))</f>
        <v>0.5</v>
      </c>
      <c r="F1511">
        <f t="shared" si="49"/>
        <v>0.5</v>
      </c>
    </row>
    <row r="1512" spans="1:6">
      <c r="A1512" s="30">
        <f t="shared" si="50"/>
        <v>44602</v>
      </c>
      <c r="B1512" s="32" t="s">
        <v>199</v>
      </c>
      <c r="C1512" t="s">
        <v>207</v>
      </c>
      <c r="D1512">
        <f>IF(B1512=$AB$2,$AC$2,$AC$3)</f>
        <v>1</v>
      </c>
      <c r="E1512">
        <f>IF(ISBLANK(C1512),0,VLOOKUP(C1512,$AE$2:$AF$7,2,0))</f>
        <v>0.5</v>
      </c>
      <c r="F1512">
        <f t="shared" si="49"/>
        <v>0.5</v>
      </c>
    </row>
    <row r="1513" spans="1:6">
      <c r="A1513" s="30">
        <f t="shared" si="50"/>
        <v>44603</v>
      </c>
      <c r="B1513" s="32" t="s">
        <v>199</v>
      </c>
      <c r="C1513" t="s">
        <v>207</v>
      </c>
      <c r="D1513">
        <f>IF(B1513=$AB$2,$AC$2,$AC$3)</f>
        <v>1</v>
      </c>
      <c r="E1513">
        <f>IF(ISBLANK(C1513),0,VLOOKUP(C1513,$AE$2:$AF$7,2,0))</f>
        <v>0.5</v>
      </c>
      <c r="F1513">
        <f t="shared" si="49"/>
        <v>0.5</v>
      </c>
    </row>
    <row r="1514" spans="1:6">
      <c r="A1514" s="30">
        <f t="shared" si="50"/>
        <v>44604</v>
      </c>
      <c r="B1514" s="32" t="s">
        <v>199</v>
      </c>
      <c r="C1514" t="s">
        <v>207</v>
      </c>
      <c r="D1514">
        <f>IF(B1514=$AB$2,$AC$2,$AC$3)</f>
        <v>1</v>
      </c>
      <c r="E1514">
        <f>IF(ISBLANK(C1514),0,VLOOKUP(C1514,$AE$2:$AF$7,2,0))</f>
        <v>0.5</v>
      </c>
      <c r="F1514">
        <f t="shared" si="49"/>
        <v>0.5</v>
      </c>
    </row>
    <row r="1515" spans="1:6">
      <c r="A1515" s="30">
        <f t="shared" si="50"/>
        <v>44605</v>
      </c>
      <c r="B1515" s="32" t="s">
        <v>199</v>
      </c>
      <c r="C1515" t="s">
        <v>207</v>
      </c>
      <c r="D1515">
        <f>IF(B1515=$AB$2,$AC$2,$AC$3)</f>
        <v>1</v>
      </c>
      <c r="E1515">
        <f>IF(ISBLANK(C1515),0,VLOOKUP(C1515,$AE$2:$AF$7,2,0))</f>
        <v>0.5</v>
      </c>
      <c r="F1515">
        <f t="shared" si="49"/>
        <v>0.5</v>
      </c>
    </row>
    <row r="1516" spans="1:6">
      <c r="A1516" s="30">
        <f t="shared" si="50"/>
        <v>44606</v>
      </c>
      <c r="B1516" s="32" t="s">
        <v>199</v>
      </c>
      <c r="C1516" t="s">
        <v>207</v>
      </c>
      <c r="D1516">
        <f>IF(B1516=$AB$2,$AC$2,$AC$3)</f>
        <v>1</v>
      </c>
      <c r="E1516">
        <f>IF(ISBLANK(C1516),0,VLOOKUP(C1516,$AE$2:$AF$7,2,0))</f>
        <v>0.5</v>
      </c>
      <c r="F1516">
        <f t="shared" si="49"/>
        <v>0.5</v>
      </c>
    </row>
    <row r="1517" spans="1:6">
      <c r="A1517" s="30">
        <f t="shared" si="50"/>
        <v>44607</v>
      </c>
      <c r="B1517" s="32" t="s">
        <v>199</v>
      </c>
      <c r="C1517" t="s">
        <v>207</v>
      </c>
      <c r="D1517">
        <f>IF(B1517=$AB$2,$AC$2,$AC$3)</f>
        <v>1</v>
      </c>
      <c r="E1517">
        <f>IF(ISBLANK(C1517),0,VLOOKUP(C1517,$AE$2:$AF$7,2,0))</f>
        <v>0.5</v>
      </c>
      <c r="F1517">
        <f t="shared" si="49"/>
        <v>0.5</v>
      </c>
    </row>
    <row r="1518" spans="1:6">
      <c r="A1518" s="30">
        <f t="shared" si="50"/>
        <v>44608</v>
      </c>
      <c r="B1518" s="32" t="s">
        <v>199</v>
      </c>
      <c r="C1518" t="s">
        <v>207</v>
      </c>
      <c r="D1518">
        <f>IF(B1518=$AB$2,$AC$2,$AC$3)</f>
        <v>1</v>
      </c>
      <c r="E1518">
        <f>IF(ISBLANK(C1518),0,VLOOKUP(C1518,$AE$2:$AF$7,2,0))</f>
        <v>0.5</v>
      </c>
      <c r="F1518">
        <f t="shared" si="49"/>
        <v>0.5</v>
      </c>
    </row>
    <row r="1519" spans="1:6">
      <c r="A1519" s="30">
        <f t="shared" si="50"/>
        <v>44609</v>
      </c>
      <c r="B1519" s="32" t="s">
        <v>199</v>
      </c>
      <c r="C1519" t="s">
        <v>207</v>
      </c>
      <c r="D1519">
        <f>IF(B1519=$AB$2,$AC$2,$AC$3)</f>
        <v>1</v>
      </c>
      <c r="E1519">
        <f>IF(ISBLANK(C1519),0,VLOOKUP(C1519,$AE$2:$AF$7,2,0))</f>
        <v>0.5</v>
      </c>
      <c r="F1519">
        <f t="shared" si="49"/>
        <v>0.5</v>
      </c>
    </row>
    <row r="1520" spans="1:6">
      <c r="A1520" s="30">
        <f t="shared" si="50"/>
        <v>44610</v>
      </c>
      <c r="B1520" s="32" t="s">
        <v>199</v>
      </c>
      <c r="C1520" t="s">
        <v>207</v>
      </c>
      <c r="D1520">
        <f>IF(B1520=$AB$2,$AC$2,$AC$3)</f>
        <v>1</v>
      </c>
      <c r="E1520">
        <f>IF(ISBLANK(C1520),0,VLOOKUP(C1520,$AE$2:$AF$7,2,0))</f>
        <v>0.5</v>
      </c>
      <c r="F1520">
        <f t="shared" si="49"/>
        <v>0.5</v>
      </c>
    </row>
    <row r="1521" spans="1:6">
      <c r="A1521" s="30">
        <f t="shared" si="50"/>
        <v>44611</v>
      </c>
      <c r="B1521" s="32" t="s">
        <v>199</v>
      </c>
      <c r="C1521" t="s">
        <v>207</v>
      </c>
      <c r="D1521">
        <f>IF(B1521=$AB$2,$AC$2,$AC$3)</f>
        <v>1</v>
      </c>
      <c r="E1521">
        <f>IF(ISBLANK(C1521),0,VLOOKUP(C1521,$AE$2:$AF$7,2,0))</f>
        <v>0.5</v>
      </c>
      <c r="F1521">
        <f t="shared" si="49"/>
        <v>0.5</v>
      </c>
    </row>
    <row r="1522" spans="1:6">
      <c r="A1522" s="30">
        <f t="shared" si="50"/>
        <v>44612</v>
      </c>
      <c r="B1522" s="32" t="s">
        <v>199</v>
      </c>
      <c r="C1522" t="s">
        <v>207</v>
      </c>
      <c r="D1522">
        <f>IF(B1522=$AB$2,$AC$2,$AC$3)</f>
        <v>1</v>
      </c>
      <c r="E1522">
        <f>IF(ISBLANK(C1522),0,VLOOKUP(C1522,$AE$2:$AF$7,2,0))</f>
        <v>0.5</v>
      </c>
      <c r="F1522">
        <f t="shared" si="49"/>
        <v>0.5</v>
      </c>
    </row>
    <row r="1523" spans="1:6">
      <c r="A1523" s="30">
        <f t="shared" si="50"/>
        <v>44613</v>
      </c>
      <c r="B1523" s="32" t="s">
        <v>199</v>
      </c>
      <c r="C1523" t="s">
        <v>207</v>
      </c>
      <c r="D1523">
        <f>IF(B1523=$AB$2,$AC$2,$AC$3)</f>
        <v>1</v>
      </c>
      <c r="E1523">
        <f>IF(ISBLANK(C1523),0,VLOOKUP(C1523,$AE$2:$AF$7,2,0))</f>
        <v>0.5</v>
      </c>
      <c r="F1523">
        <f t="shared" si="49"/>
        <v>0.5</v>
      </c>
    </row>
    <row r="1524" spans="1:6">
      <c r="A1524" s="30">
        <f t="shared" si="50"/>
        <v>44614</v>
      </c>
      <c r="B1524" s="32" t="s">
        <v>199</v>
      </c>
      <c r="C1524" t="s">
        <v>207</v>
      </c>
      <c r="D1524">
        <f>IF(B1524=$AB$2,$AC$2,$AC$3)</f>
        <v>1</v>
      </c>
      <c r="E1524">
        <f>IF(ISBLANK(C1524),0,VLOOKUP(C1524,$AE$2:$AF$7,2,0))</f>
        <v>0.5</v>
      </c>
      <c r="F1524">
        <f t="shared" si="49"/>
        <v>0.5</v>
      </c>
    </row>
    <row r="1525" spans="1:6">
      <c r="A1525" s="30">
        <f t="shared" si="50"/>
        <v>44615</v>
      </c>
      <c r="B1525" s="32" t="s">
        <v>199</v>
      </c>
      <c r="C1525" t="s">
        <v>207</v>
      </c>
      <c r="D1525">
        <f>IF(B1525=$AB$2,$AC$2,$AC$3)</f>
        <v>1</v>
      </c>
      <c r="E1525">
        <f>IF(ISBLANK(C1525),0,VLOOKUP(C1525,$AE$2:$AF$7,2,0))</f>
        <v>0.5</v>
      </c>
      <c r="F1525">
        <f t="shared" si="49"/>
        <v>0.5</v>
      </c>
    </row>
    <row r="1526" spans="1:6">
      <c r="A1526" s="30">
        <f t="shared" si="50"/>
        <v>44616</v>
      </c>
      <c r="B1526" s="32" t="s">
        <v>199</v>
      </c>
      <c r="C1526" t="s">
        <v>207</v>
      </c>
      <c r="D1526">
        <f>IF(B1526=$AB$2,$AC$2,$AC$3)</f>
        <v>1</v>
      </c>
      <c r="E1526">
        <f>IF(ISBLANK(C1526),0,VLOOKUP(C1526,$AE$2:$AF$7,2,0))</f>
        <v>0.5</v>
      </c>
      <c r="F1526">
        <f t="shared" si="49"/>
        <v>0.5</v>
      </c>
    </row>
    <row r="1527" spans="1:6">
      <c r="A1527" s="30">
        <f t="shared" si="50"/>
        <v>44617</v>
      </c>
      <c r="B1527" s="32" t="s">
        <v>199</v>
      </c>
      <c r="C1527" t="s">
        <v>207</v>
      </c>
      <c r="D1527">
        <f>IF(B1527=$AB$2,$AC$2,$AC$3)</f>
        <v>1</v>
      </c>
      <c r="E1527">
        <f>IF(ISBLANK(C1527),0,VLOOKUP(C1527,$AE$2:$AF$7,2,0))</f>
        <v>0.5</v>
      </c>
      <c r="F1527">
        <f t="shared" si="49"/>
        <v>0.5</v>
      </c>
    </row>
    <row r="1528" spans="1:6">
      <c r="A1528" s="30">
        <f t="shared" si="50"/>
        <v>44618</v>
      </c>
      <c r="B1528" s="32" t="s">
        <v>199</v>
      </c>
      <c r="C1528" t="s">
        <v>207</v>
      </c>
      <c r="D1528">
        <f>IF(B1528=$AB$2,$AC$2,$AC$3)</f>
        <v>1</v>
      </c>
      <c r="E1528">
        <f>IF(ISBLANK(C1528),0,VLOOKUP(C1528,$AE$2:$AF$7,2,0))</f>
        <v>0.5</v>
      </c>
      <c r="F1528">
        <f t="shared" si="49"/>
        <v>0.5</v>
      </c>
    </row>
    <row r="1529" spans="1:6">
      <c r="A1529" s="30">
        <f t="shared" si="50"/>
        <v>44619</v>
      </c>
      <c r="B1529" s="32" t="s">
        <v>199</v>
      </c>
      <c r="C1529" t="s">
        <v>207</v>
      </c>
      <c r="D1529">
        <f>IF(B1529=$AB$2,$AC$2,$AC$3)</f>
        <v>1</v>
      </c>
      <c r="E1529">
        <f>IF(ISBLANK(C1529),0,VLOOKUP(C1529,$AE$2:$AF$7,2,0))</f>
        <v>0.5</v>
      </c>
      <c r="F1529">
        <f t="shared" si="49"/>
        <v>0.5</v>
      </c>
    </row>
    <row r="1530" spans="1:6">
      <c r="A1530" s="30">
        <f t="shared" si="50"/>
        <v>44620</v>
      </c>
      <c r="B1530" s="32" t="s">
        <v>199</v>
      </c>
      <c r="C1530" t="s">
        <v>207</v>
      </c>
      <c r="D1530">
        <f>IF(B1530=$AB$2,$AC$2,$AC$3)</f>
        <v>1</v>
      </c>
      <c r="E1530">
        <f>IF(ISBLANK(C1530),0,VLOOKUP(C1530,$AE$2:$AF$7,2,0))</f>
        <v>0.5</v>
      </c>
      <c r="F1530">
        <f t="shared" si="49"/>
        <v>0.5</v>
      </c>
    </row>
    <row r="1531" spans="1:6">
      <c r="A1531" s="30">
        <f t="shared" si="50"/>
        <v>44621</v>
      </c>
      <c r="B1531" s="32" t="s">
        <v>199</v>
      </c>
      <c r="C1531" t="s">
        <v>207</v>
      </c>
      <c r="D1531">
        <f>IF(B1531=$AB$2,$AC$2,$AC$3)</f>
        <v>1</v>
      </c>
      <c r="E1531">
        <f>IF(ISBLANK(C1531),0,VLOOKUP(C1531,$AE$2:$AF$7,2,0))</f>
        <v>0.5</v>
      </c>
      <c r="F1531">
        <f t="shared" si="49"/>
        <v>0.5</v>
      </c>
    </row>
    <row r="1532" spans="1:6">
      <c r="A1532" s="30">
        <f t="shared" si="50"/>
        <v>44622</v>
      </c>
      <c r="B1532" s="32" t="s">
        <v>199</v>
      </c>
      <c r="C1532" t="s">
        <v>207</v>
      </c>
      <c r="D1532">
        <f>IF(B1532=$AB$2,$AC$2,$AC$3)</f>
        <v>1</v>
      </c>
      <c r="E1532">
        <f>IF(ISBLANK(C1532),0,VLOOKUP(C1532,$AE$2:$AF$7,2,0))</f>
        <v>0.5</v>
      </c>
      <c r="F1532">
        <f t="shared" si="49"/>
        <v>0.5</v>
      </c>
    </row>
    <row r="1533" spans="1:6">
      <c r="A1533" s="30">
        <f t="shared" si="50"/>
        <v>44623</v>
      </c>
      <c r="B1533" s="32" t="s">
        <v>199</v>
      </c>
      <c r="C1533" t="s">
        <v>207</v>
      </c>
      <c r="D1533">
        <f>IF(B1533=$AB$2,$AC$2,$AC$3)</f>
        <v>1</v>
      </c>
      <c r="E1533">
        <f>IF(ISBLANK(C1533),0,VLOOKUP(C1533,$AE$2:$AF$7,2,0))</f>
        <v>0.5</v>
      </c>
      <c r="F1533">
        <f t="shared" si="49"/>
        <v>0.5</v>
      </c>
    </row>
    <row r="1534" spans="1:6">
      <c r="A1534" s="30">
        <f t="shared" si="50"/>
        <v>44624</v>
      </c>
      <c r="B1534" s="32" t="s">
        <v>199</v>
      </c>
      <c r="C1534" t="s">
        <v>207</v>
      </c>
      <c r="D1534">
        <f>IF(B1534=$AB$2,$AC$2,$AC$3)</f>
        <v>1</v>
      </c>
      <c r="E1534">
        <f>IF(ISBLANK(C1534),0,VLOOKUP(C1534,$AE$2:$AF$7,2,0))</f>
        <v>0.5</v>
      </c>
      <c r="F1534">
        <f t="shared" si="49"/>
        <v>0.5</v>
      </c>
    </row>
    <row r="1535" spans="1:6">
      <c r="A1535" s="30">
        <f t="shared" si="50"/>
        <v>44625</v>
      </c>
      <c r="B1535" s="32" t="s">
        <v>199</v>
      </c>
      <c r="C1535" t="s">
        <v>207</v>
      </c>
      <c r="D1535">
        <f>IF(B1535=$AB$2,$AC$2,$AC$3)</f>
        <v>1</v>
      </c>
      <c r="E1535">
        <f>IF(ISBLANK(C1535),0,VLOOKUP(C1535,$AE$2:$AF$7,2,0))</f>
        <v>0.5</v>
      </c>
      <c r="F1535">
        <f t="shared" si="49"/>
        <v>0.5</v>
      </c>
    </row>
    <row r="1536" spans="1:6">
      <c r="A1536" s="30">
        <f t="shared" si="50"/>
        <v>44626</v>
      </c>
      <c r="B1536" s="32" t="s">
        <v>199</v>
      </c>
      <c r="C1536" t="s">
        <v>207</v>
      </c>
      <c r="D1536">
        <f>IF(B1536=$AB$2,$AC$2,$AC$3)</f>
        <v>1</v>
      </c>
      <c r="E1536">
        <f>IF(ISBLANK(C1536),0,VLOOKUP(C1536,$AE$2:$AF$7,2,0))</f>
        <v>0.5</v>
      </c>
      <c r="F1536">
        <f t="shared" si="49"/>
        <v>0.5</v>
      </c>
    </row>
    <row r="1537" spans="1:6">
      <c r="A1537" s="30">
        <f t="shared" si="50"/>
        <v>44627</v>
      </c>
      <c r="B1537" s="32" t="s">
        <v>199</v>
      </c>
      <c r="C1537" t="s">
        <v>207</v>
      </c>
      <c r="D1537">
        <f>IF(B1537=$AB$2,$AC$2,$AC$3)</f>
        <v>1</v>
      </c>
      <c r="E1537">
        <f>IF(ISBLANK(C1537),0,VLOOKUP(C1537,$AE$2:$AF$7,2,0))</f>
        <v>0.5</v>
      </c>
      <c r="F1537">
        <f t="shared" si="49"/>
        <v>0.5</v>
      </c>
    </row>
    <row r="1538" spans="1:6">
      <c r="A1538" s="30">
        <f t="shared" si="50"/>
        <v>44628</v>
      </c>
      <c r="B1538" s="32" t="s">
        <v>199</v>
      </c>
      <c r="C1538" t="s">
        <v>207</v>
      </c>
      <c r="D1538">
        <f>IF(B1538=$AB$2,$AC$2,$AC$3)</f>
        <v>1</v>
      </c>
      <c r="E1538">
        <f>IF(ISBLANK(C1538),0,VLOOKUP(C1538,$AE$2:$AF$7,2,0))</f>
        <v>0.5</v>
      </c>
      <c r="F1538">
        <f t="shared" si="49"/>
        <v>0.5</v>
      </c>
    </row>
    <row r="1539" spans="1:6">
      <c r="A1539" s="30">
        <f t="shared" si="50"/>
        <v>44629</v>
      </c>
      <c r="B1539" s="32" t="s">
        <v>199</v>
      </c>
      <c r="C1539" t="s">
        <v>207</v>
      </c>
      <c r="D1539">
        <f>IF(B1539=$AB$2,$AC$2,$AC$3)</f>
        <v>1</v>
      </c>
      <c r="E1539">
        <f>IF(ISBLANK(C1539),0,VLOOKUP(C1539,$AE$2:$AF$7,2,0))</f>
        <v>0.5</v>
      </c>
      <c r="F1539">
        <f t="shared" ref="F1539:F1602" si="51">D1539*E1539</f>
        <v>0.5</v>
      </c>
    </row>
    <row r="1540" spans="1:6">
      <c r="A1540" s="30">
        <f t="shared" si="50"/>
        <v>44630</v>
      </c>
      <c r="B1540" s="32" t="s">
        <v>199</v>
      </c>
      <c r="C1540" t="s">
        <v>207</v>
      </c>
      <c r="D1540">
        <f>IF(B1540=$AB$2,$AC$2,$AC$3)</f>
        <v>1</v>
      </c>
      <c r="E1540">
        <f>IF(ISBLANK(C1540),0,VLOOKUP(C1540,$AE$2:$AF$7,2,0))</f>
        <v>0.5</v>
      </c>
      <c r="F1540">
        <f t="shared" si="51"/>
        <v>0.5</v>
      </c>
    </row>
    <row r="1541" spans="1:6">
      <c r="A1541" s="30">
        <f t="shared" si="50"/>
        <v>44631</v>
      </c>
      <c r="B1541" s="32" t="s">
        <v>199</v>
      </c>
      <c r="C1541" t="s">
        <v>207</v>
      </c>
      <c r="D1541">
        <f>IF(B1541=$AB$2,$AC$2,$AC$3)</f>
        <v>1</v>
      </c>
      <c r="E1541">
        <f>IF(ISBLANK(C1541),0,VLOOKUP(C1541,$AE$2:$AF$7,2,0))</f>
        <v>0.5</v>
      </c>
      <c r="F1541">
        <f t="shared" si="51"/>
        <v>0.5</v>
      </c>
    </row>
    <row r="1542" spans="1:6">
      <c r="A1542" s="30">
        <f t="shared" si="50"/>
        <v>44632</v>
      </c>
      <c r="B1542" s="32" t="s">
        <v>199</v>
      </c>
      <c r="C1542" t="s">
        <v>207</v>
      </c>
      <c r="D1542">
        <f>IF(B1542=$AB$2,$AC$2,$AC$3)</f>
        <v>1</v>
      </c>
      <c r="E1542">
        <f>IF(ISBLANK(C1542),0,VLOOKUP(C1542,$AE$2:$AF$7,2,0))</f>
        <v>0.5</v>
      </c>
      <c r="F1542">
        <f t="shared" si="51"/>
        <v>0.5</v>
      </c>
    </row>
    <row r="1543" spans="1:6">
      <c r="A1543" s="30">
        <f t="shared" si="50"/>
        <v>44633</v>
      </c>
      <c r="B1543" s="32" t="s">
        <v>199</v>
      </c>
      <c r="C1543" t="s">
        <v>207</v>
      </c>
      <c r="D1543">
        <f>IF(B1543=$AB$2,$AC$2,$AC$3)</f>
        <v>1</v>
      </c>
      <c r="E1543">
        <f>IF(ISBLANK(C1543),0,VLOOKUP(C1543,$AE$2:$AF$7,2,0))</f>
        <v>0.5</v>
      </c>
      <c r="F1543">
        <f t="shared" si="51"/>
        <v>0.5</v>
      </c>
    </row>
    <row r="1544" spans="1:6">
      <c r="A1544" s="30">
        <f t="shared" si="50"/>
        <v>44634</v>
      </c>
      <c r="B1544" s="32" t="s">
        <v>199</v>
      </c>
      <c r="C1544" t="s">
        <v>207</v>
      </c>
      <c r="D1544">
        <f>IF(B1544=$AB$2,$AC$2,$AC$3)</f>
        <v>1</v>
      </c>
      <c r="E1544">
        <f>IF(ISBLANK(C1544),0,VLOOKUP(C1544,$AE$2:$AF$7,2,0))</f>
        <v>0.5</v>
      </c>
      <c r="F1544">
        <f t="shared" si="51"/>
        <v>0.5</v>
      </c>
    </row>
    <row r="1545" spans="1:6">
      <c r="A1545" s="30">
        <f t="shared" si="50"/>
        <v>44635</v>
      </c>
      <c r="B1545" s="32" t="s">
        <v>199</v>
      </c>
      <c r="C1545" t="s">
        <v>207</v>
      </c>
      <c r="D1545">
        <f>IF(B1545=$AB$2,$AC$2,$AC$3)</f>
        <v>1</v>
      </c>
      <c r="E1545">
        <f>IF(ISBLANK(C1545),0,VLOOKUP(C1545,$AE$2:$AF$7,2,0))</f>
        <v>0.5</v>
      </c>
      <c r="F1545">
        <f t="shared" si="51"/>
        <v>0.5</v>
      </c>
    </row>
    <row r="1546" spans="1:6">
      <c r="A1546" s="30">
        <f t="shared" si="50"/>
        <v>44636</v>
      </c>
      <c r="B1546" s="32" t="s">
        <v>199</v>
      </c>
      <c r="C1546" t="s">
        <v>207</v>
      </c>
      <c r="D1546">
        <f>IF(B1546=$AB$2,$AC$2,$AC$3)</f>
        <v>1</v>
      </c>
      <c r="E1546">
        <f>IF(ISBLANK(C1546),0,VLOOKUP(C1546,$AE$2:$AF$7,2,0))</f>
        <v>0.5</v>
      </c>
      <c r="F1546">
        <f t="shared" si="51"/>
        <v>0.5</v>
      </c>
    </row>
    <row r="1547" spans="1:6">
      <c r="A1547" s="30">
        <f t="shared" si="50"/>
        <v>44637</v>
      </c>
      <c r="B1547" s="32" t="s">
        <v>199</v>
      </c>
      <c r="C1547" t="s">
        <v>207</v>
      </c>
      <c r="D1547">
        <f>IF(B1547=$AB$2,$AC$2,$AC$3)</f>
        <v>1</v>
      </c>
      <c r="E1547">
        <f>IF(ISBLANK(C1547),0,VLOOKUP(C1547,$AE$2:$AF$7,2,0))</f>
        <v>0.5</v>
      </c>
      <c r="F1547">
        <f t="shared" si="51"/>
        <v>0.5</v>
      </c>
    </row>
    <row r="1548" spans="1:6">
      <c r="A1548" s="30">
        <f t="shared" si="50"/>
        <v>44638</v>
      </c>
      <c r="B1548" s="32" t="s">
        <v>199</v>
      </c>
      <c r="C1548" t="s">
        <v>207</v>
      </c>
      <c r="D1548">
        <f>IF(B1548=$AB$2,$AC$2,$AC$3)</f>
        <v>1</v>
      </c>
      <c r="E1548">
        <f>IF(ISBLANK(C1548),0,VLOOKUP(C1548,$AE$2:$AF$7,2,0))</f>
        <v>0.5</v>
      </c>
      <c r="F1548">
        <f t="shared" si="51"/>
        <v>0.5</v>
      </c>
    </row>
    <row r="1549" spans="1:6">
      <c r="A1549" s="30">
        <f t="shared" si="50"/>
        <v>44639</v>
      </c>
      <c r="B1549" s="32" t="s">
        <v>199</v>
      </c>
      <c r="C1549" t="s">
        <v>207</v>
      </c>
      <c r="D1549">
        <f>IF(B1549=$AB$2,$AC$2,$AC$3)</f>
        <v>1</v>
      </c>
      <c r="E1549">
        <f>IF(ISBLANK(C1549),0,VLOOKUP(C1549,$AE$2:$AF$7,2,0))</f>
        <v>0.5</v>
      </c>
      <c r="F1549">
        <f t="shared" si="51"/>
        <v>0.5</v>
      </c>
    </row>
    <row r="1550" spans="1:6">
      <c r="A1550" s="30">
        <f t="shared" ref="A1550:A1598" si="52">A1549+1</f>
        <v>44640</v>
      </c>
      <c r="B1550" s="32" t="s">
        <v>199</v>
      </c>
      <c r="C1550" t="s">
        <v>207</v>
      </c>
      <c r="D1550">
        <f>IF(B1550=$AB$2,$AC$2,$AC$3)</f>
        <v>1</v>
      </c>
      <c r="E1550">
        <f>IF(ISBLANK(C1550),0,VLOOKUP(C1550,$AE$2:$AF$7,2,0))</f>
        <v>0.5</v>
      </c>
      <c r="F1550">
        <f t="shared" si="51"/>
        <v>0.5</v>
      </c>
    </row>
    <row r="1551" spans="1:6">
      <c r="A1551" s="30">
        <f t="shared" si="52"/>
        <v>44641</v>
      </c>
      <c r="B1551" s="32" t="s">
        <v>199</v>
      </c>
      <c r="C1551" t="s">
        <v>207</v>
      </c>
      <c r="D1551">
        <f>IF(B1551=$AB$2,$AC$2,$AC$3)</f>
        <v>1</v>
      </c>
      <c r="E1551">
        <f>IF(ISBLANK(C1551),0,VLOOKUP(C1551,$AE$2:$AF$7,2,0))</f>
        <v>0.5</v>
      </c>
      <c r="F1551">
        <f t="shared" si="51"/>
        <v>0.5</v>
      </c>
    </row>
    <row r="1552" spans="1:6">
      <c r="A1552" s="30">
        <f t="shared" si="52"/>
        <v>44642</v>
      </c>
      <c r="B1552" s="32" t="s">
        <v>199</v>
      </c>
      <c r="C1552" t="s">
        <v>207</v>
      </c>
      <c r="D1552">
        <f>IF(B1552=$AB$2,$AC$2,$AC$3)</f>
        <v>1</v>
      </c>
      <c r="E1552">
        <f>IF(ISBLANK(C1552),0,VLOOKUP(C1552,$AE$2:$AF$7,2,0))</f>
        <v>0.5</v>
      </c>
      <c r="F1552">
        <f t="shared" si="51"/>
        <v>0.5</v>
      </c>
    </row>
    <row r="1553" spans="1:6">
      <c r="A1553" s="30">
        <f t="shared" si="52"/>
        <v>44643</v>
      </c>
      <c r="B1553" s="32" t="s">
        <v>199</v>
      </c>
      <c r="C1553" t="s">
        <v>207</v>
      </c>
      <c r="D1553">
        <f>IF(B1553=$AB$2,$AC$2,$AC$3)</f>
        <v>1</v>
      </c>
      <c r="E1553">
        <f>IF(ISBLANK(C1553),0,VLOOKUP(C1553,$AE$2:$AF$7,2,0))</f>
        <v>0.5</v>
      </c>
      <c r="F1553">
        <f t="shared" si="51"/>
        <v>0.5</v>
      </c>
    </row>
    <row r="1554" spans="1:6">
      <c r="A1554" s="30">
        <f t="shared" si="52"/>
        <v>44644</v>
      </c>
      <c r="B1554" s="32" t="s">
        <v>199</v>
      </c>
      <c r="C1554" t="s">
        <v>207</v>
      </c>
      <c r="D1554">
        <f>IF(B1554=$AB$2,$AC$2,$AC$3)</f>
        <v>1</v>
      </c>
      <c r="E1554">
        <f>IF(ISBLANK(C1554),0,VLOOKUP(C1554,$AE$2:$AF$7,2,0))</f>
        <v>0.5</v>
      </c>
      <c r="F1554">
        <f t="shared" si="51"/>
        <v>0.5</v>
      </c>
    </row>
    <row r="1555" spans="1:6">
      <c r="A1555" s="30">
        <f t="shared" si="52"/>
        <v>44645</v>
      </c>
      <c r="B1555" s="32" t="s">
        <v>199</v>
      </c>
      <c r="C1555" t="s">
        <v>207</v>
      </c>
      <c r="D1555">
        <f>IF(B1555=$AB$2,$AC$2,$AC$3)</f>
        <v>1</v>
      </c>
      <c r="E1555">
        <f>IF(ISBLANK(C1555),0,VLOOKUP(C1555,$AE$2:$AF$7,2,0))</f>
        <v>0.5</v>
      </c>
      <c r="F1555">
        <f t="shared" si="51"/>
        <v>0.5</v>
      </c>
    </row>
    <row r="1556" spans="1:6">
      <c r="A1556" s="30">
        <f t="shared" si="52"/>
        <v>44646</v>
      </c>
      <c r="B1556" s="32" t="s">
        <v>199</v>
      </c>
      <c r="C1556" t="s">
        <v>207</v>
      </c>
      <c r="D1556">
        <f>IF(B1556=$AB$2,$AC$2,$AC$3)</f>
        <v>1</v>
      </c>
      <c r="E1556">
        <f>IF(ISBLANK(C1556),0,VLOOKUP(C1556,$AE$2:$AF$7,2,0))</f>
        <v>0.5</v>
      </c>
      <c r="F1556">
        <f t="shared" si="51"/>
        <v>0.5</v>
      </c>
    </row>
    <row r="1557" spans="1:6">
      <c r="A1557" s="30">
        <f t="shared" si="52"/>
        <v>44647</v>
      </c>
      <c r="B1557" s="32" t="s">
        <v>199</v>
      </c>
      <c r="C1557" t="s">
        <v>207</v>
      </c>
      <c r="D1557">
        <f>IF(B1557=$AB$2,$AC$2,$AC$3)</f>
        <v>1</v>
      </c>
      <c r="E1557">
        <f>IF(ISBLANK(C1557),0,VLOOKUP(C1557,$AE$2:$AF$7,2,0))</f>
        <v>0.5</v>
      </c>
      <c r="F1557">
        <f t="shared" si="51"/>
        <v>0.5</v>
      </c>
    </row>
    <row r="1558" spans="1:6">
      <c r="A1558" s="30">
        <f t="shared" si="52"/>
        <v>44648</v>
      </c>
      <c r="B1558" s="32" t="s">
        <v>199</v>
      </c>
      <c r="C1558" t="s">
        <v>207</v>
      </c>
      <c r="D1558">
        <f>IF(B1558=$AB$2,$AC$2,$AC$3)</f>
        <v>1</v>
      </c>
      <c r="E1558">
        <f>IF(ISBLANK(C1558),0,VLOOKUP(C1558,$AE$2:$AF$7,2,0))</f>
        <v>0.5</v>
      </c>
      <c r="F1558">
        <f t="shared" si="51"/>
        <v>0.5</v>
      </c>
    </row>
    <row r="1559" spans="1:6">
      <c r="A1559" s="30">
        <f t="shared" si="52"/>
        <v>44649</v>
      </c>
      <c r="B1559" s="32" t="s">
        <v>199</v>
      </c>
      <c r="C1559" t="s">
        <v>207</v>
      </c>
      <c r="D1559">
        <f>IF(B1559=$AB$2,$AC$2,$AC$3)</f>
        <v>1</v>
      </c>
      <c r="E1559">
        <f>IF(ISBLANK(C1559),0,VLOOKUP(C1559,$AE$2:$AF$7,2,0))</f>
        <v>0.5</v>
      </c>
      <c r="F1559">
        <f t="shared" si="51"/>
        <v>0.5</v>
      </c>
    </row>
    <row r="1560" spans="1:6">
      <c r="A1560" s="30">
        <f t="shared" si="52"/>
        <v>44650</v>
      </c>
      <c r="B1560" s="32" t="s">
        <v>199</v>
      </c>
      <c r="C1560" t="s">
        <v>207</v>
      </c>
      <c r="D1560">
        <f>IF(B1560=$AB$2,$AC$2,$AC$3)</f>
        <v>1</v>
      </c>
      <c r="E1560">
        <f>IF(ISBLANK(C1560),0,VLOOKUP(C1560,$AE$2:$AF$7,2,0))</f>
        <v>0.5</v>
      </c>
      <c r="F1560">
        <f t="shared" si="51"/>
        <v>0.5</v>
      </c>
    </row>
    <row r="1561" spans="1:6">
      <c r="A1561" s="30">
        <f t="shared" si="52"/>
        <v>44651</v>
      </c>
      <c r="B1561" s="32" t="s">
        <v>199</v>
      </c>
      <c r="C1561" t="s">
        <v>207</v>
      </c>
      <c r="D1561">
        <f>IF(B1561=$AB$2,$AC$2,$AC$3)</f>
        <v>1</v>
      </c>
      <c r="E1561">
        <f>IF(ISBLANK(C1561),0,VLOOKUP(C1561,$AE$2:$AF$7,2,0))</f>
        <v>0.5</v>
      </c>
      <c r="F1561">
        <f t="shared" si="51"/>
        <v>0.5</v>
      </c>
    </row>
    <row r="1562" spans="1:6">
      <c r="A1562" s="30">
        <f t="shared" si="52"/>
        <v>44652</v>
      </c>
      <c r="B1562" s="32" t="s">
        <v>199</v>
      </c>
      <c r="C1562" t="s">
        <v>207</v>
      </c>
      <c r="D1562">
        <f>IF(B1562=$AB$2,$AC$2,$AC$3)</f>
        <v>1</v>
      </c>
      <c r="E1562">
        <f>IF(ISBLANK(C1562),0,VLOOKUP(C1562,$AE$2:$AF$7,2,0))</f>
        <v>0.5</v>
      </c>
      <c r="F1562">
        <f t="shared" si="51"/>
        <v>0.5</v>
      </c>
    </row>
    <row r="1563" spans="1:6">
      <c r="A1563" s="30">
        <f t="shared" si="52"/>
        <v>44653</v>
      </c>
      <c r="B1563" s="32" t="s">
        <v>199</v>
      </c>
      <c r="C1563" t="s">
        <v>207</v>
      </c>
      <c r="D1563">
        <f>IF(B1563=$AB$2,$AC$2,$AC$3)</f>
        <v>1</v>
      </c>
      <c r="E1563">
        <f>IF(ISBLANK(C1563),0,VLOOKUP(C1563,$AE$2:$AF$7,2,0))</f>
        <v>0.5</v>
      </c>
      <c r="F1563">
        <f t="shared" si="51"/>
        <v>0.5</v>
      </c>
    </row>
    <row r="1564" spans="1:6">
      <c r="A1564" s="30">
        <f t="shared" si="52"/>
        <v>44654</v>
      </c>
      <c r="B1564" s="32" t="s">
        <v>199</v>
      </c>
      <c r="C1564" t="s">
        <v>207</v>
      </c>
      <c r="D1564">
        <f>IF(B1564=$AB$2,$AC$2,$AC$3)</f>
        <v>1</v>
      </c>
      <c r="E1564">
        <f>IF(ISBLANK(C1564),0,VLOOKUP(C1564,$AE$2:$AF$7,2,0))</f>
        <v>0.5</v>
      </c>
      <c r="F1564">
        <f t="shared" si="51"/>
        <v>0.5</v>
      </c>
    </row>
    <row r="1565" spans="1:6">
      <c r="A1565" s="30">
        <f t="shared" si="52"/>
        <v>44655</v>
      </c>
      <c r="B1565" s="32" t="s">
        <v>199</v>
      </c>
      <c r="C1565" t="s">
        <v>207</v>
      </c>
      <c r="D1565">
        <f>IF(B1565=$AB$2,$AC$2,$AC$3)</f>
        <v>1</v>
      </c>
      <c r="E1565">
        <f>IF(ISBLANK(C1565),0,VLOOKUP(C1565,$AE$2:$AF$7,2,0))</f>
        <v>0.5</v>
      </c>
      <c r="F1565">
        <f t="shared" si="51"/>
        <v>0.5</v>
      </c>
    </row>
    <row r="1566" spans="1:6">
      <c r="A1566" s="30">
        <f t="shared" si="52"/>
        <v>44656</v>
      </c>
      <c r="B1566" s="32" t="s">
        <v>199</v>
      </c>
      <c r="C1566" t="s">
        <v>207</v>
      </c>
      <c r="D1566">
        <f>IF(B1566=$AB$2,$AC$2,$AC$3)</f>
        <v>1</v>
      </c>
      <c r="E1566">
        <f>IF(ISBLANK(C1566),0,VLOOKUP(C1566,$AE$2:$AF$7,2,0))</f>
        <v>0.5</v>
      </c>
      <c r="F1566">
        <f t="shared" si="51"/>
        <v>0.5</v>
      </c>
    </row>
    <row r="1567" spans="1:6">
      <c r="A1567" s="30">
        <f t="shared" si="52"/>
        <v>44657</v>
      </c>
      <c r="B1567" s="32" t="s">
        <v>199</v>
      </c>
      <c r="C1567" t="s">
        <v>207</v>
      </c>
      <c r="D1567">
        <f>IF(B1567=$AB$2,$AC$2,$AC$3)</f>
        <v>1</v>
      </c>
      <c r="E1567">
        <f>IF(ISBLANK(C1567),0,VLOOKUP(C1567,$AE$2:$AF$7,2,0))</f>
        <v>0.5</v>
      </c>
      <c r="F1567">
        <f t="shared" si="51"/>
        <v>0.5</v>
      </c>
    </row>
    <row r="1568" spans="1:6">
      <c r="A1568" s="30">
        <f t="shared" si="52"/>
        <v>44658</v>
      </c>
      <c r="B1568" s="32" t="s">
        <v>199</v>
      </c>
      <c r="C1568" t="s">
        <v>207</v>
      </c>
      <c r="D1568">
        <f>IF(B1568=$AB$2,$AC$2,$AC$3)</f>
        <v>1</v>
      </c>
      <c r="E1568">
        <f>IF(ISBLANK(C1568),0,VLOOKUP(C1568,$AE$2:$AF$7,2,0))</f>
        <v>0.5</v>
      </c>
      <c r="F1568">
        <f t="shared" si="51"/>
        <v>0.5</v>
      </c>
    </row>
    <row r="1569" spans="1:6">
      <c r="A1569" s="30">
        <f t="shared" si="52"/>
        <v>44659</v>
      </c>
      <c r="B1569" s="32" t="s">
        <v>199</v>
      </c>
      <c r="C1569" t="s">
        <v>207</v>
      </c>
      <c r="D1569">
        <f>IF(B1569=$AB$2,$AC$2,$AC$3)</f>
        <v>1</v>
      </c>
      <c r="E1569">
        <f>IF(ISBLANK(C1569),0,VLOOKUP(C1569,$AE$2:$AF$7,2,0))</f>
        <v>0.5</v>
      </c>
      <c r="F1569">
        <f t="shared" si="51"/>
        <v>0.5</v>
      </c>
    </row>
    <row r="1570" spans="1:6">
      <c r="A1570" s="30">
        <f t="shared" si="52"/>
        <v>44660</v>
      </c>
      <c r="B1570" s="32" t="s">
        <v>199</v>
      </c>
      <c r="C1570" t="s">
        <v>207</v>
      </c>
      <c r="D1570">
        <f>IF(B1570=$AB$2,$AC$2,$AC$3)</f>
        <v>1</v>
      </c>
      <c r="E1570">
        <f>IF(ISBLANK(C1570),0,VLOOKUP(C1570,$AE$2:$AF$7,2,0))</f>
        <v>0.5</v>
      </c>
      <c r="F1570">
        <f t="shared" si="51"/>
        <v>0.5</v>
      </c>
    </row>
    <row r="1571" spans="1:6">
      <c r="A1571" s="30">
        <f t="shared" si="52"/>
        <v>44661</v>
      </c>
      <c r="B1571" s="32" t="s">
        <v>199</v>
      </c>
      <c r="C1571" t="s">
        <v>207</v>
      </c>
      <c r="D1571">
        <f>IF(B1571=$AB$2,$AC$2,$AC$3)</f>
        <v>1</v>
      </c>
      <c r="E1571">
        <f>IF(ISBLANK(C1571),0,VLOOKUP(C1571,$AE$2:$AF$7,2,0))</f>
        <v>0.5</v>
      </c>
      <c r="F1571">
        <f t="shared" si="51"/>
        <v>0.5</v>
      </c>
    </row>
    <row r="1572" spans="1:6">
      <c r="A1572" s="30">
        <f t="shared" si="52"/>
        <v>44662</v>
      </c>
      <c r="B1572" s="32" t="s">
        <v>199</v>
      </c>
      <c r="C1572" t="s">
        <v>207</v>
      </c>
      <c r="D1572">
        <f>IF(B1572=$AB$2,$AC$2,$AC$3)</f>
        <v>1</v>
      </c>
      <c r="E1572">
        <f>IF(ISBLANK(C1572),0,VLOOKUP(C1572,$AE$2:$AF$7,2,0))</f>
        <v>0.5</v>
      </c>
      <c r="F1572">
        <f t="shared" si="51"/>
        <v>0.5</v>
      </c>
    </row>
    <row r="1573" spans="1:6">
      <c r="A1573" s="30">
        <f t="shared" si="52"/>
        <v>44663</v>
      </c>
      <c r="B1573" s="32" t="s">
        <v>199</v>
      </c>
      <c r="C1573" t="s">
        <v>207</v>
      </c>
      <c r="D1573">
        <f>IF(B1573=$AB$2,$AC$2,$AC$3)</f>
        <v>1</v>
      </c>
      <c r="E1573">
        <f>IF(ISBLANK(C1573),0,VLOOKUP(C1573,$AE$2:$AF$7,2,0))</f>
        <v>0.5</v>
      </c>
      <c r="F1573">
        <f t="shared" si="51"/>
        <v>0.5</v>
      </c>
    </row>
    <row r="1574" spans="1:6">
      <c r="A1574" s="30">
        <f t="shared" si="52"/>
        <v>44664</v>
      </c>
      <c r="B1574" s="32" t="s">
        <v>199</v>
      </c>
      <c r="C1574" t="s">
        <v>207</v>
      </c>
      <c r="D1574">
        <f>IF(B1574=$AB$2,$AC$2,$AC$3)</f>
        <v>1</v>
      </c>
      <c r="E1574">
        <f>IF(ISBLANK(C1574),0,VLOOKUP(C1574,$AE$2:$AF$7,2,0))</f>
        <v>0.5</v>
      </c>
      <c r="F1574">
        <f t="shared" si="51"/>
        <v>0.5</v>
      </c>
    </row>
    <row r="1575" spans="1:6">
      <c r="A1575" s="30">
        <f t="shared" si="52"/>
        <v>44665</v>
      </c>
      <c r="B1575" s="32" t="s">
        <v>199</v>
      </c>
      <c r="C1575" t="s">
        <v>207</v>
      </c>
      <c r="D1575">
        <f>IF(B1575=$AB$2,$AC$2,$AC$3)</f>
        <v>1</v>
      </c>
      <c r="E1575">
        <f>IF(ISBLANK(C1575),0,VLOOKUP(C1575,$AE$2:$AF$7,2,0))</f>
        <v>0.5</v>
      </c>
      <c r="F1575">
        <f t="shared" si="51"/>
        <v>0.5</v>
      </c>
    </row>
    <row r="1576" spans="1:6">
      <c r="A1576" s="30">
        <f t="shared" si="52"/>
        <v>44666</v>
      </c>
      <c r="B1576" s="32" t="s">
        <v>199</v>
      </c>
      <c r="C1576" t="s">
        <v>207</v>
      </c>
      <c r="D1576">
        <f>IF(B1576=$AB$2,$AC$2,$AC$3)</f>
        <v>1</v>
      </c>
      <c r="E1576">
        <f>IF(ISBLANK(C1576),0,VLOOKUP(C1576,$AE$2:$AF$7,2,0))</f>
        <v>0.5</v>
      </c>
      <c r="F1576">
        <f t="shared" si="51"/>
        <v>0.5</v>
      </c>
    </row>
    <row r="1577" spans="1:6">
      <c r="A1577" s="30">
        <f t="shared" si="52"/>
        <v>44667</v>
      </c>
      <c r="B1577" s="32" t="s">
        <v>199</v>
      </c>
      <c r="C1577" t="s">
        <v>207</v>
      </c>
      <c r="D1577">
        <f>IF(B1577=$AB$2,$AC$2,$AC$3)</f>
        <v>1</v>
      </c>
      <c r="E1577">
        <f>IF(ISBLANK(C1577),0,VLOOKUP(C1577,$AE$2:$AF$7,2,0))</f>
        <v>0.5</v>
      </c>
      <c r="F1577">
        <f t="shared" si="51"/>
        <v>0.5</v>
      </c>
    </row>
    <row r="1578" spans="1:6">
      <c r="A1578" s="30">
        <f t="shared" si="52"/>
        <v>44668</v>
      </c>
      <c r="B1578" s="32" t="s">
        <v>199</v>
      </c>
      <c r="C1578" t="s">
        <v>207</v>
      </c>
      <c r="D1578">
        <f>IF(B1578=$AB$2,$AC$2,$AC$3)</f>
        <v>1</v>
      </c>
      <c r="E1578">
        <f>IF(ISBLANK(C1578),0,VLOOKUP(C1578,$AE$2:$AF$7,2,0))</f>
        <v>0.5</v>
      </c>
      <c r="F1578">
        <f t="shared" si="51"/>
        <v>0.5</v>
      </c>
    </row>
    <row r="1579" spans="1:6">
      <c r="A1579" s="30">
        <f t="shared" si="52"/>
        <v>44669</v>
      </c>
      <c r="B1579" s="32" t="s">
        <v>199</v>
      </c>
      <c r="C1579" t="s">
        <v>207</v>
      </c>
      <c r="D1579">
        <f>IF(B1579=$AB$2,$AC$2,$AC$3)</f>
        <v>1</v>
      </c>
      <c r="E1579">
        <f>IF(ISBLANK(C1579),0,VLOOKUP(C1579,$AE$2:$AF$7,2,0))</f>
        <v>0.5</v>
      </c>
      <c r="F1579">
        <f t="shared" si="51"/>
        <v>0.5</v>
      </c>
    </row>
    <row r="1580" spans="1:6">
      <c r="A1580" s="30">
        <f t="shared" si="52"/>
        <v>44670</v>
      </c>
      <c r="B1580" s="32" t="s">
        <v>199</v>
      </c>
      <c r="C1580" t="s">
        <v>207</v>
      </c>
      <c r="D1580">
        <f>IF(B1580=$AB$2,$AC$2,$AC$3)</f>
        <v>1</v>
      </c>
      <c r="E1580">
        <f>IF(ISBLANK(C1580),0,VLOOKUP(C1580,$AE$2:$AF$7,2,0))</f>
        <v>0.5</v>
      </c>
      <c r="F1580">
        <f t="shared" si="51"/>
        <v>0.5</v>
      </c>
    </row>
    <row r="1581" spans="1:6">
      <c r="A1581" s="30">
        <f t="shared" si="52"/>
        <v>44671</v>
      </c>
      <c r="B1581" s="32" t="s">
        <v>199</v>
      </c>
      <c r="C1581" t="s">
        <v>207</v>
      </c>
      <c r="D1581">
        <f>IF(B1581=$AB$2,$AC$2,$AC$3)</f>
        <v>1</v>
      </c>
      <c r="E1581">
        <f>IF(ISBLANK(C1581),0,VLOOKUP(C1581,$AE$2:$AF$7,2,0))</f>
        <v>0.5</v>
      </c>
      <c r="F1581">
        <f t="shared" si="51"/>
        <v>0.5</v>
      </c>
    </row>
    <row r="1582" spans="1:6">
      <c r="A1582" s="30">
        <f t="shared" si="52"/>
        <v>44672</v>
      </c>
      <c r="B1582" s="32" t="s">
        <v>199</v>
      </c>
      <c r="C1582" t="s">
        <v>207</v>
      </c>
      <c r="D1582">
        <f>IF(B1582=$AB$2,$AC$2,$AC$3)</f>
        <v>1</v>
      </c>
      <c r="E1582">
        <f>IF(ISBLANK(C1582),0,VLOOKUP(C1582,$AE$2:$AF$7,2,0))</f>
        <v>0.5</v>
      </c>
      <c r="F1582">
        <f t="shared" si="51"/>
        <v>0.5</v>
      </c>
    </row>
    <row r="1583" spans="1:6">
      <c r="A1583" s="30">
        <f t="shared" si="52"/>
        <v>44673</v>
      </c>
      <c r="B1583" s="32" t="s">
        <v>199</v>
      </c>
      <c r="C1583" t="s">
        <v>207</v>
      </c>
      <c r="D1583">
        <f>IF(B1583=$AB$2,$AC$2,$AC$3)</f>
        <v>1</v>
      </c>
      <c r="E1583">
        <f>IF(ISBLANK(C1583),0,VLOOKUP(C1583,$AE$2:$AF$7,2,0))</f>
        <v>0.5</v>
      </c>
      <c r="F1583">
        <f t="shared" si="51"/>
        <v>0.5</v>
      </c>
    </row>
    <row r="1584" spans="1:6">
      <c r="A1584" s="30">
        <f t="shared" si="52"/>
        <v>44674</v>
      </c>
      <c r="B1584" s="32" t="s">
        <v>199</v>
      </c>
      <c r="C1584" t="s">
        <v>207</v>
      </c>
      <c r="D1584">
        <f>IF(B1584=$AB$2,$AC$2,$AC$3)</f>
        <v>1</v>
      </c>
      <c r="E1584">
        <f>IF(ISBLANK(C1584),0,VLOOKUP(C1584,$AE$2:$AF$7,2,0))</f>
        <v>0.5</v>
      </c>
      <c r="F1584">
        <f t="shared" si="51"/>
        <v>0.5</v>
      </c>
    </row>
    <row r="1585" spans="1:6">
      <c r="A1585" s="30">
        <f t="shared" si="52"/>
        <v>44675</v>
      </c>
      <c r="B1585" s="32" t="s">
        <v>199</v>
      </c>
      <c r="C1585" t="s">
        <v>207</v>
      </c>
      <c r="D1585">
        <f>IF(B1585=$AB$2,$AC$2,$AC$3)</f>
        <v>1</v>
      </c>
      <c r="E1585">
        <f>IF(ISBLANK(C1585),0,VLOOKUP(C1585,$AE$2:$AF$7,2,0))</f>
        <v>0.5</v>
      </c>
      <c r="F1585">
        <f t="shared" si="51"/>
        <v>0.5</v>
      </c>
    </row>
    <row r="1586" spans="1:6">
      <c r="A1586" s="30">
        <f t="shared" si="52"/>
        <v>44676</v>
      </c>
      <c r="B1586" s="32" t="s">
        <v>199</v>
      </c>
      <c r="C1586" t="s">
        <v>207</v>
      </c>
      <c r="D1586">
        <f>IF(B1586=$AB$2,$AC$2,$AC$3)</f>
        <v>1</v>
      </c>
      <c r="E1586">
        <f>IF(ISBLANK(C1586),0,VLOOKUP(C1586,$AE$2:$AF$7,2,0))</f>
        <v>0.5</v>
      </c>
      <c r="F1586">
        <f t="shared" si="51"/>
        <v>0.5</v>
      </c>
    </row>
    <row r="1587" spans="1:6">
      <c r="A1587" s="30">
        <f t="shared" si="52"/>
        <v>44677</v>
      </c>
      <c r="B1587" s="32" t="s">
        <v>199</v>
      </c>
      <c r="C1587" t="s">
        <v>207</v>
      </c>
      <c r="D1587">
        <f>IF(B1587=$AB$2,$AC$2,$AC$3)</f>
        <v>1</v>
      </c>
      <c r="E1587">
        <f>IF(ISBLANK(C1587),0,VLOOKUP(C1587,$AE$2:$AF$7,2,0))</f>
        <v>0.5</v>
      </c>
      <c r="F1587">
        <f t="shared" si="51"/>
        <v>0.5</v>
      </c>
    </row>
    <row r="1588" spans="1:6">
      <c r="A1588" s="30">
        <f t="shared" si="52"/>
        <v>44678</v>
      </c>
      <c r="B1588" s="32" t="s">
        <v>199</v>
      </c>
      <c r="C1588" t="s">
        <v>207</v>
      </c>
      <c r="D1588">
        <f>IF(B1588=$AB$2,$AC$2,$AC$3)</f>
        <v>1</v>
      </c>
      <c r="E1588">
        <f>IF(ISBLANK(C1588),0,VLOOKUP(C1588,$AE$2:$AF$7,2,0))</f>
        <v>0.5</v>
      </c>
      <c r="F1588">
        <f t="shared" si="51"/>
        <v>0.5</v>
      </c>
    </row>
    <row r="1589" spans="1:6">
      <c r="A1589" s="30">
        <f t="shared" si="52"/>
        <v>44679</v>
      </c>
      <c r="B1589" s="32" t="s">
        <v>199</v>
      </c>
      <c r="C1589" t="s">
        <v>207</v>
      </c>
      <c r="D1589">
        <f>IF(B1589=$AB$2,$AC$2,$AC$3)</f>
        <v>1</v>
      </c>
      <c r="E1589">
        <f>IF(ISBLANK(C1589),0,VLOOKUP(C1589,$AE$2:$AF$7,2,0))</f>
        <v>0.5</v>
      </c>
      <c r="F1589">
        <f t="shared" si="51"/>
        <v>0.5</v>
      </c>
    </row>
    <row r="1590" spans="1:6">
      <c r="A1590" s="30">
        <f t="shared" si="52"/>
        <v>44680</v>
      </c>
      <c r="B1590" s="32" t="s">
        <v>199</v>
      </c>
      <c r="C1590" t="s">
        <v>207</v>
      </c>
      <c r="D1590">
        <f>IF(B1590=$AB$2,$AC$2,$AC$3)</f>
        <v>1</v>
      </c>
      <c r="E1590">
        <f>IF(ISBLANK(C1590),0,VLOOKUP(C1590,$AE$2:$AF$7,2,0))</f>
        <v>0.5</v>
      </c>
      <c r="F1590">
        <f t="shared" si="51"/>
        <v>0.5</v>
      </c>
    </row>
    <row r="1591" spans="1:6">
      <c r="A1591" s="30">
        <f t="shared" si="52"/>
        <v>44681</v>
      </c>
      <c r="B1591" s="32" t="s">
        <v>199</v>
      </c>
      <c r="C1591" t="s">
        <v>207</v>
      </c>
      <c r="D1591">
        <f>IF(B1591=$AB$2,$AC$2,$AC$3)</f>
        <v>1</v>
      </c>
      <c r="E1591">
        <f>IF(ISBLANK(C1591),0,VLOOKUP(C1591,$AE$2:$AF$7,2,0))</f>
        <v>0.5</v>
      </c>
      <c r="F1591">
        <f t="shared" si="51"/>
        <v>0.5</v>
      </c>
    </row>
    <row r="1592" spans="1:6">
      <c r="A1592" s="30">
        <f t="shared" si="52"/>
        <v>44682</v>
      </c>
      <c r="B1592" s="32" t="s">
        <v>199</v>
      </c>
      <c r="C1592" t="s">
        <v>207</v>
      </c>
      <c r="D1592">
        <f>IF(B1592=$AB$2,$AC$2,$AC$3)</f>
        <v>1</v>
      </c>
      <c r="E1592">
        <f>IF(ISBLANK(C1592),0,VLOOKUP(C1592,$AE$2:$AF$7,2,0))</f>
        <v>0.5</v>
      </c>
      <c r="F1592">
        <f t="shared" si="51"/>
        <v>0.5</v>
      </c>
    </row>
    <row r="1593" spans="1:6">
      <c r="A1593" s="30">
        <f t="shared" si="52"/>
        <v>44683</v>
      </c>
      <c r="B1593" s="32" t="s">
        <v>199</v>
      </c>
      <c r="C1593" t="s">
        <v>207</v>
      </c>
      <c r="D1593">
        <f>IF(B1593=$AB$2,$AC$2,$AC$3)</f>
        <v>1</v>
      </c>
      <c r="E1593">
        <f>IF(ISBLANK(C1593),0,VLOOKUP(C1593,$AE$2:$AF$7,2,0))</f>
        <v>0.5</v>
      </c>
      <c r="F1593">
        <f t="shared" si="51"/>
        <v>0.5</v>
      </c>
    </row>
    <row r="1594" spans="1:6">
      <c r="A1594" s="30">
        <f t="shared" si="52"/>
        <v>44684</v>
      </c>
      <c r="B1594" s="32" t="s">
        <v>199</v>
      </c>
      <c r="C1594" t="s">
        <v>207</v>
      </c>
      <c r="D1594">
        <f>IF(B1594=$AB$2,$AC$2,$AC$3)</f>
        <v>1</v>
      </c>
      <c r="E1594">
        <f>IF(ISBLANK(C1594),0,VLOOKUP(C1594,$AE$2:$AF$7,2,0))</f>
        <v>0.5</v>
      </c>
      <c r="F1594">
        <f t="shared" si="51"/>
        <v>0.5</v>
      </c>
    </row>
    <row r="1595" spans="1:6">
      <c r="A1595" s="30">
        <f t="shared" si="52"/>
        <v>44685</v>
      </c>
      <c r="B1595" s="32" t="s">
        <v>199</v>
      </c>
      <c r="C1595" t="s">
        <v>207</v>
      </c>
      <c r="D1595">
        <f>IF(B1595=$AB$2,$AC$2,$AC$3)</f>
        <v>1</v>
      </c>
      <c r="E1595">
        <f>IF(ISBLANK(C1595),0,VLOOKUP(C1595,$AE$2:$AF$7,2,0))</f>
        <v>0.5</v>
      </c>
      <c r="F1595">
        <f t="shared" si="51"/>
        <v>0.5</v>
      </c>
    </row>
    <row r="1596" spans="1:6">
      <c r="A1596" s="30">
        <f t="shared" si="52"/>
        <v>44686</v>
      </c>
      <c r="B1596" s="32" t="s">
        <v>199</v>
      </c>
      <c r="C1596" t="s">
        <v>207</v>
      </c>
      <c r="D1596">
        <f>IF(B1596=$AB$2,$AC$2,$AC$3)</f>
        <v>1</v>
      </c>
      <c r="E1596">
        <f>IF(ISBLANK(C1596),0,VLOOKUP(C1596,$AE$2:$AF$7,2,0))</f>
        <v>0.5</v>
      </c>
      <c r="F1596">
        <f t="shared" si="51"/>
        <v>0.5</v>
      </c>
    </row>
    <row r="1597" spans="1:6">
      <c r="A1597" s="30">
        <f t="shared" si="52"/>
        <v>44687</v>
      </c>
      <c r="B1597" s="32" t="s">
        <v>199</v>
      </c>
      <c r="C1597" t="s">
        <v>207</v>
      </c>
      <c r="D1597">
        <f>IF(B1597=$AB$2,$AC$2,$AC$3)</f>
        <v>1</v>
      </c>
      <c r="E1597">
        <f>IF(ISBLANK(C1597),0,VLOOKUP(C1597,$AE$2:$AF$7,2,0))</f>
        <v>0.5</v>
      </c>
      <c r="F1597">
        <f t="shared" si="51"/>
        <v>0.5</v>
      </c>
    </row>
    <row r="1598" spans="1:6">
      <c r="A1598" s="30">
        <f t="shared" si="52"/>
        <v>44688</v>
      </c>
      <c r="B1598" s="32" t="s">
        <v>199</v>
      </c>
      <c r="C1598" t="s">
        <v>207</v>
      </c>
      <c r="D1598">
        <f>IF(B1598=$AB$2,$AC$2,$AC$3)</f>
        <v>1</v>
      </c>
      <c r="E1598">
        <f>IF(ISBLANK(C1598),0,VLOOKUP(C1598,$AE$2:$AF$7,2,0))</f>
        <v>0.5</v>
      </c>
      <c r="F1598">
        <f t="shared" si="51"/>
        <v>0.5</v>
      </c>
    </row>
    <row r="1599" spans="1:6">
      <c r="A1599" s="30">
        <f>A1598+1</f>
        <v>44689</v>
      </c>
      <c r="B1599" s="32" t="s">
        <v>199</v>
      </c>
      <c r="C1599" t="s">
        <v>207</v>
      </c>
      <c r="D1599">
        <f>IF(B1599=$AB$2,$AC$2,$AC$3)</f>
        <v>1</v>
      </c>
      <c r="E1599">
        <f>IF(ISBLANK(C1599),0,VLOOKUP(C1599,$AE$2:$AF$7,2,0))</f>
        <v>0.5</v>
      </c>
      <c r="F1599">
        <f t="shared" si="51"/>
        <v>0.5</v>
      </c>
    </row>
    <row r="1600" spans="1:6">
      <c r="A1600" s="30">
        <f t="shared" ref="A1600:A1663" si="53">A1599+1</f>
        <v>44690</v>
      </c>
      <c r="B1600" s="32" t="s">
        <v>199</v>
      </c>
      <c r="C1600" t="s">
        <v>207</v>
      </c>
      <c r="D1600">
        <f>IF(B1600=$AB$2,$AC$2,$AC$3)</f>
        <v>1</v>
      </c>
      <c r="E1600">
        <f>IF(ISBLANK(C1600),0,VLOOKUP(C1600,$AE$2:$AF$7,2,0))</f>
        <v>0.5</v>
      </c>
      <c r="F1600">
        <f t="shared" si="51"/>
        <v>0.5</v>
      </c>
    </row>
    <row r="1601" spans="1:6">
      <c r="A1601" s="30">
        <f t="shared" si="53"/>
        <v>44691</v>
      </c>
      <c r="B1601" s="32" t="s">
        <v>199</v>
      </c>
      <c r="C1601" t="s">
        <v>207</v>
      </c>
      <c r="D1601">
        <f>IF(B1601=$AB$2,$AC$2,$AC$3)</f>
        <v>1</v>
      </c>
      <c r="E1601">
        <f>IF(ISBLANK(C1601),0,VLOOKUP(C1601,$AE$2:$AF$7,2,0))</f>
        <v>0.5</v>
      </c>
      <c r="F1601">
        <f t="shared" si="51"/>
        <v>0.5</v>
      </c>
    </row>
    <row r="1602" spans="1:6">
      <c r="A1602" s="30">
        <f t="shared" si="53"/>
        <v>44692</v>
      </c>
      <c r="B1602" s="32" t="s">
        <v>199</v>
      </c>
      <c r="C1602" t="s">
        <v>207</v>
      </c>
      <c r="D1602">
        <f>IF(B1602=$AB$2,$AC$2,$AC$3)</f>
        <v>1</v>
      </c>
      <c r="E1602">
        <f>IF(ISBLANK(C1602),0,VLOOKUP(C1602,$AE$2:$AF$7,2,0))</f>
        <v>0.5</v>
      </c>
      <c r="F1602">
        <f t="shared" si="51"/>
        <v>0.5</v>
      </c>
    </row>
    <row r="1603" spans="1:6">
      <c r="A1603" s="30">
        <f t="shared" si="53"/>
        <v>44693</v>
      </c>
      <c r="B1603" s="32" t="s">
        <v>199</v>
      </c>
      <c r="C1603" t="s">
        <v>207</v>
      </c>
      <c r="D1603">
        <f>IF(B1603=$AB$2,$AC$2,$AC$3)</f>
        <v>1</v>
      </c>
      <c r="E1603">
        <f>IF(ISBLANK(C1603),0,VLOOKUP(C1603,$AE$2:$AF$7,2,0))</f>
        <v>0.5</v>
      </c>
      <c r="F1603">
        <f t="shared" ref="F1603:F1666" si="54">D1603*E1603</f>
        <v>0.5</v>
      </c>
    </row>
    <row r="1604" spans="1:6">
      <c r="A1604" s="30">
        <f t="shared" si="53"/>
        <v>44694</v>
      </c>
      <c r="B1604" s="32" t="s">
        <v>199</v>
      </c>
      <c r="C1604" t="s">
        <v>207</v>
      </c>
      <c r="D1604">
        <f>IF(B1604=$AB$2,$AC$2,$AC$3)</f>
        <v>1</v>
      </c>
      <c r="E1604">
        <f>IF(ISBLANK(C1604),0,VLOOKUP(C1604,$AE$2:$AF$7,2,0))</f>
        <v>0.5</v>
      </c>
      <c r="F1604">
        <f t="shared" si="54"/>
        <v>0.5</v>
      </c>
    </row>
    <row r="1605" spans="1:6">
      <c r="A1605" s="30">
        <f t="shared" si="53"/>
        <v>44695</v>
      </c>
      <c r="B1605" s="32" t="s">
        <v>199</v>
      </c>
      <c r="C1605" t="s">
        <v>207</v>
      </c>
      <c r="D1605">
        <f>IF(B1605=$AB$2,$AC$2,$AC$3)</f>
        <v>1</v>
      </c>
      <c r="E1605">
        <f>IF(ISBLANK(C1605),0,VLOOKUP(C1605,$AE$2:$AF$7,2,0))</f>
        <v>0.5</v>
      </c>
      <c r="F1605">
        <f t="shared" si="54"/>
        <v>0.5</v>
      </c>
    </row>
    <row r="1606" spans="1:6">
      <c r="A1606" s="30">
        <f t="shared" si="53"/>
        <v>44696</v>
      </c>
      <c r="B1606" s="32" t="s">
        <v>199</v>
      </c>
      <c r="C1606" t="s">
        <v>207</v>
      </c>
      <c r="D1606">
        <f>IF(B1606=$AB$2,$AC$2,$AC$3)</f>
        <v>1</v>
      </c>
      <c r="E1606">
        <f>IF(ISBLANK(C1606),0,VLOOKUP(C1606,$AE$2:$AF$7,2,0))</f>
        <v>0.5</v>
      </c>
      <c r="F1606">
        <f t="shared" si="54"/>
        <v>0.5</v>
      </c>
    </row>
    <row r="1607" spans="1:6">
      <c r="A1607" s="30">
        <f t="shared" si="53"/>
        <v>44697</v>
      </c>
      <c r="B1607" s="32" t="s">
        <v>199</v>
      </c>
      <c r="C1607" t="s">
        <v>207</v>
      </c>
      <c r="D1607">
        <f>IF(B1607=$AB$2,$AC$2,$AC$3)</f>
        <v>1</v>
      </c>
      <c r="E1607">
        <f>IF(ISBLANK(C1607),0,VLOOKUP(C1607,$AE$2:$AF$7,2,0))</f>
        <v>0.5</v>
      </c>
      <c r="F1607">
        <f t="shared" si="54"/>
        <v>0.5</v>
      </c>
    </row>
    <row r="1608" spans="1:6">
      <c r="A1608" s="30">
        <f t="shared" si="53"/>
        <v>44698</v>
      </c>
      <c r="B1608" s="32" t="s">
        <v>199</v>
      </c>
      <c r="C1608" t="s">
        <v>207</v>
      </c>
      <c r="D1608">
        <f>IF(B1608=$AB$2,$AC$2,$AC$3)</f>
        <v>1</v>
      </c>
      <c r="E1608">
        <f>IF(ISBLANK(C1608),0,VLOOKUP(C1608,$AE$2:$AF$7,2,0))</f>
        <v>0.5</v>
      </c>
      <c r="F1608">
        <f t="shared" si="54"/>
        <v>0.5</v>
      </c>
    </row>
    <row r="1609" spans="1:6">
      <c r="A1609" s="30">
        <f t="shared" si="53"/>
        <v>44699</v>
      </c>
      <c r="B1609" s="32" t="s">
        <v>199</v>
      </c>
      <c r="C1609" t="s">
        <v>207</v>
      </c>
      <c r="D1609">
        <f>IF(B1609=$AB$2,$AC$2,$AC$3)</f>
        <v>1</v>
      </c>
      <c r="E1609">
        <f>IF(ISBLANK(C1609),0,VLOOKUP(C1609,$AE$2:$AF$7,2,0))</f>
        <v>0.5</v>
      </c>
      <c r="F1609">
        <f t="shared" si="54"/>
        <v>0.5</v>
      </c>
    </row>
    <row r="1610" spans="1:6">
      <c r="A1610" s="30">
        <f t="shared" si="53"/>
        <v>44700</v>
      </c>
      <c r="B1610" s="32" t="s">
        <v>199</v>
      </c>
      <c r="C1610" t="s">
        <v>207</v>
      </c>
      <c r="D1610">
        <f>IF(B1610=$AB$2,$AC$2,$AC$3)</f>
        <v>1</v>
      </c>
      <c r="E1610">
        <f>IF(ISBLANK(C1610),0,VLOOKUP(C1610,$AE$2:$AF$7,2,0))</f>
        <v>0.5</v>
      </c>
      <c r="F1610">
        <f t="shared" si="54"/>
        <v>0.5</v>
      </c>
    </row>
    <row r="1611" spans="1:6">
      <c r="A1611" s="30">
        <f t="shared" si="53"/>
        <v>44701</v>
      </c>
      <c r="B1611" s="32" t="s">
        <v>199</v>
      </c>
      <c r="C1611" t="s">
        <v>207</v>
      </c>
      <c r="D1611">
        <f>IF(B1611=$AB$2,$AC$2,$AC$3)</f>
        <v>1</v>
      </c>
      <c r="E1611">
        <f>IF(ISBLANK(C1611),0,VLOOKUP(C1611,$AE$2:$AF$7,2,0))</f>
        <v>0.5</v>
      </c>
      <c r="F1611">
        <f t="shared" si="54"/>
        <v>0.5</v>
      </c>
    </row>
    <row r="1612" spans="1:6">
      <c r="A1612" s="30">
        <f t="shared" si="53"/>
        <v>44702</v>
      </c>
      <c r="B1612" s="32" t="s">
        <v>199</v>
      </c>
      <c r="C1612" t="s">
        <v>207</v>
      </c>
      <c r="D1612">
        <f>IF(B1612=$AB$2,$AC$2,$AC$3)</f>
        <v>1</v>
      </c>
      <c r="E1612">
        <f>IF(ISBLANK(C1612),0,VLOOKUP(C1612,$AE$2:$AF$7,2,0))</f>
        <v>0.5</v>
      </c>
      <c r="F1612">
        <f t="shared" si="54"/>
        <v>0.5</v>
      </c>
    </row>
    <row r="1613" spans="1:6">
      <c r="A1613" s="30">
        <f t="shared" si="53"/>
        <v>44703</v>
      </c>
      <c r="B1613" s="32" t="s">
        <v>199</v>
      </c>
      <c r="C1613" t="s">
        <v>207</v>
      </c>
      <c r="D1613">
        <f>IF(B1613=$AB$2,$AC$2,$AC$3)</f>
        <v>1</v>
      </c>
      <c r="E1613">
        <f>IF(ISBLANK(C1613),0,VLOOKUP(C1613,$AE$2:$AF$7,2,0))</f>
        <v>0.5</v>
      </c>
      <c r="F1613">
        <f t="shared" si="54"/>
        <v>0.5</v>
      </c>
    </row>
    <row r="1614" spans="1:6">
      <c r="A1614" s="30">
        <f t="shared" si="53"/>
        <v>44704</v>
      </c>
      <c r="B1614" s="32" t="s">
        <v>199</v>
      </c>
      <c r="C1614" t="s">
        <v>207</v>
      </c>
      <c r="D1614">
        <f>IF(B1614=$AB$2,$AC$2,$AC$3)</f>
        <v>1</v>
      </c>
      <c r="E1614">
        <f>IF(ISBLANK(C1614),0,VLOOKUP(C1614,$AE$2:$AF$7,2,0))</f>
        <v>0.5</v>
      </c>
      <c r="F1614">
        <f t="shared" si="54"/>
        <v>0.5</v>
      </c>
    </row>
    <row r="1615" spans="1:6">
      <c r="A1615" s="30">
        <f t="shared" si="53"/>
        <v>44705</v>
      </c>
      <c r="B1615" s="32" t="s">
        <v>199</v>
      </c>
      <c r="C1615" t="s">
        <v>207</v>
      </c>
      <c r="D1615">
        <f>IF(B1615=$AB$2,$AC$2,$AC$3)</f>
        <v>1</v>
      </c>
      <c r="E1615">
        <f>IF(ISBLANK(C1615),0,VLOOKUP(C1615,$AE$2:$AF$7,2,0))</f>
        <v>0.5</v>
      </c>
      <c r="F1615">
        <f t="shared" si="54"/>
        <v>0.5</v>
      </c>
    </row>
    <row r="1616" spans="1:6">
      <c r="A1616" s="30">
        <f t="shared" si="53"/>
        <v>44706</v>
      </c>
      <c r="B1616" s="32" t="s">
        <v>199</v>
      </c>
      <c r="C1616" t="s">
        <v>207</v>
      </c>
      <c r="D1616">
        <f>IF(B1616=$AB$2,$AC$2,$AC$3)</f>
        <v>1</v>
      </c>
      <c r="E1616">
        <f>IF(ISBLANK(C1616),0,VLOOKUP(C1616,$AE$2:$AF$7,2,0))</f>
        <v>0.5</v>
      </c>
      <c r="F1616">
        <f t="shared" si="54"/>
        <v>0.5</v>
      </c>
    </row>
    <row r="1617" spans="1:6">
      <c r="A1617" s="30">
        <f t="shared" si="53"/>
        <v>44707</v>
      </c>
      <c r="B1617" s="32" t="s">
        <v>199</v>
      </c>
      <c r="C1617" t="s">
        <v>207</v>
      </c>
      <c r="D1617">
        <f>IF(B1617=$AB$2,$AC$2,$AC$3)</f>
        <v>1</v>
      </c>
      <c r="E1617">
        <f>IF(ISBLANK(C1617),0,VLOOKUP(C1617,$AE$2:$AF$7,2,0))</f>
        <v>0.5</v>
      </c>
      <c r="F1617">
        <f t="shared" si="54"/>
        <v>0.5</v>
      </c>
    </row>
    <row r="1618" spans="1:6">
      <c r="A1618" s="30">
        <f t="shared" si="53"/>
        <v>44708</v>
      </c>
      <c r="B1618" s="32" t="s">
        <v>199</v>
      </c>
      <c r="C1618" t="s">
        <v>207</v>
      </c>
      <c r="D1618">
        <f>IF(B1618=$AB$2,$AC$2,$AC$3)</f>
        <v>1</v>
      </c>
      <c r="E1618">
        <f>IF(ISBLANK(C1618),0,VLOOKUP(C1618,$AE$2:$AF$7,2,0))</f>
        <v>0.5</v>
      </c>
      <c r="F1618">
        <f t="shared" si="54"/>
        <v>0.5</v>
      </c>
    </row>
    <row r="1619" spans="1:6">
      <c r="A1619" s="30">
        <f t="shared" si="53"/>
        <v>44709</v>
      </c>
      <c r="B1619" s="32" t="s">
        <v>199</v>
      </c>
      <c r="C1619" t="s">
        <v>207</v>
      </c>
      <c r="D1619">
        <f>IF(B1619=$AB$2,$AC$2,$AC$3)</f>
        <v>1</v>
      </c>
      <c r="E1619">
        <f>IF(ISBLANK(C1619),0,VLOOKUP(C1619,$AE$2:$AF$7,2,0))</f>
        <v>0.5</v>
      </c>
      <c r="F1619">
        <f t="shared" si="54"/>
        <v>0.5</v>
      </c>
    </row>
    <row r="1620" spans="1:6">
      <c r="A1620" s="30">
        <f t="shared" si="53"/>
        <v>44710</v>
      </c>
      <c r="B1620" s="32" t="s">
        <v>199</v>
      </c>
      <c r="C1620" t="s">
        <v>207</v>
      </c>
      <c r="D1620">
        <f>IF(B1620=$AB$2,$AC$2,$AC$3)</f>
        <v>1</v>
      </c>
      <c r="E1620">
        <f>IF(ISBLANK(C1620),0,VLOOKUP(C1620,$AE$2:$AF$7,2,0))</f>
        <v>0.5</v>
      </c>
      <c r="F1620">
        <f t="shared" si="54"/>
        <v>0.5</v>
      </c>
    </row>
    <row r="1621" spans="1:6">
      <c r="A1621" s="30">
        <f t="shared" si="53"/>
        <v>44711</v>
      </c>
      <c r="B1621" s="32" t="s">
        <v>199</v>
      </c>
      <c r="C1621" t="s">
        <v>207</v>
      </c>
      <c r="D1621">
        <f>IF(B1621=$AB$2,$AC$2,$AC$3)</f>
        <v>1</v>
      </c>
      <c r="E1621">
        <f>IF(ISBLANK(C1621),0,VLOOKUP(C1621,$AE$2:$AF$7,2,0))</f>
        <v>0.5</v>
      </c>
      <c r="F1621">
        <f t="shared" si="54"/>
        <v>0.5</v>
      </c>
    </row>
    <row r="1622" spans="1:6">
      <c r="A1622" s="30">
        <f t="shared" si="53"/>
        <v>44712</v>
      </c>
      <c r="B1622" s="32" t="s">
        <v>199</v>
      </c>
      <c r="C1622" t="s">
        <v>207</v>
      </c>
      <c r="D1622">
        <f>IF(B1622=$AB$2,$AC$2,$AC$3)</f>
        <v>1</v>
      </c>
      <c r="E1622">
        <f>IF(ISBLANK(C1622),0,VLOOKUP(C1622,$AE$2:$AF$7,2,0))</f>
        <v>0.5</v>
      </c>
      <c r="F1622">
        <f t="shared" si="54"/>
        <v>0.5</v>
      </c>
    </row>
    <row r="1623" spans="1:6">
      <c r="A1623" s="30">
        <f t="shared" si="53"/>
        <v>44713</v>
      </c>
      <c r="B1623" s="32" t="s">
        <v>199</v>
      </c>
      <c r="C1623" t="s">
        <v>207</v>
      </c>
      <c r="D1623">
        <f>IF(B1623=$AB$2,$AC$2,$AC$3)</f>
        <v>1</v>
      </c>
      <c r="E1623">
        <f>IF(ISBLANK(C1623),0,VLOOKUP(C1623,$AE$2:$AF$7,2,0))</f>
        <v>0.5</v>
      </c>
      <c r="F1623">
        <f t="shared" si="54"/>
        <v>0.5</v>
      </c>
    </row>
    <row r="1624" spans="1:6">
      <c r="A1624" s="30">
        <f t="shared" si="53"/>
        <v>44714</v>
      </c>
      <c r="B1624" s="32" t="s">
        <v>199</v>
      </c>
      <c r="C1624" t="s">
        <v>207</v>
      </c>
      <c r="D1624">
        <f>IF(B1624=$AB$2,$AC$2,$AC$3)</f>
        <v>1</v>
      </c>
      <c r="E1624">
        <f>IF(ISBLANK(C1624),0,VLOOKUP(C1624,$AE$2:$AF$7,2,0))</f>
        <v>0.5</v>
      </c>
      <c r="F1624">
        <f t="shared" si="54"/>
        <v>0.5</v>
      </c>
    </row>
    <row r="1625" spans="1:6">
      <c r="A1625" s="30">
        <f t="shared" si="53"/>
        <v>44715</v>
      </c>
      <c r="B1625" s="32" t="s">
        <v>199</v>
      </c>
      <c r="C1625" t="s">
        <v>207</v>
      </c>
      <c r="D1625">
        <f>IF(B1625=$AB$2,$AC$2,$AC$3)</f>
        <v>1</v>
      </c>
      <c r="E1625">
        <f>IF(ISBLANK(C1625),0,VLOOKUP(C1625,$AE$2:$AF$7,2,0))</f>
        <v>0.5</v>
      </c>
      <c r="F1625">
        <f t="shared" si="54"/>
        <v>0.5</v>
      </c>
    </row>
    <row r="1626" spans="1:6">
      <c r="A1626" s="30">
        <f t="shared" si="53"/>
        <v>44716</v>
      </c>
      <c r="B1626" s="32" t="s">
        <v>199</v>
      </c>
      <c r="C1626" t="s">
        <v>207</v>
      </c>
      <c r="D1626">
        <f>IF(B1626=$AB$2,$AC$2,$AC$3)</f>
        <v>1</v>
      </c>
      <c r="E1626">
        <f>IF(ISBLANK(C1626),0,VLOOKUP(C1626,$AE$2:$AF$7,2,0))</f>
        <v>0.5</v>
      </c>
      <c r="F1626">
        <f t="shared" si="54"/>
        <v>0.5</v>
      </c>
    </row>
    <row r="1627" spans="1:6">
      <c r="A1627" s="30">
        <f t="shared" si="53"/>
        <v>44717</v>
      </c>
      <c r="B1627" s="32" t="s">
        <v>199</v>
      </c>
      <c r="C1627" t="s">
        <v>207</v>
      </c>
      <c r="D1627">
        <f>IF(B1627=$AB$2,$AC$2,$AC$3)</f>
        <v>1</v>
      </c>
      <c r="E1627">
        <f>IF(ISBLANK(C1627),0,VLOOKUP(C1627,$AE$2:$AF$7,2,0))</f>
        <v>0.5</v>
      </c>
      <c r="F1627">
        <f t="shared" si="54"/>
        <v>0.5</v>
      </c>
    </row>
    <row r="1628" spans="1:6">
      <c r="A1628" s="30">
        <f t="shared" si="53"/>
        <v>44718</v>
      </c>
      <c r="B1628" s="32" t="s">
        <v>199</v>
      </c>
      <c r="C1628" t="s">
        <v>207</v>
      </c>
      <c r="D1628">
        <f>IF(B1628=$AB$2,$AC$2,$AC$3)</f>
        <v>1</v>
      </c>
      <c r="E1628">
        <f>IF(ISBLANK(C1628),0,VLOOKUP(C1628,$AE$2:$AF$7,2,0))</f>
        <v>0.5</v>
      </c>
      <c r="F1628">
        <f t="shared" si="54"/>
        <v>0.5</v>
      </c>
    </row>
    <row r="1629" spans="1:6">
      <c r="A1629" s="30">
        <f t="shared" si="53"/>
        <v>44719</v>
      </c>
      <c r="B1629" s="32" t="s">
        <v>199</v>
      </c>
      <c r="C1629" t="s">
        <v>207</v>
      </c>
      <c r="D1629">
        <f>IF(B1629=$AB$2,$AC$2,$AC$3)</f>
        <v>1</v>
      </c>
      <c r="E1629">
        <f>IF(ISBLANK(C1629),0,VLOOKUP(C1629,$AE$2:$AF$7,2,0))</f>
        <v>0.5</v>
      </c>
      <c r="F1629">
        <f t="shared" si="54"/>
        <v>0.5</v>
      </c>
    </row>
    <row r="1630" spans="1:6">
      <c r="A1630" s="30">
        <f t="shared" si="53"/>
        <v>44720</v>
      </c>
      <c r="B1630" s="32" t="s">
        <v>199</v>
      </c>
      <c r="C1630" t="s">
        <v>207</v>
      </c>
      <c r="D1630">
        <f>IF(B1630=$AB$2,$AC$2,$AC$3)</f>
        <v>1</v>
      </c>
      <c r="E1630">
        <f>IF(ISBLANK(C1630),0,VLOOKUP(C1630,$AE$2:$AF$7,2,0))</f>
        <v>0.5</v>
      </c>
      <c r="F1630">
        <f t="shared" si="54"/>
        <v>0.5</v>
      </c>
    </row>
    <row r="1631" spans="1:6">
      <c r="A1631" s="30">
        <f t="shared" si="53"/>
        <v>44721</v>
      </c>
      <c r="B1631" s="32" t="s">
        <v>199</v>
      </c>
      <c r="C1631" t="s">
        <v>207</v>
      </c>
      <c r="D1631">
        <f>IF(B1631=$AB$2,$AC$2,$AC$3)</f>
        <v>1</v>
      </c>
      <c r="E1631">
        <f>IF(ISBLANK(C1631),0,VLOOKUP(C1631,$AE$2:$AF$7,2,0))</f>
        <v>0.5</v>
      </c>
      <c r="F1631">
        <f t="shared" si="54"/>
        <v>0.5</v>
      </c>
    </row>
    <row r="1632" spans="1:6">
      <c r="A1632" s="30">
        <f t="shared" si="53"/>
        <v>44722</v>
      </c>
      <c r="B1632" s="32" t="s">
        <v>199</v>
      </c>
      <c r="C1632" t="s">
        <v>207</v>
      </c>
      <c r="D1632">
        <f>IF(B1632=$AB$2,$AC$2,$AC$3)</f>
        <v>1</v>
      </c>
      <c r="E1632">
        <f>IF(ISBLANK(C1632),0,VLOOKUP(C1632,$AE$2:$AF$7,2,0))</f>
        <v>0.5</v>
      </c>
      <c r="F1632">
        <f t="shared" si="54"/>
        <v>0.5</v>
      </c>
    </row>
    <row r="1633" spans="1:6">
      <c r="A1633" s="30">
        <f t="shared" si="53"/>
        <v>44723</v>
      </c>
      <c r="B1633" s="32" t="s">
        <v>199</v>
      </c>
      <c r="C1633" t="s">
        <v>207</v>
      </c>
      <c r="D1633">
        <f>IF(B1633=$AB$2,$AC$2,$AC$3)</f>
        <v>1</v>
      </c>
      <c r="E1633">
        <f>IF(ISBLANK(C1633),0,VLOOKUP(C1633,$AE$2:$AF$7,2,0))</f>
        <v>0.5</v>
      </c>
      <c r="F1633">
        <f t="shared" si="54"/>
        <v>0.5</v>
      </c>
    </row>
    <row r="1634" spans="1:6">
      <c r="A1634" s="30">
        <f t="shared" si="53"/>
        <v>44724</v>
      </c>
      <c r="B1634" s="32" t="s">
        <v>199</v>
      </c>
      <c r="C1634" t="s">
        <v>207</v>
      </c>
      <c r="D1634">
        <f>IF(B1634=$AB$2,$AC$2,$AC$3)</f>
        <v>1</v>
      </c>
      <c r="E1634">
        <f>IF(ISBLANK(C1634),0,VLOOKUP(C1634,$AE$2:$AF$7,2,0))</f>
        <v>0.5</v>
      </c>
      <c r="F1634">
        <f t="shared" si="54"/>
        <v>0.5</v>
      </c>
    </row>
    <row r="1635" spans="1:6">
      <c r="A1635" s="30">
        <f t="shared" si="53"/>
        <v>44725</v>
      </c>
      <c r="B1635" s="32" t="s">
        <v>199</v>
      </c>
      <c r="C1635" t="s">
        <v>207</v>
      </c>
      <c r="D1635">
        <f>IF(B1635=$AB$2,$AC$2,$AC$3)</f>
        <v>1</v>
      </c>
      <c r="E1635">
        <f>IF(ISBLANK(C1635),0,VLOOKUP(C1635,$AE$2:$AF$7,2,0))</f>
        <v>0.5</v>
      </c>
      <c r="F1635">
        <f t="shared" si="54"/>
        <v>0.5</v>
      </c>
    </row>
    <row r="1636" spans="1:6">
      <c r="A1636" s="30">
        <f t="shared" si="53"/>
        <v>44726</v>
      </c>
      <c r="B1636" s="32" t="s">
        <v>199</v>
      </c>
      <c r="C1636" t="s">
        <v>207</v>
      </c>
      <c r="D1636">
        <f>IF(B1636=$AB$2,$AC$2,$AC$3)</f>
        <v>1</v>
      </c>
      <c r="E1636">
        <f>IF(ISBLANK(C1636),0,VLOOKUP(C1636,$AE$2:$AF$7,2,0))</f>
        <v>0.5</v>
      </c>
      <c r="F1636">
        <f t="shared" si="54"/>
        <v>0.5</v>
      </c>
    </row>
    <row r="1637" spans="1:6">
      <c r="A1637" s="30">
        <f t="shared" si="53"/>
        <v>44727</v>
      </c>
      <c r="B1637" s="32" t="s">
        <v>199</v>
      </c>
      <c r="C1637" t="s">
        <v>207</v>
      </c>
      <c r="D1637">
        <f>IF(B1637=$AB$2,$AC$2,$AC$3)</f>
        <v>1</v>
      </c>
      <c r="E1637">
        <f>IF(ISBLANK(C1637),0,VLOOKUP(C1637,$AE$2:$AF$7,2,0))</f>
        <v>0.5</v>
      </c>
      <c r="F1637">
        <f t="shared" si="54"/>
        <v>0.5</v>
      </c>
    </row>
    <row r="1638" spans="1:6">
      <c r="A1638" s="30">
        <f t="shared" si="53"/>
        <v>44728</v>
      </c>
      <c r="B1638" s="32" t="s">
        <v>199</v>
      </c>
      <c r="C1638" t="s">
        <v>207</v>
      </c>
      <c r="D1638">
        <f>IF(B1638=$AB$2,$AC$2,$AC$3)</f>
        <v>1</v>
      </c>
      <c r="E1638">
        <f>IF(ISBLANK(C1638),0,VLOOKUP(C1638,$AE$2:$AF$7,2,0))</f>
        <v>0.5</v>
      </c>
      <c r="F1638">
        <f t="shared" si="54"/>
        <v>0.5</v>
      </c>
    </row>
    <row r="1639" spans="1:6">
      <c r="A1639" s="30">
        <f t="shared" si="53"/>
        <v>44729</v>
      </c>
      <c r="B1639" s="32" t="s">
        <v>199</v>
      </c>
      <c r="C1639" t="s">
        <v>207</v>
      </c>
      <c r="D1639">
        <f>IF(B1639=$AB$2,$AC$2,$AC$3)</f>
        <v>1</v>
      </c>
      <c r="E1639">
        <f>IF(ISBLANK(C1639),0,VLOOKUP(C1639,$AE$2:$AF$7,2,0))</f>
        <v>0.5</v>
      </c>
      <c r="F1639">
        <f t="shared" si="54"/>
        <v>0.5</v>
      </c>
    </row>
    <row r="1640" spans="1:6">
      <c r="A1640" s="30">
        <f t="shared" si="53"/>
        <v>44730</v>
      </c>
      <c r="B1640" s="32" t="s">
        <v>199</v>
      </c>
      <c r="C1640" t="s">
        <v>207</v>
      </c>
      <c r="D1640">
        <f>IF(B1640=$AB$2,$AC$2,$AC$3)</f>
        <v>1</v>
      </c>
      <c r="E1640">
        <f>IF(ISBLANK(C1640),0,VLOOKUP(C1640,$AE$2:$AF$7,2,0))</f>
        <v>0.5</v>
      </c>
      <c r="F1640">
        <f t="shared" si="54"/>
        <v>0.5</v>
      </c>
    </row>
    <row r="1641" spans="1:6">
      <c r="A1641" s="30">
        <f t="shared" si="53"/>
        <v>44731</v>
      </c>
      <c r="B1641" s="32" t="s">
        <v>199</v>
      </c>
      <c r="C1641" t="s">
        <v>207</v>
      </c>
      <c r="D1641">
        <f>IF(B1641=$AB$2,$AC$2,$AC$3)</f>
        <v>1</v>
      </c>
      <c r="E1641">
        <f>IF(ISBLANK(C1641),0,VLOOKUP(C1641,$AE$2:$AF$7,2,0))</f>
        <v>0.5</v>
      </c>
      <c r="F1641">
        <f t="shared" si="54"/>
        <v>0.5</v>
      </c>
    </row>
    <row r="1642" spans="1:6">
      <c r="A1642" s="30">
        <f t="shared" si="53"/>
        <v>44732</v>
      </c>
      <c r="B1642" s="32" t="s">
        <v>199</v>
      </c>
      <c r="C1642" t="s">
        <v>207</v>
      </c>
      <c r="D1642">
        <f>IF(B1642=$AB$2,$AC$2,$AC$3)</f>
        <v>1</v>
      </c>
      <c r="E1642">
        <f>IF(ISBLANK(C1642),0,VLOOKUP(C1642,$AE$2:$AF$7,2,0))</f>
        <v>0.5</v>
      </c>
      <c r="F1642">
        <f t="shared" si="54"/>
        <v>0.5</v>
      </c>
    </row>
    <row r="1643" spans="1:6">
      <c r="A1643" s="30">
        <f t="shared" si="53"/>
        <v>44733</v>
      </c>
      <c r="B1643" s="32" t="s">
        <v>199</v>
      </c>
      <c r="C1643" t="s">
        <v>207</v>
      </c>
      <c r="D1643">
        <f>IF(B1643=$AB$2,$AC$2,$AC$3)</f>
        <v>1</v>
      </c>
      <c r="E1643">
        <f>IF(ISBLANK(C1643),0,VLOOKUP(C1643,$AE$2:$AF$7,2,0))</f>
        <v>0.5</v>
      </c>
      <c r="F1643">
        <f t="shared" si="54"/>
        <v>0.5</v>
      </c>
    </row>
    <row r="1644" spans="1:6">
      <c r="A1644" s="30">
        <f t="shared" si="53"/>
        <v>44734</v>
      </c>
      <c r="B1644" s="32" t="s">
        <v>199</v>
      </c>
      <c r="C1644" t="s">
        <v>207</v>
      </c>
      <c r="D1644">
        <f>IF(B1644=$AB$2,$AC$2,$AC$3)</f>
        <v>1</v>
      </c>
      <c r="E1644">
        <f>IF(ISBLANK(C1644),0,VLOOKUP(C1644,$AE$2:$AF$7,2,0))</f>
        <v>0.5</v>
      </c>
      <c r="F1644">
        <f t="shared" si="54"/>
        <v>0.5</v>
      </c>
    </row>
    <row r="1645" spans="1:6">
      <c r="A1645" s="30">
        <f t="shared" si="53"/>
        <v>44735</v>
      </c>
      <c r="B1645" s="32" t="s">
        <v>199</v>
      </c>
      <c r="C1645" t="s">
        <v>207</v>
      </c>
      <c r="D1645">
        <f>IF(B1645=$AB$2,$AC$2,$AC$3)</f>
        <v>1</v>
      </c>
      <c r="E1645">
        <f>IF(ISBLANK(C1645),0,VLOOKUP(C1645,$AE$2:$AF$7,2,0))</f>
        <v>0.5</v>
      </c>
      <c r="F1645">
        <f t="shared" si="54"/>
        <v>0.5</v>
      </c>
    </row>
    <row r="1646" spans="1:6">
      <c r="A1646" s="30">
        <f t="shared" si="53"/>
        <v>44736</v>
      </c>
      <c r="B1646" s="32" t="s">
        <v>199</v>
      </c>
      <c r="C1646" t="s">
        <v>207</v>
      </c>
      <c r="D1646">
        <f>IF(B1646=$AB$2,$AC$2,$AC$3)</f>
        <v>1</v>
      </c>
      <c r="E1646">
        <f>IF(ISBLANK(C1646),0,VLOOKUP(C1646,$AE$2:$AF$7,2,0))</f>
        <v>0.5</v>
      </c>
      <c r="F1646">
        <f t="shared" si="54"/>
        <v>0.5</v>
      </c>
    </row>
    <row r="1647" spans="1:6">
      <c r="A1647" s="30">
        <f t="shared" si="53"/>
        <v>44737</v>
      </c>
      <c r="B1647" s="32" t="s">
        <v>199</v>
      </c>
      <c r="C1647" t="s">
        <v>207</v>
      </c>
      <c r="D1647">
        <f>IF(B1647=$AB$2,$AC$2,$AC$3)</f>
        <v>1</v>
      </c>
      <c r="E1647">
        <f>IF(ISBLANK(C1647),0,VLOOKUP(C1647,$AE$2:$AF$7,2,0))</f>
        <v>0.5</v>
      </c>
      <c r="F1647">
        <f t="shared" si="54"/>
        <v>0.5</v>
      </c>
    </row>
    <row r="1648" spans="1:6">
      <c r="A1648" s="30">
        <f t="shared" si="53"/>
        <v>44738</v>
      </c>
      <c r="B1648" s="32" t="s">
        <v>199</v>
      </c>
      <c r="C1648" t="s">
        <v>207</v>
      </c>
      <c r="D1648">
        <f>IF(B1648=$AB$2,$AC$2,$AC$3)</f>
        <v>1</v>
      </c>
      <c r="E1648">
        <f>IF(ISBLANK(C1648),0,VLOOKUP(C1648,$AE$2:$AF$7,2,0))</f>
        <v>0.5</v>
      </c>
      <c r="F1648">
        <f t="shared" si="54"/>
        <v>0.5</v>
      </c>
    </row>
    <row r="1649" spans="1:6">
      <c r="A1649" s="30">
        <f t="shared" si="53"/>
        <v>44739</v>
      </c>
      <c r="B1649" s="32" t="s">
        <v>199</v>
      </c>
      <c r="C1649" t="s">
        <v>207</v>
      </c>
      <c r="D1649">
        <f>IF(B1649=$AB$2,$AC$2,$AC$3)</f>
        <v>1</v>
      </c>
      <c r="E1649">
        <f>IF(ISBLANK(C1649),0,VLOOKUP(C1649,$AE$2:$AF$7,2,0))</f>
        <v>0.5</v>
      </c>
      <c r="F1649">
        <f t="shared" si="54"/>
        <v>0.5</v>
      </c>
    </row>
    <row r="1650" spans="1:6">
      <c r="A1650" s="30">
        <f t="shared" si="53"/>
        <v>44740</v>
      </c>
      <c r="B1650" s="32" t="s">
        <v>199</v>
      </c>
      <c r="C1650" t="s">
        <v>207</v>
      </c>
      <c r="D1650">
        <f>IF(B1650=$AB$2,$AC$2,$AC$3)</f>
        <v>1</v>
      </c>
      <c r="E1650">
        <f>IF(ISBLANK(C1650),0,VLOOKUP(C1650,$AE$2:$AF$7,2,0))</f>
        <v>0.5</v>
      </c>
      <c r="F1650">
        <f t="shared" si="54"/>
        <v>0.5</v>
      </c>
    </row>
    <row r="1651" spans="1:6">
      <c r="A1651" s="30">
        <f t="shared" si="53"/>
        <v>44741</v>
      </c>
      <c r="B1651" s="32" t="s">
        <v>199</v>
      </c>
      <c r="C1651" t="s">
        <v>207</v>
      </c>
      <c r="D1651">
        <f>IF(B1651=$AB$2,$AC$2,$AC$3)</f>
        <v>1</v>
      </c>
      <c r="E1651">
        <f>IF(ISBLANK(C1651),0,VLOOKUP(C1651,$AE$2:$AF$7,2,0))</f>
        <v>0.5</v>
      </c>
      <c r="F1651">
        <f t="shared" si="54"/>
        <v>0.5</v>
      </c>
    </row>
    <row r="1652" spans="1:6">
      <c r="A1652" s="30">
        <f t="shared" si="53"/>
        <v>44742</v>
      </c>
      <c r="B1652" s="32" t="s">
        <v>199</v>
      </c>
      <c r="C1652" t="s">
        <v>207</v>
      </c>
      <c r="D1652">
        <f>IF(B1652=$AB$2,$AC$2,$AC$3)</f>
        <v>1</v>
      </c>
      <c r="E1652">
        <f>IF(ISBLANK(C1652),0,VLOOKUP(C1652,$AE$2:$AF$7,2,0))</f>
        <v>0.5</v>
      </c>
      <c r="F1652">
        <f t="shared" si="54"/>
        <v>0.5</v>
      </c>
    </row>
    <row r="1653" spans="1:6">
      <c r="A1653" s="30">
        <f t="shared" si="53"/>
        <v>44743</v>
      </c>
      <c r="B1653" s="32" t="s">
        <v>199</v>
      </c>
      <c r="C1653" t="s">
        <v>207</v>
      </c>
      <c r="D1653">
        <f>IF(B1653=$AB$2,$AC$2,$AC$3)</f>
        <v>1</v>
      </c>
      <c r="E1653">
        <f>IF(ISBLANK(C1653),0,VLOOKUP(C1653,$AE$2:$AF$7,2,0))</f>
        <v>0.5</v>
      </c>
      <c r="F1653">
        <f t="shared" si="54"/>
        <v>0.5</v>
      </c>
    </row>
    <row r="1654" spans="1:6">
      <c r="A1654" s="30">
        <f t="shared" si="53"/>
        <v>44744</v>
      </c>
      <c r="B1654" s="32" t="s">
        <v>199</v>
      </c>
      <c r="C1654" t="s">
        <v>207</v>
      </c>
      <c r="D1654">
        <f>IF(B1654=$AB$2,$AC$2,$AC$3)</f>
        <v>1</v>
      </c>
      <c r="E1654">
        <f>IF(ISBLANK(C1654),0,VLOOKUP(C1654,$AE$2:$AF$7,2,0))</f>
        <v>0.5</v>
      </c>
      <c r="F1654">
        <f t="shared" si="54"/>
        <v>0.5</v>
      </c>
    </row>
    <row r="1655" spans="1:6">
      <c r="A1655" s="30">
        <f t="shared" si="53"/>
        <v>44745</v>
      </c>
      <c r="B1655" s="32" t="s">
        <v>199</v>
      </c>
      <c r="C1655" t="s">
        <v>207</v>
      </c>
      <c r="D1655">
        <f>IF(B1655=$AB$2,$AC$2,$AC$3)</f>
        <v>1</v>
      </c>
      <c r="E1655">
        <f>IF(ISBLANK(C1655),0,VLOOKUP(C1655,$AE$2:$AF$7,2,0))</f>
        <v>0.5</v>
      </c>
      <c r="F1655">
        <f t="shared" si="54"/>
        <v>0.5</v>
      </c>
    </row>
    <row r="1656" spans="1:6">
      <c r="A1656" s="30">
        <f t="shared" si="53"/>
        <v>44746</v>
      </c>
      <c r="B1656" s="32" t="s">
        <v>199</v>
      </c>
      <c r="C1656" t="s">
        <v>207</v>
      </c>
      <c r="D1656">
        <f>IF(B1656=$AB$2,$AC$2,$AC$3)</f>
        <v>1</v>
      </c>
      <c r="E1656">
        <f>IF(ISBLANK(C1656),0,VLOOKUP(C1656,$AE$2:$AF$7,2,0))</f>
        <v>0.5</v>
      </c>
      <c r="F1656">
        <f t="shared" si="54"/>
        <v>0.5</v>
      </c>
    </row>
    <row r="1657" spans="1:6">
      <c r="A1657" s="30">
        <f t="shared" si="53"/>
        <v>44747</v>
      </c>
      <c r="B1657" s="32" t="s">
        <v>199</v>
      </c>
      <c r="C1657" t="s">
        <v>207</v>
      </c>
      <c r="D1657">
        <f>IF(B1657=$AB$2,$AC$2,$AC$3)</f>
        <v>1</v>
      </c>
      <c r="E1657">
        <f>IF(ISBLANK(C1657),0,VLOOKUP(C1657,$AE$2:$AF$7,2,0))</f>
        <v>0.5</v>
      </c>
      <c r="F1657">
        <f t="shared" si="54"/>
        <v>0.5</v>
      </c>
    </row>
    <row r="1658" spans="1:6">
      <c r="A1658" s="30">
        <f t="shared" si="53"/>
        <v>44748</v>
      </c>
      <c r="B1658" s="32" t="s">
        <v>199</v>
      </c>
      <c r="C1658" t="s">
        <v>207</v>
      </c>
      <c r="D1658">
        <f>IF(B1658=$AB$2,$AC$2,$AC$3)</f>
        <v>1</v>
      </c>
      <c r="E1658">
        <f>IF(ISBLANK(C1658),0,VLOOKUP(C1658,$AE$2:$AF$7,2,0))</f>
        <v>0.5</v>
      </c>
      <c r="F1658">
        <f t="shared" si="54"/>
        <v>0.5</v>
      </c>
    </row>
    <row r="1659" spans="1:6">
      <c r="A1659" s="30">
        <f t="shared" si="53"/>
        <v>44749</v>
      </c>
      <c r="B1659" s="32" t="s">
        <v>199</v>
      </c>
      <c r="C1659" t="s">
        <v>207</v>
      </c>
      <c r="D1659">
        <f>IF(B1659=$AB$2,$AC$2,$AC$3)</f>
        <v>1</v>
      </c>
      <c r="E1659">
        <f>IF(ISBLANK(C1659),0,VLOOKUP(C1659,$AE$2:$AF$7,2,0))</f>
        <v>0.5</v>
      </c>
      <c r="F1659">
        <f t="shared" si="54"/>
        <v>0.5</v>
      </c>
    </row>
    <row r="1660" spans="1:6">
      <c r="A1660" s="30">
        <f t="shared" si="53"/>
        <v>44750</v>
      </c>
      <c r="B1660" s="32" t="s">
        <v>199</v>
      </c>
      <c r="C1660" t="s">
        <v>207</v>
      </c>
      <c r="D1660">
        <f>IF(B1660=$AB$2,$AC$2,$AC$3)</f>
        <v>1</v>
      </c>
      <c r="E1660">
        <f>IF(ISBLANK(C1660),0,VLOOKUP(C1660,$AE$2:$AF$7,2,0))</f>
        <v>0.5</v>
      </c>
      <c r="F1660">
        <f t="shared" si="54"/>
        <v>0.5</v>
      </c>
    </row>
    <row r="1661" spans="1:6">
      <c r="A1661" s="30">
        <f t="shared" si="53"/>
        <v>44751</v>
      </c>
      <c r="B1661" s="32" t="s">
        <v>199</v>
      </c>
      <c r="C1661" t="s">
        <v>207</v>
      </c>
      <c r="D1661">
        <f>IF(B1661=$AB$2,$AC$2,$AC$3)</f>
        <v>1</v>
      </c>
      <c r="E1661">
        <f>IF(ISBLANK(C1661),0,VLOOKUP(C1661,$AE$2:$AF$7,2,0))</f>
        <v>0.5</v>
      </c>
      <c r="F1661">
        <f t="shared" si="54"/>
        <v>0.5</v>
      </c>
    </row>
    <row r="1662" spans="1:6">
      <c r="A1662" s="30">
        <f t="shared" si="53"/>
        <v>44752</v>
      </c>
      <c r="B1662" s="32" t="s">
        <v>199</v>
      </c>
      <c r="C1662" t="s">
        <v>207</v>
      </c>
      <c r="D1662">
        <f>IF(B1662=$AB$2,$AC$2,$AC$3)</f>
        <v>1</v>
      </c>
      <c r="E1662">
        <f>IF(ISBLANK(C1662),0,VLOOKUP(C1662,$AE$2:$AF$7,2,0))</f>
        <v>0.5</v>
      </c>
      <c r="F1662">
        <f t="shared" si="54"/>
        <v>0.5</v>
      </c>
    </row>
    <row r="1663" spans="1:6">
      <c r="A1663" s="30">
        <f t="shared" si="53"/>
        <v>44753</v>
      </c>
      <c r="B1663" s="32" t="s">
        <v>199</v>
      </c>
      <c r="C1663" t="s">
        <v>207</v>
      </c>
      <c r="D1663">
        <f>IF(B1663=$AB$2,$AC$2,$AC$3)</f>
        <v>1</v>
      </c>
      <c r="E1663">
        <f>IF(ISBLANK(C1663),0,VLOOKUP(C1663,$AE$2:$AF$7,2,0))</f>
        <v>0.5</v>
      </c>
      <c r="F1663">
        <f t="shared" si="54"/>
        <v>0.5</v>
      </c>
    </row>
    <row r="1664" spans="1:6">
      <c r="A1664" s="30">
        <f t="shared" ref="A1664:A1712" si="55">A1663+1</f>
        <v>44754</v>
      </c>
      <c r="B1664" s="32" t="s">
        <v>199</v>
      </c>
      <c r="C1664" t="s">
        <v>207</v>
      </c>
      <c r="D1664">
        <f>IF(B1664=$AB$2,$AC$2,$AC$3)</f>
        <v>1</v>
      </c>
      <c r="E1664">
        <f>IF(ISBLANK(C1664),0,VLOOKUP(C1664,$AE$2:$AF$7,2,0))</f>
        <v>0.5</v>
      </c>
      <c r="F1664">
        <f t="shared" si="54"/>
        <v>0.5</v>
      </c>
    </row>
    <row r="1665" spans="1:6">
      <c r="A1665" s="30">
        <f t="shared" si="55"/>
        <v>44755</v>
      </c>
      <c r="B1665" s="32" t="s">
        <v>199</v>
      </c>
      <c r="C1665" t="s">
        <v>207</v>
      </c>
      <c r="D1665">
        <f>IF(B1665=$AB$2,$AC$2,$AC$3)</f>
        <v>1</v>
      </c>
      <c r="E1665">
        <f>IF(ISBLANK(C1665),0,VLOOKUP(C1665,$AE$2:$AF$7,2,0))</f>
        <v>0.5</v>
      </c>
      <c r="F1665">
        <f t="shared" si="54"/>
        <v>0.5</v>
      </c>
    </row>
    <row r="1666" spans="1:6">
      <c r="A1666" s="30">
        <f t="shared" si="55"/>
        <v>44756</v>
      </c>
      <c r="B1666" s="32" t="s">
        <v>199</v>
      </c>
      <c r="C1666" t="s">
        <v>207</v>
      </c>
      <c r="D1666">
        <f>IF(B1666=$AB$2,$AC$2,$AC$3)</f>
        <v>1</v>
      </c>
      <c r="E1666">
        <f>IF(ISBLANK(C1666),0,VLOOKUP(C1666,$AE$2:$AF$7,2,0))</f>
        <v>0.5</v>
      </c>
      <c r="F1666">
        <f t="shared" si="54"/>
        <v>0.5</v>
      </c>
    </row>
    <row r="1667" spans="1:6">
      <c r="A1667" s="30">
        <f t="shared" si="55"/>
        <v>44757</v>
      </c>
      <c r="B1667" s="32" t="s">
        <v>199</v>
      </c>
      <c r="C1667" t="s">
        <v>207</v>
      </c>
      <c r="D1667">
        <f>IF(B1667=$AB$2,$AC$2,$AC$3)</f>
        <v>1</v>
      </c>
      <c r="E1667">
        <f>IF(ISBLANK(C1667),0,VLOOKUP(C1667,$AE$2:$AF$7,2,0))</f>
        <v>0.5</v>
      </c>
      <c r="F1667">
        <f t="shared" ref="F1667:F1730" si="56">D1667*E1667</f>
        <v>0.5</v>
      </c>
    </row>
    <row r="1668" spans="1:6">
      <c r="A1668" s="30">
        <f t="shared" si="55"/>
        <v>44758</v>
      </c>
      <c r="B1668" s="32" t="s">
        <v>199</v>
      </c>
      <c r="C1668" t="s">
        <v>207</v>
      </c>
      <c r="D1668">
        <f>IF(B1668=$AB$2,$AC$2,$AC$3)</f>
        <v>1</v>
      </c>
      <c r="E1668">
        <f>IF(ISBLANK(C1668),0,VLOOKUP(C1668,$AE$2:$AF$7,2,0))</f>
        <v>0.5</v>
      </c>
      <c r="F1668">
        <f t="shared" si="56"/>
        <v>0.5</v>
      </c>
    </row>
    <row r="1669" spans="1:6">
      <c r="A1669" s="30">
        <f t="shared" si="55"/>
        <v>44759</v>
      </c>
      <c r="B1669" s="32" t="s">
        <v>199</v>
      </c>
      <c r="C1669" t="s">
        <v>207</v>
      </c>
      <c r="D1669">
        <f>IF(B1669=$AB$2,$AC$2,$AC$3)</f>
        <v>1</v>
      </c>
      <c r="E1669">
        <f>IF(ISBLANK(C1669),0,VLOOKUP(C1669,$AE$2:$AF$7,2,0))</f>
        <v>0.5</v>
      </c>
      <c r="F1669">
        <f t="shared" si="56"/>
        <v>0.5</v>
      </c>
    </row>
    <row r="1670" spans="1:6">
      <c r="A1670" s="30">
        <f t="shared" si="55"/>
        <v>44760</v>
      </c>
      <c r="B1670" s="32" t="s">
        <v>199</v>
      </c>
      <c r="C1670" t="s">
        <v>207</v>
      </c>
      <c r="D1670">
        <f>IF(B1670=$AB$2,$AC$2,$AC$3)</f>
        <v>1</v>
      </c>
      <c r="E1670">
        <f>IF(ISBLANK(C1670),0,VLOOKUP(C1670,$AE$2:$AF$7,2,0))</f>
        <v>0.5</v>
      </c>
      <c r="F1670">
        <f t="shared" si="56"/>
        <v>0.5</v>
      </c>
    </row>
    <row r="1671" spans="1:6">
      <c r="A1671" s="30">
        <f t="shared" si="55"/>
        <v>44761</v>
      </c>
      <c r="B1671" s="32" t="s">
        <v>199</v>
      </c>
      <c r="C1671" t="s">
        <v>207</v>
      </c>
      <c r="D1671">
        <f>IF(B1671=$AB$2,$AC$2,$AC$3)</f>
        <v>1</v>
      </c>
      <c r="E1671">
        <f>IF(ISBLANK(C1671),0,VLOOKUP(C1671,$AE$2:$AF$7,2,0))</f>
        <v>0.5</v>
      </c>
      <c r="F1671">
        <f t="shared" si="56"/>
        <v>0.5</v>
      </c>
    </row>
    <row r="1672" spans="1:6">
      <c r="A1672" s="30">
        <f t="shared" si="55"/>
        <v>44762</v>
      </c>
      <c r="B1672" s="32" t="s">
        <v>199</v>
      </c>
      <c r="C1672" t="s">
        <v>207</v>
      </c>
      <c r="D1672">
        <f>IF(B1672=$AB$2,$AC$2,$AC$3)</f>
        <v>1</v>
      </c>
      <c r="E1672">
        <f>IF(ISBLANK(C1672),0,VLOOKUP(C1672,$AE$2:$AF$7,2,0))</f>
        <v>0.5</v>
      </c>
      <c r="F1672">
        <f t="shared" si="56"/>
        <v>0.5</v>
      </c>
    </row>
    <row r="1673" spans="1:6">
      <c r="A1673" s="30">
        <f t="shared" si="55"/>
        <v>44763</v>
      </c>
      <c r="B1673" s="32" t="s">
        <v>199</v>
      </c>
      <c r="C1673" t="s">
        <v>207</v>
      </c>
      <c r="D1673">
        <f>IF(B1673=$AB$2,$AC$2,$AC$3)</f>
        <v>1</v>
      </c>
      <c r="E1673">
        <f>IF(ISBLANK(C1673),0,VLOOKUP(C1673,$AE$2:$AF$7,2,0))</f>
        <v>0.5</v>
      </c>
      <c r="F1673">
        <f t="shared" si="56"/>
        <v>0.5</v>
      </c>
    </row>
    <row r="1674" spans="1:6">
      <c r="A1674" s="30">
        <f t="shared" si="55"/>
        <v>44764</v>
      </c>
      <c r="B1674" s="32" t="s">
        <v>199</v>
      </c>
      <c r="C1674" t="s">
        <v>207</v>
      </c>
      <c r="D1674">
        <f>IF(B1674=$AB$2,$AC$2,$AC$3)</f>
        <v>1</v>
      </c>
      <c r="E1674">
        <f>IF(ISBLANK(C1674),0,VLOOKUP(C1674,$AE$2:$AF$7,2,0))</f>
        <v>0.5</v>
      </c>
      <c r="F1674">
        <f t="shared" si="56"/>
        <v>0.5</v>
      </c>
    </row>
    <row r="1675" spans="1:6">
      <c r="A1675" s="30">
        <f t="shared" si="55"/>
        <v>44765</v>
      </c>
      <c r="B1675" s="32" t="s">
        <v>199</v>
      </c>
      <c r="C1675" t="s">
        <v>207</v>
      </c>
      <c r="D1675">
        <f>IF(B1675=$AB$2,$AC$2,$AC$3)</f>
        <v>1</v>
      </c>
      <c r="E1675">
        <f>IF(ISBLANK(C1675),0,VLOOKUP(C1675,$AE$2:$AF$7,2,0))</f>
        <v>0.5</v>
      </c>
      <c r="F1675">
        <f t="shared" si="56"/>
        <v>0.5</v>
      </c>
    </row>
    <row r="1676" spans="1:6">
      <c r="A1676" s="30">
        <f t="shared" si="55"/>
        <v>44766</v>
      </c>
      <c r="B1676" s="32" t="s">
        <v>199</v>
      </c>
      <c r="C1676" t="s">
        <v>207</v>
      </c>
      <c r="D1676">
        <f>IF(B1676=$AB$2,$AC$2,$AC$3)</f>
        <v>1</v>
      </c>
      <c r="E1676">
        <f>IF(ISBLANK(C1676),0,VLOOKUP(C1676,$AE$2:$AF$7,2,0))</f>
        <v>0.5</v>
      </c>
      <c r="F1676">
        <f t="shared" si="56"/>
        <v>0.5</v>
      </c>
    </row>
    <row r="1677" spans="1:6">
      <c r="A1677" s="30">
        <f t="shared" si="55"/>
        <v>44767</v>
      </c>
      <c r="B1677" s="32" t="s">
        <v>199</v>
      </c>
      <c r="C1677" t="s">
        <v>207</v>
      </c>
      <c r="D1677">
        <f>IF(B1677=$AB$2,$AC$2,$AC$3)</f>
        <v>1</v>
      </c>
      <c r="E1677">
        <f>IF(ISBLANK(C1677),0,VLOOKUP(C1677,$AE$2:$AF$7,2,0))</f>
        <v>0.5</v>
      </c>
      <c r="F1677">
        <f t="shared" si="56"/>
        <v>0.5</v>
      </c>
    </row>
    <row r="1678" spans="1:6">
      <c r="A1678" s="30">
        <f t="shared" si="55"/>
        <v>44768</v>
      </c>
      <c r="B1678" s="32" t="s">
        <v>199</v>
      </c>
      <c r="C1678" t="s">
        <v>207</v>
      </c>
      <c r="D1678">
        <f>IF(B1678=$AB$2,$AC$2,$AC$3)</f>
        <v>1</v>
      </c>
      <c r="E1678">
        <f>IF(ISBLANK(C1678),0,VLOOKUP(C1678,$AE$2:$AF$7,2,0))</f>
        <v>0.5</v>
      </c>
      <c r="F1678">
        <f t="shared" si="56"/>
        <v>0.5</v>
      </c>
    </row>
    <row r="1679" spans="1:6">
      <c r="A1679" s="30">
        <f t="shared" si="55"/>
        <v>44769</v>
      </c>
      <c r="B1679" s="32" t="s">
        <v>199</v>
      </c>
      <c r="C1679" t="s">
        <v>207</v>
      </c>
      <c r="D1679">
        <f>IF(B1679=$AB$2,$AC$2,$AC$3)</f>
        <v>1</v>
      </c>
      <c r="E1679">
        <f>IF(ISBLANK(C1679),0,VLOOKUP(C1679,$AE$2:$AF$7,2,0))</f>
        <v>0.5</v>
      </c>
      <c r="F1679">
        <f t="shared" si="56"/>
        <v>0.5</v>
      </c>
    </row>
    <row r="1680" spans="1:6">
      <c r="A1680" s="30">
        <f t="shared" si="55"/>
        <v>44770</v>
      </c>
      <c r="B1680" s="32" t="s">
        <v>199</v>
      </c>
      <c r="C1680" t="s">
        <v>207</v>
      </c>
      <c r="D1680">
        <f>IF(B1680=$AB$2,$AC$2,$AC$3)</f>
        <v>1</v>
      </c>
      <c r="E1680">
        <f>IF(ISBLANK(C1680),0,VLOOKUP(C1680,$AE$2:$AF$7,2,0))</f>
        <v>0.5</v>
      </c>
      <c r="F1680">
        <f t="shared" si="56"/>
        <v>0.5</v>
      </c>
    </row>
    <row r="1681" spans="1:6">
      <c r="A1681" s="30">
        <f t="shared" si="55"/>
        <v>44771</v>
      </c>
      <c r="B1681" s="32" t="s">
        <v>199</v>
      </c>
      <c r="C1681" t="s">
        <v>207</v>
      </c>
      <c r="D1681">
        <f>IF(B1681=$AB$2,$AC$2,$AC$3)</f>
        <v>1</v>
      </c>
      <c r="E1681">
        <f>IF(ISBLANK(C1681),0,VLOOKUP(C1681,$AE$2:$AF$7,2,0))</f>
        <v>0.5</v>
      </c>
      <c r="F1681">
        <f t="shared" si="56"/>
        <v>0.5</v>
      </c>
    </row>
    <row r="1682" spans="1:6">
      <c r="A1682" s="30">
        <f t="shared" si="55"/>
        <v>44772</v>
      </c>
      <c r="B1682" s="32" t="s">
        <v>199</v>
      </c>
      <c r="C1682" t="s">
        <v>207</v>
      </c>
      <c r="D1682">
        <f>IF(B1682=$AB$2,$AC$2,$AC$3)</f>
        <v>1</v>
      </c>
      <c r="E1682">
        <f>IF(ISBLANK(C1682),0,VLOOKUP(C1682,$AE$2:$AF$7,2,0))</f>
        <v>0.5</v>
      </c>
      <c r="F1682">
        <f t="shared" si="56"/>
        <v>0.5</v>
      </c>
    </row>
    <row r="1683" spans="1:6">
      <c r="A1683" s="30">
        <f t="shared" si="55"/>
        <v>44773</v>
      </c>
      <c r="B1683" s="32" t="s">
        <v>199</v>
      </c>
      <c r="C1683" t="s">
        <v>207</v>
      </c>
      <c r="D1683">
        <f>IF(B1683=$AB$2,$AC$2,$AC$3)</f>
        <v>1</v>
      </c>
      <c r="E1683">
        <f>IF(ISBLANK(C1683),0,VLOOKUP(C1683,$AE$2:$AF$7,2,0))</f>
        <v>0.5</v>
      </c>
      <c r="F1683">
        <f t="shared" si="56"/>
        <v>0.5</v>
      </c>
    </row>
    <row r="1684" spans="1:6">
      <c r="A1684" s="30">
        <f t="shared" si="55"/>
        <v>44774</v>
      </c>
      <c r="B1684" s="32" t="s">
        <v>199</v>
      </c>
      <c r="C1684" t="s">
        <v>207</v>
      </c>
      <c r="D1684">
        <f>IF(B1684=$AB$2,$AC$2,$AC$3)</f>
        <v>1</v>
      </c>
      <c r="E1684">
        <f>IF(ISBLANK(C1684),0,VLOOKUP(C1684,$AE$2:$AF$7,2,0))</f>
        <v>0.5</v>
      </c>
      <c r="F1684">
        <f t="shared" si="56"/>
        <v>0.5</v>
      </c>
    </row>
    <row r="1685" spans="1:6">
      <c r="A1685" s="30">
        <f t="shared" si="55"/>
        <v>44775</v>
      </c>
      <c r="B1685" s="32" t="s">
        <v>199</v>
      </c>
      <c r="C1685" t="s">
        <v>207</v>
      </c>
      <c r="D1685">
        <f>IF(B1685=$AB$2,$AC$2,$AC$3)</f>
        <v>1</v>
      </c>
      <c r="E1685">
        <f>IF(ISBLANK(C1685),0,VLOOKUP(C1685,$AE$2:$AF$7,2,0))</f>
        <v>0.5</v>
      </c>
      <c r="F1685">
        <f t="shared" si="56"/>
        <v>0.5</v>
      </c>
    </row>
    <row r="1686" spans="1:6">
      <c r="A1686" s="30">
        <f t="shared" si="55"/>
        <v>44776</v>
      </c>
      <c r="B1686" s="32" t="s">
        <v>199</v>
      </c>
      <c r="C1686" t="s">
        <v>207</v>
      </c>
      <c r="D1686">
        <f>IF(B1686=$AB$2,$AC$2,$AC$3)</f>
        <v>1</v>
      </c>
      <c r="E1686">
        <f>IF(ISBLANK(C1686),0,VLOOKUP(C1686,$AE$2:$AF$7,2,0))</f>
        <v>0.5</v>
      </c>
      <c r="F1686">
        <f t="shared" si="56"/>
        <v>0.5</v>
      </c>
    </row>
    <row r="1687" spans="1:6">
      <c r="A1687" s="30">
        <f t="shared" si="55"/>
        <v>44777</v>
      </c>
      <c r="B1687" s="32" t="s">
        <v>199</v>
      </c>
      <c r="C1687" t="s">
        <v>207</v>
      </c>
      <c r="D1687">
        <f>IF(B1687=$AB$2,$AC$2,$AC$3)</f>
        <v>1</v>
      </c>
      <c r="E1687">
        <f>IF(ISBLANK(C1687),0,VLOOKUP(C1687,$AE$2:$AF$7,2,0))</f>
        <v>0.5</v>
      </c>
      <c r="F1687">
        <f t="shared" si="56"/>
        <v>0.5</v>
      </c>
    </row>
    <row r="1688" spans="1:6">
      <c r="A1688" s="30">
        <f t="shared" si="55"/>
        <v>44778</v>
      </c>
      <c r="B1688" s="32" t="s">
        <v>199</v>
      </c>
      <c r="C1688" t="s">
        <v>207</v>
      </c>
      <c r="D1688">
        <f>IF(B1688=$AB$2,$AC$2,$AC$3)</f>
        <v>1</v>
      </c>
      <c r="E1688">
        <f>IF(ISBLANK(C1688),0,VLOOKUP(C1688,$AE$2:$AF$7,2,0))</f>
        <v>0.5</v>
      </c>
      <c r="F1688">
        <f t="shared" si="56"/>
        <v>0.5</v>
      </c>
    </row>
    <row r="1689" spans="1:6">
      <c r="A1689" s="30">
        <f t="shared" si="55"/>
        <v>44779</v>
      </c>
      <c r="B1689" s="32" t="s">
        <v>199</v>
      </c>
      <c r="C1689" t="s">
        <v>207</v>
      </c>
      <c r="D1689">
        <f>IF(B1689=$AB$2,$AC$2,$AC$3)</f>
        <v>1</v>
      </c>
      <c r="E1689">
        <f>IF(ISBLANK(C1689),0,VLOOKUP(C1689,$AE$2:$AF$7,2,0))</f>
        <v>0.5</v>
      </c>
      <c r="F1689">
        <f t="shared" si="56"/>
        <v>0.5</v>
      </c>
    </row>
    <row r="1690" spans="1:6">
      <c r="A1690" s="30">
        <f t="shared" si="55"/>
        <v>44780</v>
      </c>
      <c r="B1690" s="32" t="s">
        <v>199</v>
      </c>
      <c r="C1690" t="s">
        <v>207</v>
      </c>
      <c r="D1690">
        <f>IF(B1690=$AB$2,$AC$2,$AC$3)</f>
        <v>1</v>
      </c>
      <c r="E1690">
        <f>IF(ISBLANK(C1690),0,VLOOKUP(C1690,$AE$2:$AF$7,2,0))</f>
        <v>0.5</v>
      </c>
      <c r="F1690">
        <f t="shared" si="56"/>
        <v>0.5</v>
      </c>
    </row>
    <row r="1691" spans="1:6">
      <c r="A1691" s="30">
        <f t="shared" si="55"/>
        <v>44781</v>
      </c>
      <c r="B1691" s="32" t="s">
        <v>199</v>
      </c>
      <c r="C1691" t="s">
        <v>207</v>
      </c>
      <c r="D1691">
        <f>IF(B1691=$AB$2,$AC$2,$AC$3)</f>
        <v>1</v>
      </c>
      <c r="E1691">
        <f>IF(ISBLANK(C1691),0,VLOOKUP(C1691,$AE$2:$AF$7,2,0))</f>
        <v>0.5</v>
      </c>
      <c r="F1691">
        <f t="shared" si="56"/>
        <v>0.5</v>
      </c>
    </row>
    <row r="1692" spans="1:6">
      <c r="A1692" s="30">
        <f t="shared" si="55"/>
        <v>44782</v>
      </c>
      <c r="B1692" s="32" t="s">
        <v>199</v>
      </c>
      <c r="C1692" t="s">
        <v>207</v>
      </c>
      <c r="D1692">
        <f>IF(B1692=$AB$2,$AC$2,$AC$3)</f>
        <v>1</v>
      </c>
      <c r="E1692">
        <f>IF(ISBLANK(C1692),0,VLOOKUP(C1692,$AE$2:$AF$7,2,0))</f>
        <v>0.5</v>
      </c>
      <c r="F1692">
        <f t="shared" si="56"/>
        <v>0.5</v>
      </c>
    </row>
    <row r="1693" spans="1:6">
      <c r="A1693" s="30">
        <f t="shared" si="55"/>
        <v>44783</v>
      </c>
      <c r="B1693" s="32" t="s">
        <v>199</v>
      </c>
      <c r="C1693" t="s">
        <v>207</v>
      </c>
      <c r="D1693">
        <f>IF(B1693=$AB$2,$AC$2,$AC$3)</f>
        <v>1</v>
      </c>
      <c r="E1693">
        <f>IF(ISBLANK(C1693),0,VLOOKUP(C1693,$AE$2:$AF$7,2,0))</f>
        <v>0.5</v>
      </c>
      <c r="F1693">
        <f t="shared" si="56"/>
        <v>0.5</v>
      </c>
    </row>
    <row r="1694" spans="1:6">
      <c r="A1694" s="30">
        <f t="shared" si="55"/>
        <v>44784</v>
      </c>
      <c r="B1694" s="32" t="s">
        <v>199</v>
      </c>
      <c r="C1694" t="s">
        <v>207</v>
      </c>
      <c r="D1694">
        <f>IF(B1694=$AB$2,$AC$2,$AC$3)</f>
        <v>1</v>
      </c>
      <c r="E1694">
        <f>IF(ISBLANK(C1694),0,VLOOKUP(C1694,$AE$2:$AF$7,2,0))</f>
        <v>0.5</v>
      </c>
      <c r="F1694">
        <f t="shared" si="56"/>
        <v>0.5</v>
      </c>
    </row>
    <row r="1695" spans="1:6">
      <c r="A1695" s="30">
        <f t="shared" si="55"/>
        <v>44785</v>
      </c>
      <c r="B1695" s="32" t="s">
        <v>199</v>
      </c>
      <c r="C1695" t="s">
        <v>207</v>
      </c>
      <c r="D1695">
        <f>IF(B1695=$AB$2,$AC$2,$AC$3)</f>
        <v>1</v>
      </c>
      <c r="E1695">
        <f>IF(ISBLANK(C1695),0,VLOOKUP(C1695,$AE$2:$AF$7,2,0))</f>
        <v>0.5</v>
      </c>
      <c r="F1695">
        <f t="shared" si="56"/>
        <v>0.5</v>
      </c>
    </row>
    <row r="1696" spans="1:6">
      <c r="A1696" s="30">
        <f t="shared" si="55"/>
        <v>44786</v>
      </c>
      <c r="B1696" s="32" t="s">
        <v>199</v>
      </c>
      <c r="C1696" t="s">
        <v>207</v>
      </c>
      <c r="D1696">
        <f>IF(B1696=$AB$2,$AC$2,$AC$3)</f>
        <v>1</v>
      </c>
      <c r="E1696">
        <f>IF(ISBLANK(C1696),0,VLOOKUP(C1696,$AE$2:$AF$7,2,0))</f>
        <v>0.5</v>
      </c>
      <c r="F1696">
        <f t="shared" si="56"/>
        <v>0.5</v>
      </c>
    </row>
    <row r="1697" spans="1:6">
      <c r="A1697" s="30">
        <f t="shared" si="55"/>
        <v>44787</v>
      </c>
      <c r="B1697" s="32" t="s">
        <v>199</v>
      </c>
      <c r="C1697" t="s">
        <v>207</v>
      </c>
      <c r="D1697">
        <f>IF(B1697=$AB$2,$AC$2,$AC$3)</f>
        <v>1</v>
      </c>
      <c r="E1697">
        <f>IF(ISBLANK(C1697),0,VLOOKUP(C1697,$AE$2:$AF$7,2,0))</f>
        <v>0.5</v>
      </c>
      <c r="F1697">
        <f t="shared" si="56"/>
        <v>0.5</v>
      </c>
    </row>
    <row r="1698" spans="1:6">
      <c r="A1698" s="30">
        <f t="shared" si="55"/>
        <v>44788</v>
      </c>
      <c r="B1698" s="32" t="s">
        <v>199</v>
      </c>
      <c r="C1698" t="s">
        <v>207</v>
      </c>
      <c r="D1698">
        <f>IF(B1698=$AB$2,$AC$2,$AC$3)</f>
        <v>1</v>
      </c>
      <c r="E1698">
        <f>IF(ISBLANK(C1698),0,VLOOKUP(C1698,$AE$2:$AF$7,2,0))</f>
        <v>0.5</v>
      </c>
      <c r="F1698">
        <f t="shared" si="56"/>
        <v>0.5</v>
      </c>
    </row>
    <row r="1699" spans="1:6">
      <c r="A1699" s="30">
        <f t="shared" si="55"/>
        <v>44789</v>
      </c>
      <c r="B1699" s="32" t="s">
        <v>199</v>
      </c>
      <c r="C1699" t="s">
        <v>207</v>
      </c>
      <c r="D1699">
        <f>IF(B1699=$AB$2,$AC$2,$AC$3)</f>
        <v>1</v>
      </c>
      <c r="E1699">
        <f>IF(ISBLANK(C1699),0,VLOOKUP(C1699,$AE$2:$AF$7,2,0))</f>
        <v>0.5</v>
      </c>
      <c r="F1699">
        <f t="shared" si="56"/>
        <v>0.5</v>
      </c>
    </row>
    <row r="1700" spans="1:6">
      <c r="A1700" s="30">
        <f t="shared" si="55"/>
        <v>44790</v>
      </c>
      <c r="B1700" s="32" t="s">
        <v>199</v>
      </c>
      <c r="C1700" t="s">
        <v>207</v>
      </c>
      <c r="D1700">
        <f>IF(B1700=$AB$2,$AC$2,$AC$3)</f>
        <v>1</v>
      </c>
      <c r="E1700">
        <f>IF(ISBLANK(C1700),0,VLOOKUP(C1700,$AE$2:$AF$7,2,0))</f>
        <v>0.5</v>
      </c>
      <c r="F1700">
        <f t="shared" si="56"/>
        <v>0.5</v>
      </c>
    </row>
    <row r="1701" spans="1:6">
      <c r="A1701" s="30">
        <f t="shared" si="55"/>
        <v>44791</v>
      </c>
      <c r="B1701" s="32" t="s">
        <v>199</v>
      </c>
      <c r="C1701" t="s">
        <v>207</v>
      </c>
      <c r="D1701">
        <f>IF(B1701=$AB$2,$AC$2,$AC$3)</f>
        <v>1</v>
      </c>
      <c r="E1701">
        <f>IF(ISBLANK(C1701),0,VLOOKUP(C1701,$AE$2:$AF$7,2,0))</f>
        <v>0.5</v>
      </c>
      <c r="F1701">
        <f t="shared" si="56"/>
        <v>0.5</v>
      </c>
    </row>
    <row r="1702" spans="1:6">
      <c r="A1702" s="30">
        <f t="shared" si="55"/>
        <v>44792</v>
      </c>
      <c r="B1702" s="32" t="s">
        <v>199</v>
      </c>
      <c r="C1702" t="s">
        <v>207</v>
      </c>
      <c r="D1702">
        <f>IF(B1702=$AB$2,$AC$2,$AC$3)</f>
        <v>1</v>
      </c>
      <c r="E1702">
        <f>IF(ISBLANK(C1702),0,VLOOKUP(C1702,$AE$2:$AF$7,2,0))</f>
        <v>0.5</v>
      </c>
      <c r="F1702">
        <f t="shared" si="56"/>
        <v>0.5</v>
      </c>
    </row>
    <row r="1703" spans="1:6">
      <c r="A1703" s="30">
        <f t="shared" si="55"/>
        <v>44793</v>
      </c>
      <c r="B1703" s="32" t="s">
        <v>199</v>
      </c>
      <c r="C1703" t="s">
        <v>207</v>
      </c>
      <c r="D1703">
        <f>IF(B1703=$AB$2,$AC$2,$AC$3)</f>
        <v>1</v>
      </c>
      <c r="E1703">
        <f>IF(ISBLANK(C1703),0,VLOOKUP(C1703,$AE$2:$AF$7,2,0))</f>
        <v>0.5</v>
      </c>
      <c r="F1703">
        <f t="shared" si="56"/>
        <v>0.5</v>
      </c>
    </row>
    <row r="1704" spans="1:6">
      <c r="A1704" s="30">
        <f t="shared" si="55"/>
        <v>44794</v>
      </c>
      <c r="B1704" s="32" t="s">
        <v>199</v>
      </c>
      <c r="C1704" t="s">
        <v>207</v>
      </c>
      <c r="D1704">
        <f>IF(B1704=$AB$2,$AC$2,$AC$3)</f>
        <v>1</v>
      </c>
      <c r="E1704">
        <f>IF(ISBLANK(C1704),0,VLOOKUP(C1704,$AE$2:$AF$7,2,0))</f>
        <v>0.5</v>
      </c>
      <c r="F1704">
        <f t="shared" si="56"/>
        <v>0.5</v>
      </c>
    </row>
    <row r="1705" spans="1:6">
      <c r="A1705" s="30">
        <f t="shared" si="55"/>
        <v>44795</v>
      </c>
      <c r="B1705" s="32" t="s">
        <v>199</v>
      </c>
      <c r="C1705" t="s">
        <v>207</v>
      </c>
      <c r="D1705">
        <f>IF(B1705=$AB$2,$AC$2,$AC$3)</f>
        <v>1</v>
      </c>
      <c r="E1705">
        <f>IF(ISBLANK(C1705),0,VLOOKUP(C1705,$AE$2:$AF$7,2,0))</f>
        <v>0.5</v>
      </c>
      <c r="F1705">
        <f t="shared" si="56"/>
        <v>0.5</v>
      </c>
    </row>
    <row r="1706" spans="1:6">
      <c r="A1706" s="30">
        <f t="shared" si="55"/>
        <v>44796</v>
      </c>
      <c r="B1706" s="32" t="s">
        <v>199</v>
      </c>
      <c r="C1706" t="s">
        <v>207</v>
      </c>
      <c r="D1706">
        <f>IF(B1706=$AB$2,$AC$2,$AC$3)</f>
        <v>1</v>
      </c>
      <c r="E1706">
        <f>IF(ISBLANK(C1706),0,VLOOKUP(C1706,$AE$2:$AF$7,2,0))</f>
        <v>0.5</v>
      </c>
      <c r="F1706">
        <f t="shared" si="56"/>
        <v>0.5</v>
      </c>
    </row>
    <row r="1707" spans="1:6">
      <c r="A1707" s="30">
        <f t="shared" si="55"/>
        <v>44797</v>
      </c>
      <c r="B1707" s="32" t="s">
        <v>199</v>
      </c>
      <c r="C1707" t="s">
        <v>207</v>
      </c>
      <c r="D1707">
        <f>IF(B1707=$AB$2,$AC$2,$AC$3)</f>
        <v>1</v>
      </c>
      <c r="E1707">
        <f>IF(ISBLANK(C1707),0,VLOOKUP(C1707,$AE$2:$AF$7,2,0))</f>
        <v>0.5</v>
      </c>
      <c r="F1707">
        <f t="shared" si="56"/>
        <v>0.5</v>
      </c>
    </row>
    <row r="1708" spans="1:6">
      <c r="A1708" s="30">
        <f t="shared" si="55"/>
        <v>44798</v>
      </c>
      <c r="B1708" s="32" t="s">
        <v>199</v>
      </c>
      <c r="C1708" t="s">
        <v>207</v>
      </c>
      <c r="D1708">
        <f>IF(B1708=$AB$2,$AC$2,$AC$3)</f>
        <v>1</v>
      </c>
      <c r="E1708">
        <f>IF(ISBLANK(C1708),0,VLOOKUP(C1708,$AE$2:$AF$7,2,0))</f>
        <v>0.5</v>
      </c>
      <c r="F1708">
        <f t="shared" si="56"/>
        <v>0.5</v>
      </c>
    </row>
    <row r="1709" spans="1:6">
      <c r="A1709" s="30">
        <f t="shared" si="55"/>
        <v>44799</v>
      </c>
      <c r="B1709" s="32" t="s">
        <v>199</v>
      </c>
      <c r="C1709" t="s">
        <v>207</v>
      </c>
      <c r="D1709">
        <f>IF(B1709=$AB$2,$AC$2,$AC$3)</f>
        <v>1</v>
      </c>
      <c r="E1709">
        <f>IF(ISBLANK(C1709),0,VLOOKUP(C1709,$AE$2:$AF$7,2,0))</f>
        <v>0.5</v>
      </c>
      <c r="F1709">
        <f t="shared" si="56"/>
        <v>0.5</v>
      </c>
    </row>
    <row r="1710" spans="1:6">
      <c r="A1710" s="30">
        <f t="shared" si="55"/>
        <v>44800</v>
      </c>
      <c r="B1710" s="32" t="s">
        <v>199</v>
      </c>
      <c r="C1710" t="s">
        <v>207</v>
      </c>
      <c r="D1710">
        <f>IF(B1710=$AB$2,$AC$2,$AC$3)</f>
        <v>1</v>
      </c>
      <c r="E1710">
        <f>IF(ISBLANK(C1710),0,VLOOKUP(C1710,$AE$2:$AF$7,2,0))</f>
        <v>0.5</v>
      </c>
      <c r="F1710">
        <f t="shared" si="56"/>
        <v>0.5</v>
      </c>
    </row>
    <row r="1711" spans="1:6">
      <c r="A1711" s="30">
        <f t="shared" si="55"/>
        <v>44801</v>
      </c>
      <c r="B1711" s="32" t="s">
        <v>199</v>
      </c>
      <c r="C1711" t="s">
        <v>207</v>
      </c>
      <c r="D1711">
        <f>IF(B1711=$AB$2,$AC$2,$AC$3)</f>
        <v>1</v>
      </c>
      <c r="E1711">
        <f>IF(ISBLANK(C1711),0,VLOOKUP(C1711,$AE$2:$AF$7,2,0))</f>
        <v>0.5</v>
      </c>
      <c r="F1711">
        <f t="shared" si="56"/>
        <v>0.5</v>
      </c>
    </row>
    <row r="1712" spans="1:6">
      <c r="A1712" s="30">
        <f t="shared" si="55"/>
        <v>44802</v>
      </c>
      <c r="B1712" s="32" t="s">
        <v>199</v>
      </c>
      <c r="C1712" t="s">
        <v>207</v>
      </c>
      <c r="D1712">
        <f>IF(B1712=$AB$2,$AC$2,$AC$3)</f>
        <v>1</v>
      </c>
      <c r="E1712">
        <f>IF(ISBLANK(C1712),0,VLOOKUP(C1712,$AE$2:$AF$7,2,0))</f>
        <v>0.5</v>
      </c>
      <c r="F1712">
        <f t="shared" si="56"/>
        <v>0.5</v>
      </c>
    </row>
    <row r="1713" spans="1:6">
      <c r="A1713" s="30">
        <f>A1712+1</f>
        <v>44803</v>
      </c>
      <c r="B1713" s="32" t="s">
        <v>199</v>
      </c>
      <c r="C1713" t="s">
        <v>207</v>
      </c>
      <c r="D1713">
        <f>IF(B1713=$AB$2,$AC$2,$AC$3)</f>
        <v>1</v>
      </c>
      <c r="E1713">
        <f>IF(ISBLANK(C1713),0,VLOOKUP(C1713,$AE$2:$AF$7,2,0))</f>
        <v>0.5</v>
      </c>
      <c r="F1713">
        <f t="shared" si="56"/>
        <v>0.5</v>
      </c>
    </row>
    <row r="1714" spans="1:6">
      <c r="A1714" s="30">
        <f t="shared" ref="A1714:A1777" si="57">A1713+1</f>
        <v>44804</v>
      </c>
      <c r="B1714" s="32" t="s">
        <v>199</v>
      </c>
      <c r="C1714" t="s">
        <v>207</v>
      </c>
      <c r="D1714">
        <f>IF(B1714=$AB$2,$AC$2,$AC$3)</f>
        <v>1</v>
      </c>
      <c r="E1714">
        <f>IF(ISBLANK(C1714),0,VLOOKUP(C1714,$AE$2:$AF$7,2,0))</f>
        <v>0.5</v>
      </c>
      <c r="F1714">
        <f t="shared" si="56"/>
        <v>0.5</v>
      </c>
    </row>
    <row r="1715" spans="1:6">
      <c r="A1715" s="30">
        <f t="shared" si="57"/>
        <v>44805</v>
      </c>
      <c r="B1715" s="32" t="s">
        <v>199</v>
      </c>
      <c r="C1715" t="s">
        <v>207</v>
      </c>
      <c r="D1715">
        <f>IF(B1715=$AB$2,$AC$2,$AC$3)</f>
        <v>1</v>
      </c>
      <c r="E1715">
        <f>IF(ISBLANK(C1715),0,VLOOKUP(C1715,$AE$2:$AF$7,2,0))</f>
        <v>0.5</v>
      </c>
      <c r="F1715">
        <f t="shared" si="56"/>
        <v>0.5</v>
      </c>
    </row>
    <row r="1716" spans="1:6">
      <c r="A1716" s="30">
        <f t="shared" si="57"/>
        <v>44806</v>
      </c>
      <c r="B1716" s="32" t="s">
        <v>199</v>
      </c>
      <c r="C1716" t="s">
        <v>207</v>
      </c>
      <c r="D1716">
        <f>IF(B1716=$AB$2,$AC$2,$AC$3)</f>
        <v>1</v>
      </c>
      <c r="E1716">
        <f>IF(ISBLANK(C1716),0,VLOOKUP(C1716,$AE$2:$AF$7,2,0))</f>
        <v>0.5</v>
      </c>
      <c r="F1716">
        <f t="shared" si="56"/>
        <v>0.5</v>
      </c>
    </row>
    <row r="1717" spans="1:6">
      <c r="A1717" s="30">
        <f t="shared" si="57"/>
        <v>44807</v>
      </c>
      <c r="B1717" s="32" t="s">
        <v>199</v>
      </c>
      <c r="C1717" t="s">
        <v>207</v>
      </c>
      <c r="D1717">
        <f>IF(B1717=$AB$2,$AC$2,$AC$3)</f>
        <v>1</v>
      </c>
      <c r="E1717">
        <f>IF(ISBLANK(C1717),0,VLOOKUP(C1717,$AE$2:$AF$7,2,0))</f>
        <v>0.5</v>
      </c>
      <c r="F1717">
        <f t="shared" si="56"/>
        <v>0.5</v>
      </c>
    </row>
    <row r="1718" spans="1:6">
      <c r="A1718" s="30">
        <f t="shared" si="57"/>
        <v>44808</v>
      </c>
      <c r="B1718" s="32" t="s">
        <v>199</v>
      </c>
      <c r="C1718" t="s">
        <v>207</v>
      </c>
      <c r="D1718">
        <f>IF(B1718=$AB$2,$AC$2,$AC$3)</f>
        <v>1</v>
      </c>
      <c r="E1718">
        <f>IF(ISBLANK(C1718),0,VLOOKUP(C1718,$AE$2:$AF$7,2,0))</f>
        <v>0.5</v>
      </c>
      <c r="F1718">
        <f t="shared" si="56"/>
        <v>0.5</v>
      </c>
    </row>
    <row r="1719" spans="1:6">
      <c r="A1719" s="30">
        <f t="shared" si="57"/>
        <v>44809</v>
      </c>
      <c r="B1719" s="32" t="s">
        <v>199</v>
      </c>
      <c r="C1719" t="s">
        <v>207</v>
      </c>
      <c r="D1719">
        <f>IF(B1719=$AB$2,$AC$2,$AC$3)</f>
        <v>1</v>
      </c>
      <c r="E1719">
        <f>IF(ISBLANK(C1719),0,VLOOKUP(C1719,$AE$2:$AF$7,2,0))</f>
        <v>0.5</v>
      </c>
      <c r="F1719">
        <f t="shared" si="56"/>
        <v>0.5</v>
      </c>
    </row>
    <row r="1720" spans="1:6">
      <c r="A1720" s="30">
        <f t="shared" si="57"/>
        <v>44810</v>
      </c>
      <c r="B1720" s="32" t="s">
        <v>199</v>
      </c>
      <c r="C1720" t="s">
        <v>207</v>
      </c>
      <c r="D1720">
        <f>IF(B1720=$AB$2,$AC$2,$AC$3)</f>
        <v>1</v>
      </c>
      <c r="E1720">
        <f>IF(ISBLANK(C1720),0,VLOOKUP(C1720,$AE$2:$AF$7,2,0))</f>
        <v>0.5</v>
      </c>
      <c r="F1720">
        <f t="shared" si="56"/>
        <v>0.5</v>
      </c>
    </row>
    <row r="1721" spans="1:6">
      <c r="A1721" s="30">
        <f t="shared" si="57"/>
        <v>44811</v>
      </c>
      <c r="B1721" s="32" t="s">
        <v>199</v>
      </c>
      <c r="C1721" t="s">
        <v>207</v>
      </c>
      <c r="D1721">
        <f>IF(B1721=$AB$2,$AC$2,$AC$3)</f>
        <v>1</v>
      </c>
      <c r="E1721">
        <f>IF(ISBLANK(C1721),0,VLOOKUP(C1721,$AE$2:$AF$7,2,0))</f>
        <v>0.5</v>
      </c>
      <c r="F1721">
        <f t="shared" si="56"/>
        <v>0.5</v>
      </c>
    </row>
    <row r="1722" spans="1:6">
      <c r="A1722" s="30">
        <f t="shared" si="57"/>
        <v>44812</v>
      </c>
      <c r="B1722" s="32" t="s">
        <v>199</v>
      </c>
      <c r="C1722" t="s">
        <v>207</v>
      </c>
      <c r="D1722">
        <f>IF(B1722=$AB$2,$AC$2,$AC$3)</f>
        <v>1</v>
      </c>
      <c r="E1722">
        <f>IF(ISBLANK(C1722),0,VLOOKUP(C1722,$AE$2:$AF$7,2,0))</f>
        <v>0.5</v>
      </c>
      <c r="F1722">
        <f t="shared" si="56"/>
        <v>0.5</v>
      </c>
    </row>
    <row r="1723" spans="1:6">
      <c r="A1723" s="30">
        <f t="shared" si="57"/>
        <v>44813</v>
      </c>
      <c r="B1723" s="32" t="s">
        <v>199</v>
      </c>
      <c r="C1723" t="s">
        <v>207</v>
      </c>
      <c r="D1723">
        <f>IF(B1723=$AB$2,$AC$2,$AC$3)</f>
        <v>1</v>
      </c>
      <c r="E1723">
        <f>IF(ISBLANK(C1723),0,VLOOKUP(C1723,$AE$2:$AF$7,2,0))</f>
        <v>0.5</v>
      </c>
      <c r="F1723">
        <f t="shared" si="56"/>
        <v>0.5</v>
      </c>
    </row>
    <row r="1724" spans="1:6">
      <c r="A1724" s="30">
        <f t="shared" si="57"/>
        <v>44814</v>
      </c>
      <c r="B1724" s="32" t="s">
        <v>199</v>
      </c>
      <c r="C1724" t="s">
        <v>207</v>
      </c>
      <c r="D1724">
        <f>IF(B1724=$AB$2,$AC$2,$AC$3)</f>
        <v>1</v>
      </c>
      <c r="E1724">
        <f>IF(ISBLANK(C1724),0,VLOOKUP(C1724,$AE$2:$AF$7,2,0))</f>
        <v>0.5</v>
      </c>
      <c r="F1724">
        <f t="shared" si="56"/>
        <v>0.5</v>
      </c>
    </row>
    <row r="1725" spans="1:6">
      <c r="A1725" s="30">
        <f t="shared" si="57"/>
        <v>44815</v>
      </c>
      <c r="B1725" s="32" t="s">
        <v>199</v>
      </c>
      <c r="C1725" t="s">
        <v>207</v>
      </c>
      <c r="D1725">
        <f>IF(B1725=$AB$2,$AC$2,$AC$3)</f>
        <v>1</v>
      </c>
      <c r="E1725">
        <f>IF(ISBLANK(C1725),0,VLOOKUP(C1725,$AE$2:$AF$7,2,0))</f>
        <v>0.5</v>
      </c>
      <c r="F1725">
        <f t="shared" si="56"/>
        <v>0.5</v>
      </c>
    </row>
    <row r="1726" spans="1:6">
      <c r="A1726" s="30">
        <f t="shared" si="57"/>
        <v>44816</v>
      </c>
      <c r="B1726" s="32" t="s">
        <v>199</v>
      </c>
      <c r="C1726" t="s">
        <v>207</v>
      </c>
      <c r="D1726">
        <f>IF(B1726=$AB$2,$AC$2,$AC$3)</f>
        <v>1</v>
      </c>
      <c r="E1726">
        <f>IF(ISBLANK(C1726),0,VLOOKUP(C1726,$AE$2:$AF$7,2,0))</f>
        <v>0.5</v>
      </c>
      <c r="F1726">
        <f t="shared" si="56"/>
        <v>0.5</v>
      </c>
    </row>
    <row r="1727" spans="1:6">
      <c r="A1727" s="30">
        <f t="shared" si="57"/>
        <v>44817</v>
      </c>
      <c r="B1727" s="32" t="s">
        <v>199</v>
      </c>
      <c r="C1727" t="s">
        <v>207</v>
      </c>
      <c r="D1727">
        <f>IF(B1727=$AB$2,$AC$2,$AC$3)</f>
        <v>1</v>
      </c>
      <c r="E1727">
        <f>IF(ISBLANK(C1727),0,VLOOKUP(C1727,$AE$2:$AF$7,2,0))</f>
        <v>0.5</v>
      </c>
      <c r="F1727">
        <f t="shared" si="56"/>
        <v>0.5</v>
      </c>
    </row>
    <row r="1728" spans="1:6">
      <c r="A1728" s="30">
        <f t="shared" si="57"/>
        <v>44818</v>
      </c>
      <c r="B1728" s="32" t="s">
        <v>199</v>
      </c>
      <c r="C1728" t="s">
        <v>207</v>
      </c>
      <c r="D1728">
        <f>IF(B1728=$AB$2,$AC$2,$AC$3)</f>
        <v>1</v>
      </c>
      <c r="E1728">
        <f>IF(ISBLANK(C1728),0,VLOOKUP(C1728,$AE$2:$AF$7,2,0))</f>
        <v>0.5</v>
      </c>
      <c r="F1728">
        <f t="shared" si="56"/>
        <v>0.5</v>
      </c>
    </row>
    <row r="1729" spans="1:6">
      <c r="A1729" s="30">
        <f t="shared" si="57"/>
        <v>44819</v>
      </c>
      <c r="B1729" s="32" t="s">
        <v>199</v>
      </c>
      <c r="C1729" t="s">
        <v>207</v>
      </c>
      <c r="D1729">
        <f>IF(B1729=$AB$2,$AC$2,$AC$3)</f>
        <v>1</v>
      </c>
      <c r="E1729">
        <f>IF(ISBLANK(C1729),0,VLOOKUP(C1729,$AE$2:$AF$7,2,0))</f>
        <v>0.5</v>
      </c>
      <c r="F1729">
        <f t="shared" si="56"/>
        <v>0.5</v>
      </c>
    </row>
    <row r="1730" spans="1:6">
      <c r="A1730" s="30">
        <f t="shared" si="57"/>
        <v>44820</v>
      </c>
      <c r="B1730" s="32" t="s">
        <v>199</v>
      </c>
      <c r="C1730" t="s">
        <v>207</v>
      </c>
      <c r="D1730">
        <f>IF(B1730=$AB$2,$AC$2,$AC$3)</f>
        <v>1</v>
      </c>
      <c r="E1730">
        <f>IF(ISBLANK(C1730),0,VLOOKUP(C1730,$AE$2:$AF$7,2,0))</f>
        <v>0.5</v>
      </c>
      <c r="F1730">
        <f t="shared" si="56"/>
        <v>0.5</v>
      </c>
    </row>
    <row r="1731" spans="1:6">
      <c r="A1731" s="30">
        <f t="shared" si="57"/>
        <v>44821</v>
      </c>
      <c r="B1731" s="32" t="s">
        <v>199</v>
      </c>
      <c r="C1731" t="s">
        <v>207</v>
      </c>
      <c r="D1731">
        <f>IF(B1731=$AB$2,$AC$2,$AC$3)</f>
        <v>1</v>
      </c>
      <c r="E1731">
        <f>IF(ISBLANK(C1731),0,VLOOKUP(C1731,$AE$2:$AF$7,2,0))</f>
        <v>0.5</v>
      </c>
      <c r="F1731">
        <f t="shared" ref="F1731:F1794" si="58">D1731*E1731</f>
        <v>0.5</v>
      </c>
    </row>
    <row r="1732" spans="1:6">
      <c r="A1732" s="30">
        <f t="shared" si="57"/>
        <v>44822</v>
      </c>
      <c r="B1732" s="32" t="s">
        <v>199</v>
      </c>
      <c r="C1732" t="s">
        <v>207</v>
      </c>
      <c r="D1732">
        <f>IF(B1732=$AB$2,$AC$2,$AC$3)</f>
        <v>1</v>
      </c>
      <c r="E1732">
        <f>IF(ISBLANK(C1732),0,VLOOKUP(C1732,$AE$2:$AF$7,2,0))</f>
        <v>0.5</v>
      </c>
      <c r="F1732">
        <f t="shared" si="58"/>
        <v>0.5</v>
      </c>
    </row>
    <row r="1733" spans="1:6">
      <c r="A1733" s="30">
        <f t="shared" si="57"/>
        <v>44823</v>
      </c>
      <c r="B1733" s="32" t="s">
        <v>199</v>
      </c>
      <c r="C1733" t="s">
        <v>207</v>
      </c>
      <c r="D1733">
        <f>IF(B1733=$AB$2,$AC$2,$AC$3)</f>
        <v>1</v>
      </c>
      <c r="E1733">
        <f>IF(ISBLANK(C1733),0,VLOOKUP(C1733,$AE$2:$AF$7,2,0))</f>
        <v>0.5</v>
      </c>
      <c r="F1733">
        <f t="shared" si="58"/>
        <v>0.5</v>
      </c>
    </row>
    <row r="1734" spans="1:6">
      <c r="A1734" s="30">
        <f t="shared" si="57"/>
        <v>44824</v>
      </c>
      <c r="B1734" s="32" t="s">
        <v>199</v>
      </c>
      <c r="C1734" t="s">
        <v>207</v>
      </c>
      <c r="D1734">
        <f>IF(B1734=$AB$2,$AC$2,$AC$3)</f>
        <v>1</v>
      </c>
      <c r="E1734">
        <f>IF(ISBLANK(C1734),0,VLOOKUP(C1734,$AE$2:$AF$7,2,0))</f>
        <v>0.5</v>
      </c>
      <c r="F1734">
        <f t="shared" si="58"/>
        <v>0.5</v>
      </c>
    </row>
    <row r="1735" spans="1:6">
      <c r="A1735" s="30">
        <f t="shared" si="57"/>
        <v>44825</v>
      </c>
      <c r="B1735" s="32" t="s">
        <v>199</v>
      </c>
      <c r="C1735" t="s">
        <v>207</v>
      </c>
      <c r="D1735">
        <f>IF(B1735=$AB$2,$AC$2,$AC$3)</f>
        <v>1</v>
      </c>
      <c r="E1735">
        <f>IF(ISBLANK(C1735),0,VLOOKUP(C1735,$AE$2:$AF$7,2,0))</f>
        <v>0.5</v>
      </c>
      <c r="F1735">
        <f t="shared" si="58"/>
        <v>0.5</v>
      </c>
    </row>
    <row r="1736" spans="1:6">
      <c r="A1736" s="30">
        <f t="shared" si="57"/>
        <v>44826</v>
      </c>
      <c r="B1736" s="32" t="s">
        <v>199</v>
      </c>
      <c r="C1736" t="s">
        <v>207</v>
      </c>
      <c r="D1736">
        <f>IF(B1736=$AB$2,$AC$2,$AC$3)</f>
        <v>1</v>
      </c>
      <c r="E1736">
        <f>IF(ISBLANK(C1736),0,VLOOKUP(C1736,$AE$2:$AF$7,2,0))</f>
        <v>0.5</v>
      </c>
      <c r="F1736">
        <f t="shared" si="58"/>
        <v>0.5</v>
      </c>
    </row>
    <row r="1737" spans="1:6">
      <c r="A1737" s="30">
        <f t="shared" si="57"/>
        <v>44827</v>
      </c>
      <c r="B1737" s="32" t="s">
        <v>199</v>
      </c>
      <c r="C1737" t="s">
        <v>207</v>
      </c>
      <c r="D1737">
        <f>IF(B1737=$AB$2,$AC$2,$AC$3)</f>
        <v>1</v>
      </c>
      <c r="E1737">
        <f>IF(ISBLANK(C1737),0,VLOOKUP(C1737,$AE$2:$AF$7,2,0))</f>
        <v>0.5</v>
      </c>
      <c r="F1737">
        <f t="shared" si="58"/>
        <v>0.5</v>
      </c>
    </row>
    <row r="1738" spans="1:6">
      <c r="A1738" s="30">
        <f t="shared" si="57"/>
        <v>44828</v>
      </c>
      <c r="B1738" s="32" t="s">
        <v>199</v>
      </c>
      <c r="C1738" t="s">
        <v>207</v>
      </c>
      <c r="D1738">
        <f>IF(B1738=$AB$2,$AC$2,$AC$3)</f>
        <v>1</v>
      </c>
      <c r="E1738">
        <f>IF(ISBLANK(C1738),0,VLOOKUP(C1738,$AE$2:$AF$7,2,0))</f>
        <v>0.5</v>
      </c>
      <c r="F1738">
        <f t="shared" si="58"/>
        <v>0.5</v>
      </c>
    </row>
    <row r="1739" spans="1:6">
      <c r="A1739" s="30">
        <f t="shared" si="57"/>
        <v>44829</v>
      </c>
      <c r="B1739" s="32" t="s">
        <v>199</v>
      </c>
      <c r="C1739" t="s">
        <v>207</v>
      </c>
      <c r="D1739">
        <f>IF(B1739=$AB$2,$AC$2,$AC$3)</f>
        <v>1</v>
      </c>
      <c r="E1739">
        <f>IF(ISBLANK(C1739),0,VLOOKUP(C1739,$AE$2:$AF$7,2,0))</f>
        <v>0.5</v>
      </c>
      <c r="F1739">
        <f t="shared" si="58"/>
        <v>0.5</v>
      </c>
    </row>
    <row r="1740" spans="1:6">
      <c r="A1740" s="30">
        <f t="shared" si="57"/>
        <v>44830</v>
      </c>
      <c r="B1740" s="32" t="s">
        <v>199</v>
      </c>
      <c r="C1740" t="s">
        <v>207</v>
      </c>
      <c r="D1740">
        <f>IF(B1740=$AB$2,$AC$2,$AC$3)</f>
        <v>1</v>
      </c>
      <c r="E1740">
        <f>IF(ISBLANK(C1740),0,VLOOKUP(C1740,$AE$2:$AF$7,2,0))</f>
        <v>0.5</v>
      </c>
      <c r="F1740">
        <f t="shared" si="58"/>
        <v>0.5</v>
      </c>
    </row>
    <row r="1741" spans="1:6">
      <c r="A1741" s="30">
        <f t="shared" si="57"/>
        <v>44831</v>
      </c>
      <c r="B1741" s="32" t="s">
        <v>199</v>
      </c>
      <c r="C1741" t="s">
        <v>207</v>
      </c>
      <c r="D1741">
        <f>IF(B1741=$AB$2,$AC$2,$AC$3)</f>
        <v>1</v>
      </c>
      <c r="E1741">
        <f>IF(ISBLANK(C1741),0,VLOOKUP(C1741,$AE$2:$AF$7,2,0))</f>
        <v>0.5</v>
      </c>
      <c r="F1741">
        <f t="shared" si="58"/>
        <v>0.5</v>
      </c>
    </row>
    <row r="1742" spans="1:6">
      <c r="A1742" s="30">
        <f t="shared" si="57"/>
        <v>44832</v>
      </c>
      <c r="B1742" s="32" t="s">
        <v>199</v>
      </c>
      <c r="C1742" t="s">
        <v>207</v>
      </c>
      <c r="D1742">
        <f>IF(B1742=$AB$2,$AC$2,$AC$3)</f>
        <v>1</v>
      </c>
      <c r="E1742">
        <f>IF(ISBLANK(C1742),0,VLOOKUP(C1742,$AE$2:$AF$7,2,0))</f>
        <v>0.5</v>
      </c>
      <c r="F1742">
        <f t="shared" si="58"/>
        <v>0.5</v>
      </c>
    </row>
    <row r="1743" spans="1:6">
      <c r="A1743" s="30">
        <f t="shared" si="57"/>
        <v>44833</v>
      </c>
      <c r="B1743" s="32" t="s">
        <v>199</v>
      </c>
      <c r="C1743" t="s">
        <v>207</v>
      </c>
      <c r="D1743">
        <f>IF(B1743=$AB$2,$AC$2,$AC$3)</f>
        <v>1</v>
      </c>
      <c r="E1743">
        <f>IF(ISBLANK(C1743),0,VLOOKUP(C1743,$AE$2:$AF$7,2,0))</f>
        <v>0.5</v>
      </c>
      <c r="F1743">
        <f t="shared" si="58"/>
        <v>0.5</v>
      </c>
    </row>
    <row r="1744" spans="1:6">
      <c r="A1744" s="30">
        <f t="shared" si="57"/>
        <v>44834</v>
      </c>
      <c r="B1744" s="32" t="s">
        <v>199</v>
      </c>
      <c r="C1744" t="s">
        <v>207</v>
      </c>
      <c r="D1744">
        <f>IF(B1744=$AB$2,$AC$2,$AC$3)</f>
        <v>1</v>
      </c>
      <c r="E1744">
        <f>IF(ISBLANK(C1744),0,VLOOKUP(C1744,$AE$2:$AF$7,2,0))</f>
        <v>0.5</v>
      </c>
      <c r="F1744">
        <f t="shared" si="58"/>
        <v>0.5</v>
      </c>
    </row>
    <row r="1745" spans="1:6">
      <c r="A1745" s="30">
        <f t="shared" si="57"/>
        <v>44835</v>
      </c>
      <c r="B1745" s="32" t="s">
        <v>199</v>
      </c>
      <c r="C1745" t="s">
        <v>207</v>
      </c>
      <c r="D1745">
        <f>IF(B1745=$AB$2,$AC$2,$AC$3)</f>
        <v>1</v>
      </c>
      <c r="E1745">
        <f>IF(ISBLANK(C1745),0,VLOOKUP(C1745,$AE$2:$AF$7,2,0))</f>
        <v>0.5</v>
      </c>
      <c r="F1745">
        <f t="shared" si="58"/>
        <v>0.5</v>
      </c>
    </row>
    <row r="1746" spans="1:6">
      <c r="A1746" s="30">
        <f t="shared" si="57"/>
        <v>44836</v>
      </c>
      <c r="B1746" s="32" t="s">
        <v>199</v>
      </c>
      <c r="C1746" t="s">
        <v>207</v>
      </c>
      <c r="D1746">
        <f>IF(B1746=$AB$2,$AC$2,$AC$3)</f>
        <v>1</v>
      </c>
      <c r="E1746">
        <f>IF(ISBLANK(C1746),0,VLOOKUP(C1746,$AE$2:$AF$7,2,0))</f>
        <v>0.5</v>
      </c>
      <c r="F1746">
        <f t="shared" si="58"/>
        <v>0.5</v>
      </c>
    </row>
    <row r="1747" spans="1:6">
      <c r="A1747" s="30">
        <f t="shared" si="57"/>
        <v>44837</v>
      </c>
      <c r="B1747" s="32" t="s">
        <v>199</v>
      </c>
      <c r="C1747" t="s">
        <v>207</v>
      </c>
      <c r="D1747">
        <f>IF(B1747=$AB$2,$AC$2,$AC$3)</f>
        <v>1</v>
      </c>
      <c r="E1747">
        <f>IF(ISBLANK(C1747),0,VLOOKUP(C1747,$AE$2:$AF$7,2,0))</f>
        <v>0.5</v>
      </c>
      <c r="F1747">
        <f t="shared" si="58"/>
        <v>0.5</v>
      </c>
    </row>
    <row r="1748" spans="1:6">
      <c r="A1748" s="30">
        <f t="shared" si="57"/>
        <v>44838</v>
      </c>
      <c r="B1748" s="32" t="s">
        <v>199</v>
      </c>
      <c r="C1748" t="s">
        <v>207</v>
      </c>
      <c r="D1748">
        <f>IF(B1748=$AB$2,$AC$2,$AC$3)</f>
        <v>1</v>
      </c>
      <c r="E1748">
        <f>IF(ISBLANK(C1748),0,VLOOKUP(C1748,$AE$2:$AF$7,2,0))</f>
        <v>0.5</v>
      </c>
      <c r="F1748">
        <f t="shared" si="58"/>
        <v>0.5</v>
      </c>
    </row>
    <row r="1749" spans="1:6">
      <c r="A1749" s="30">
        <f t="shared" si="57"/>
        <v>44839</v>
      </c>
      <c r="B1749" s="32" t="s">
        <v>199</v>
      </c>
      <c r="C1749" t="s">
        <v>207</v>
      </c>
      <c r="D1749">
        <f>IF(B1749=$AB$2,$AC$2,$AC$3)</f>
        <v>1</v>
      </c>
      <c r="E1749">
        <f>IF(ISBLANK(C1749),0,VLOOKUP(C1749,$AE$2:$AF$7,2,0))</f>
        <v>0.5</v>
      </c>
      <c r="F1749">
        <f t="shared" si="58"/>
        <v>0.5</v>
      </c>
    </row>
    <row r="1750" spans="1:6">
      <c r="A1750" s="30">
        <f t="shared" si="57"/>
        <v>44840</v>
      </c>
      <c r="B1750" s="32" t="s">
        <v>199</v>
      </c>
      <c r="C1750" t="s">
        <v>207</v>
      </c>
      <c r="D1750">
        <f>IF(B1750=$AB$2,$AC$2,$AC$3)</f>
        <v>1</v>
      </c>
      <c r="E1750">
        <f>IF(ISBLANK(C1750),0,VLOOKUP(C1750,$AE$2:$AF$7,2,0))</f>
        <v>0.5</v>
      </c>
      <c r="F1750">
        <f t="shared" si="58"/>
        <v>0.5</v>
      </c>
    </row>
    <row r="1751" spans="1:6">
      <c r="A1751" s="30">
        <f t="shared" si="57"/>
        <v>44841</v>
      </c>
      <c r="B1751" s="32" t="s">
        <v>199</v>
      </c>
      <c r="C1751" t="s">
        <v>207</v>
      </c>
      <c r="D1751">
        <f>IF(B1751=$AB$2,$AC$2,$AC$3)</f>
        <v>1</v>
      </c>
      <c r="E1751">
        <f>IF(ISBLANK(C1751),0,VLOOKUP(C1751,$AE$2:$AF$7,2,0))</f>
        <v>0.5</v>
      </c>
      <c r="F1751">
        <f t="shared" si="58"/>
        <v>0.5</v>
      </c>
    </row>
    <row r="1752" spans="1:6">
      <c r="A1752" s="30">
        <f t="shared" si="57"/>
        <v>44842</v>
      </c>
      <c r="B1752" s="32" t="s">
        <v>199</v>
      </c>
      <c r="C1752" t="s">
        <v>207</v>
      </c>
      <c r="D1752">
        <f>IF(B1752=$AB$2,$AC$2,$AC$3)</f>
        <v>1</v>
      </c>
      <c r="E1752">
        <f>IF(ISBLANK(C1752),0,VLOOKUP(C1752,$AE$2:$AF$7,2,0))</f>
        <v>0.5</v>
      </c>
      <c r="F1752">
        <f t="shared" si="58"/>
        <v>0.5</v>
      </c>
    </row>
    <row r="1753" spans="1:6">
      <c r="A1753" s="30">
        <f t="shared" si="57"/>
        <v>44843</v>
      </c>
      <c r="B1753" s="32" t="s">
        <v>199</v>
      </c>
      <c r="C1753" t="s">
        <v>207</v>
      </c>
      <c r="D1753">
        <f>IF(B1753=$AB$2,$AC$2,$AC$3)</f>
        <v>1</v>
      </c>
      <c r="E1753">
        <f>IF(ISBLANK(C1753),0,VLOOKUP(C1753,$AE$2:$AF$7,2,0))</f>
        <v>0.5</v>
      </c>
      <c r="F1753">
        <f t="shared" si="58"/>
        <v>0.5</v>
      </c>
    </row>
    <row r="1754" spans="1:6">
      <c r="A1754" s="30">
        <f t="shared" si="57"/>
        <v>44844</v>
      </c>
      <c r="B1754" s="32" t="s">
        <v>199</v>
      </c>
      <c r="C1754" t="s">
        <v>207</v>
      </c>
      <c r="D1754">
        <f>IF(B1754=$AB$2,$AC$2,$AC$3)</f>
        <v>1</v>
      </c>
      <c r="E1754">
        <f>IF(ISBLANK(C1754),0,VLOOKUP(C1754,$AE$2:$AF$7,2,0))</f>
        <v>0.5</v>
      </c>
      <c r="F1754">
        <f t="shared" si="58"/>
        <v>0.5</v>
      </c>
    </row>
    <row r="1755" spans="1:6">
      <c r="A1755" s="30">
        <f t="shared" si="57"/>
        <v>44845</v>
      </c>
      <c r="B1755" s="32" t="s">
        <v>199</v>
      </c>
      <c r="C1755" t="s">
        <v>207</v>
      </c>
      <c r="D1755">
        <f>IF(B1755=$AB$2,$AC$2,$AC$3)</f>
        <v>1</v>
      </c>
      <c r="E1755">
        <f>IF(ISBLANK(C1755),0,VLOOKUP(C1755,$AE$2:$AF$7,2,0))</f>
        <v>0.5</v>
      </c>
      <c r="F1755">
        <f t="shared" si="58"/>
        <v>0.5</v>
      </c>
    </row>
    <row r="1756" spans="1:6">
      <c r="A1756" s="30">
        <f t="shared" si="57"/>
        <v>44846</v>
      </c>
      <c r="B1756" s="32" t="s">
        <v>199</v>
      </c>
      <c r="C1756" t="s">
        <v>207</v>
      </c>
      <c r="D1756">
        <f>IF(B1756=$AB$2,$AC$2,$AC$3)</f>
        <v>1</v>
      </c>
      <c r="E1756">
        <f>IF(ISBLANK(C1756),0,VLOOKUP(C1756,$AE$2:$AF$7,2,0))</f>
        <v>0.5</v>
      </c>
      <c r="F1756">
        <f t="shared" si="58"/>
        <v>0.5</v>
      </c>
    </row>
    <row r="1757" spans="1:6">
      <c r="A1757" s="30">
        <f t="shared" si="57"/>
        <v>44847</v>
      </c>
      <c r="B1757" s="32" t="s">
        <v>199</v>
      </c>
      <c r="C1757" t="s">
        <v>207</v>
      </c>
      <c r="D1757">
        <f>IF(B1757=$AB$2,$AC$2,$AC$3)</f>
        <v>1</v>
      </c>
      <c r="E1757">
        <f>IF(ISBLANK(C1757),0,VLOOKUP(C1757,$AE$2:$AF$7,2,0))</f>
        <v>0.5</v>
      </c>
      <c r="F1757">
        <f t="shared" si="58"/>
        <v>0.5</v>
      </c>
    </row>
    <row r="1758" spans="1:6">
      <c r="A1758" s="30">
        <f t="shared" si="57"/>
        <v>44848</v>
      </c>
      <c r="B1758" s="32" t="s">
        <v>199</v>
      </c>
      <c r="C1758" t="s">
        <v>207</v>
      </c>
      <c r="D1758">
        <f>IF(B1758=$AB$2,$AC$2,$AC$3)</f>
        <v>1</v>
      </c>
      <c r="E1758">
        <f>IF(ISBLANK(C1758),0,VLOOKUP(C1758,$AE$2:$AF$7,2,0))</f>
        <v>0.5</v>
      </c>
      <c r="F1758">
        <f t="shared" si="58"/>
        <v>0.5</v>
      </c>
    </row>
    <row r="1759" spans="1:6">
      <c r="A1759" s="30">
        <f t="shared" si="57"/>
        <v>44849</v>
      </c>
      <c r="B1759" s="32" t="s">
        <v>199</v>
      </c>
      <c r="C1759" t="s">
        <v>207</v>
      </c>
      <c r="D1759">
        <f>IF(B1759=$AB$2,$AC$2,$AC$3)</f>
        <v>1</v>
      </c>
      <c r="E1759">
        <f>IF(ISBLANK(C1759),0,VLOOKUP(C1759,$AE$2:$AF$7,2,0))</f>
        <v>0.5</v>
      </c>
      <c r="F1759">
        <f t="shared" si="58"/>
        <v>0.5</v>
      </c>
    </row>
    <row r="1760" spans="1:6">
      <c r="A1760" s="30">
        <f t="shared" si="57"/>
        <v>44850</v>
      </c>
      <c r="B1760" s="32" t="s">
        <v>199</v>
      </c>
      <c r="C1760" t="s">
        <v>207</v>
      </c>
      <c r="D1760">
        <f>IF(B1760=$AB$2,$AC$2,$AC$3)</f>
        <v>1</v>
      </c>
      <c r="E1760">
        <f>IF(ISBLANK(C1760),0,VLOOKUP(C1760,$AE$2:$AF$7,2,0))</f>
        <v>0.5</v>
      </c>
      <c r="F1760">
        <f t="shared" si="58"/>
        <v>0.5</v>
      </c>
    </row>
    <row r="1761" spans="1:6">
      <c r="A1761" s="30">
        <f t="shared" si="57"/>
        <v>44851</v>
      </c>
      <c r="B1761" s="32" t="s">
        <v>199</v>
      </c>
      <c r="C1761" t="s">
        <v>207</v>
      </c>
      <c r="D1761">
        <f>IF(B1761=$AB$2,$AC$2,$AC$3)</f>
        <v>1</v>
      </c>
      <c r="E1761">
        <f>IF(ISBLANK(C1761),0,VLOOKUP(C1761,$AE$2:$AF$7,2,0))</f>
        <v>0.5</v>
      </c>
      <c r="F1761">
        <f t="shared" si="58"/>
        <v>0.5</v>
      </c>
    </row>
    <row r="1762" spans="1:6">
      <c r="A1762" s="30">
        <f t="shared" si="57"/>
        <v>44852</v>
      </c>
      <c r="B1762" s="32" t="s">
        <v>199</v>
      </c>
      <c r="C1762" t="s">
        <v>207</v>
      </c>
      <c r="D1762">
        <f>IF(B1762=$AB$2,$AC$2,$AC$3)</f>
        <v>1</v>
      </c>
      <c r="E1762">
        <f>IF(ISBLANK(C1762),0,VLOOKUP(C1762,$AE$2:$AF$7,2,0))</f>
        <v>0.5</v>
      </c>
      <c r="F1762">
        <f t="shared" si="58"/>
        <v>0.5</v>
      </c>
    </row>
    <row r="1763" spans="1:6">
      <c r="A1763" s="30">
        <f t="shared" si="57"/>
        <v>44853</v>
      </c>
      <c r="B1763" s="32" t="s">
        <v>199</v>
      </c>
      <c r="C1763" t="s">
        <v>207</v>
      </c>
      <c r="D1763">
        <f>IF(B1763=$AB$2,$AC$2,$AC$3)</f>
        <v>1</v>
      </c>
      <c r="E1763">
        <f>IF(ISBLANK(C1763),0,VLOOKUP(C1763,$AE$2:$AF$7,2,0))</f>
        <v>0.5</v>
      </c>
      <c r="F1763">
        <f t="shared" si="58"/>
        <v>0.5</v>
      </c>
    </row>
    <row r="1764" spans="1:6">
      <c r="A1764" s="30">
        <f t="shared" si="57"/>
        <v>44854</v>
      </c>
      <c r="B1764" s="32" t="s">
        <v>199</v>
      </c>
      <c r="C1764" t="s">
        <v>207</v>
      </c>
      <c r="D1764">
        <f>IF(B1764=$AB$2,$AC$2,$AC$3)</f>
        <v>1</v>
      </c>
      <c r="E1764">
        <f>IF(ISBLANK(C1764),0,VLOOKUP(C1764,$AE$2:$AF$7,2,0))</f>
        <v>0.5</v>
      </c>
      <c r="F1764">
        <f t="shared" si="58"/>
        <v>0.5</v>
      </c>
    </row>
    <row r="1765" spans="1:6">
      <c r="A1765" s="30">
        <f t="shared" si="57"/>
        <v>44855</v>
      </c>
      <c r="B1765" s="32" t="s">
        <v>199</v>
      </c>
      <c r="C1765" t="s">
        <v>207</v>
      </c>
      <c r="D1765">
        <f>IF(B1765=$AB$2,$AC$2,$AC$3)</f>
        <v>1</v>
      </c>
      <c r="E1765">
        <f>IF(ISBLANK(C1765),0,VLOOKUP(C1765,$AE$2:$AF$7,2,0))</f>
        <v>0.5</v>
      </c>
      <c r="F1765">
        <f t="shared" si="58"/>
        <v>0.5</v>
      </c>
    </row>
    <row r="1766" spans="1:6">
      <c r="A1766" s="30">
        <f t="shared" si="57"/>
        <v>44856</v>
      </c>
      <c r="B1766" s="32" t="s">
        <v>199</v>
      </c>
      <c r="C1766" t="s">
        <v>207</v>
      </c>
      <c r="D1766">
        <f>IF(B1766=$AB$2,$AC$2,$AC$3)</f>
        <v>1</v>
      </c>
      <c r="E1766">
        <f>IF(ISBLANK(C1766),0,VLOOKUP(C1766,$AE$2:$AF$7,2,0))</f>
        <v>0.5</v>
      </c>
      <c r="F1766">
        <f t="shared" si="58"/>
        <v>0.5</v>
      </c>
    </row>
    <row r="1767" spans="1:6">
      <c r="A1767" s="30">
        <f t="shared" si="57"/>
        <v>44857</v>
      </c>
      <c r="B1767" s="32" t="s">
        <v>199</v>
      </c>
      <c r="C1767" t="s">
        <v>207</v>
      </c>
      <c r="D1767">
        <f>IF(B1767=$AB$2,$AC$2,$AC$3)</f>
        <v>1</v>
      </c>
      <c r="E1767">
        <f>IF(ISBLANK(C1767),0,VLOOKUP(C1767,$AE$2:$AF$7,2,0))</f>
        <v>0.5</v>
      </c>
      <c r="F1767">
        <f t="shared" si="58"/>
        <v>0.5</v>
      </c>
    </row>
    <row r="1768" spans="1:6">
      <c r="A1768" s="30">
        <f t="shared" si="57"/>
        <v>44858</v>
      </c>
      <c r="B1768" s="32" t="s">
        <v>199</v>
      </c>
      <c r="C1768" t="s">
        <v>207</v>
      </c>
      <c r="D1768">
        <f>IF(B1768=$AB$2,$AC$2,$AC$3)</f>
        <v>1</v>
      </c>
      <c r="E1768">
        <f>IF(ISBLANK(C1768),0,VLOOKUP(C1768,$AE$2:$AF$7,2,0))</f>
        <v>0.5</v>
      </c>
      <c r="F1768">
        <f t="shared" si="58"/>
        <v>0.5</v>
      </c>
    </row>
    <row r="1769" spans="1:6">
      <c r="A1769" s="30">
        <f t="shared" si="57"/>
        <v>44859</v>
      </c>
      <c r="B1769" s="32" t="s">
        <v>199</v>
      </c>
      <c r="C1769" t="s">
        <v>207</v>
      </c>
      <c r="D1769">
        <f>IF(B1769=$AB$2,$AC$2,$AC$3)</f>
        <v>1</v>
      </c>
      <c r="E1769">
        <f>IF(ISBLANK(C1769),0,VLOOKUP(C1769,$AE$2:$AF$7,2,0))</f>
        <v>0.5</v>
      </c>
      <c r="F1769">
        <f t="shared" si="58"/>
        <v>0.5</v>
      </c>
    </row>
    <row r="1770" spans="1:6">
      <c r="A1770" s="30">
        <f t="shared" si="57"/>
        <v>44860</v>
      </c>
      <c r="B1770" s="32" t="s">
        <v>199</v>
      </c>
      <c r="C1770" t="s">
        <v>207</v>
      </c>
      <c r="D1770">
        <f>IF(B1770=$AB$2,$AC$2,$AC$3)</f>
        <v>1</v>
      </c>
      <c r="E1770">
        <f>IF(ISBLANK(C1770),0,VLOOKUP(C1770,$AE$2:$AF$7,2,0))</f>
        <v>0.5</v>
      </c>
      <c r="F1770">
        <f t="shared" si="58"/>
        <v>0.5</v>
      </c>
    </row>
    <row r="1771" spans="1:6">
      <c r="A1771" s="30">
        <f t="shared" si="57"/>
        <v>44861</v>
      </c>
      <c r="B1771" s="32" t="s">
        <v>199</v>
      </c>
      <c r="C1771" t="s">
        <v>207</v>
      </c>
      <c r="D1771">
        <f>IF(B1771=$AB$2,$AC$2,$AC$3)</f>
        <v>1</v>
      </c>
      <c r="E1771">
        <f>IF(ISBLANK(C1771),0,VLOOKUP(C1771,$AE$2:$AF$7,2,0))</f>
        <v>0.5</v>
      </c>
      <c r="F1771">
        <f t="shared" si="58"/>
        <v>0.5</v>
      </c>
    </row>
    <row r="1772" spans="1:6">
      <c r="A1772" s="30">
        <f t="shared" si="57"/>
        <v>44862</v>
      </c>
      <c r="B1772" s="32" t="s">
        <v>199</v>
      </c>
      <c r="C1772" t="s">
        <v>207</v>
      </c>
      <c r="D1772">
        <f>IF(B1772=$AB$2,$AC$2,$AC$3)</f>
        <v>1</v>
      </c>
      <c r="E1772">
        <f>IF(ISBLANK(C1772),0,VLOOKUP(C1772,$AE$2:$AF$7,2,0))</f>
        <v>0.5</v>
      </c>
      <c r="F1772">
        <f t="shared" si="58"/>
        <v>0.5</v>
      </c>
    </row>
    <row r="1773" spans="1:6">
      <c r="A1773" s="30">
        <f t="shared" si="57"/>
        <v>44863</v>
      </c>
      <c r="B1773" s="32" t="s">
        <v>199</v>
      </c>
      <c r="C1773" t="s">
        <v>207</v>
      </c>
      <c r="D1773">
        <f>IF(B1773=$AB$2,$AC$2,$AC$3)</f>
        <v>1</v>
      </c>
      <c r="E1773">
        <f>IF(ISBLANK(C1773),0,VLOOKUP(C1773,$AE$2:$AF$7,2,0))</f>
        <v>0.5</v>
      </c>
      <c r="F1773">
        <f t="shared" si="58"/>
        <v>0.5</v>
      </c>
    </row>
    <row r="1774" spans="1:6">
      <c r="A1774" s="30">
        <f t="shared" si="57"/>
        <v>44864</v>
      </c>
      <c r="B1774" s="32" t="s">
        <v>199</v>
      </c>
      <c r="C1774" t="s">
        <v>207</v>
      </c>
      <c r="D1774">
        <f>IF(B1774=$AB$2,$AC$2,$AC$3)</f>
        <v>1</v>
      </c>
      <c r="E1774">
        <f>IF(ISBLANK(C1774),0,VLOOKUP(C1774,$AE$2:$AF$7,2,0))</f>
        <v>0.5</v>
      </c>
      <c r="F1774">
        <f t="shared" si="58"/>
        <v>0.5</v>
      </c>
    </row>
    <row r="1775" spans="1:6">
      <c r="A1775" s="30">
        <f t="shared" si="57"/>
        <v>44865</v>
      </c>
      <c r="B1775" s="32" t="s">
        <v>199</v>
      </c>
      <c r="C1775" t="s">
        <v>207</v>
      </c>
      <c r="D1775">
        <f>IF(B1775=$AB$2,$AC$2,$AC$3)</f>
        <v>1</v>
      </c>
      <c r="E1775">
        <f>IF(ISBLANK(C1775),0,VLOOKUP(C1775,$AE$2:$AF$7,2,0))</f>
        <v>0.5</v>
      </c>
      <c r="F1775">
        <f t="shared" si="58"/>
        <v>0.5</v>
      </c>
    </row>
    <row r="1776" spans="1:6">
      <c r="A1776" s="30">
        <f t="shared" si="57"/>
        <v>44866</v>
      </c>
      <c r="B1776" s="32" t="s">
        <v>199</v>
      </c>
      <c r="C1776" t="s">
        <v>207</v>
      </c>
      <c r="D1776">
        <f>IF(B1776=$AB$2,$AC$2,$AC$3)</f>
        <v>1</v>
      </c>
      <c r="E1776">
        <f>IF(ISBLANK(C1776),0,VLOOKUP(C1776,$AE$2:$AF$7,2,0))</f>
        <v>0.5</v>
      </c>
      <c r="F1776">
        <f t="shared" si="58"/>
        <v>0.5</v>
      </c>
    </row>
    <row r="1777" spans="1:6">
      <c r="A1777" s="30">
        <f t="shared" si="57"/>
        <v>44867</v>
      </c>
      <c r="B1777" s="32" t="s">
        <v>199</v>
      </c>
      <c r="C1777" t="s">
        <v>207</v>
      </c>
      <c r="D1777">
        <f>IF(B1777=$AB$2,$AC$2,$AC$3)</f>
        <v>1</v>
      </c>
      <c r="E1777">
        <f>IF(ISBLANK(C1777),0,VLOOKUP(C1777,$AE$2:$AF$7,2,0))</f>
        <v>0.5</v>
      </c>
      <c r="F1777">
        <f t="shared" si="58"/>
        <v>0.5</v>
      </c>
    </row>
    <row r="1778" spans="1:6">
      <c r="A1778" s="30">
        <f t="shared" ref="A1778:A1826" si="59">A1777+1</f>
        <v>44868</v>
      </c>
      <c r="B1778" s="32" t="s">
        <v>199</v>
      </c>
      <c r="C1778" t="s">
        <v>207</v>
      </c>
      <c r="D1778">
        <f>IF(B1778=$AB$2,$AC$2,$AC$3)</f>
        <v>1</v>
      </c>
      <c r="E1778">
        <f>IF(ISBLANK(C1778),0,VLOOKUP(C1778,$AE$2:$AF$7,2,0))</f>
        <v>0.5</v>
      </c>
      <c r="F1778">
        <f t="shared" si="58"/>
        <v>0.5</v>
      </c>
    </row>
    <row r="1779" spans="1:6">
      <c r="A1779" s="30">
        <f t="shared" si="59"/>
        <v>44869</v>
      </c>
      <c r="B1779" s="32" t="s">
        <v>199</v>
      </c>
      <c r="C1779" t="s">
        <v>207</v>
      </c>
      <c r="D1779">
        <f>IF(B1779=$AB$2,$AC$2,$AC$3)</f>
        <v>1</v>
      </c>
      <c r="E1779">
        <f>IF(ISBLANK(C1779),0,VLOOKUP(C1779,$AE$2:$AF$7,2,0))</f>
        <v>0.5</v>
      </c>
      <c r="F1779">
        <f t="shared" si="58"/>
        <v>0.5</v>
      </c>
    </row>
    <row r="1780" spans="1:6">
      <c r="A1780" s="30">
        <f t="shared" si="59"/>
        <v>44870</v>
      </c>
      <c r="B1780" s="32" t="s">
        <v>199</v>
      </c>
      <c r="C1780" t="s">
        <v>207</v>
      </c>
      <c r="D1780">
        <f>IF(B1780=$AB$2,$AC$2,$AC$3)</f>
        <v>1</v>
      </c>
      <c r="E1780">
        <f>IF(ISBLANK(C1780),0,VLOOKUP(C1780,$AE$2:$AF$7,2,0))</f>
        <v>0.5</v>
      </c>
      <c r="F1780">
        <f t="shared" si="58"/>
        <v>0.5</v>
      </c>
    </row>
    <row r="1781" spans="1:6">
      <c r="A1781" s="30">
        <f t="shared" si="59"/>
        <v>44871</v>
      </c>
      <c r="B1781" s="32" t="s">
        <v>199</v>
      </c>
      <c r="C1781" t="s">
        <v>207</v>
      </c>
      <c r="D1781">
        <f>IF(B1781=$AB$2,$AC$2,$AC$3)</f>
        <v>1</v>
      </c>
      <c r="E1781">
        <f>IF(ISBLANK(C1781),0,VLOOKUP(C1781,$AE$2:$AF$7,2,0))</f>
        <v>0.5</v>
      </c>
      <c r="F1781">
        <f t="shared" si="58"/>
        <v>0.5</v>
      </c>
    </row>
    <row r="1782" spans="1:6">
      <c r="A1782" s="30">
        <f t="shared" si="59"/>
        <v>44872</v>
      </c>
      <c r="B1782" s="32" t="s">
        <v>199</v>
      </c>
      <c r="C1782" t="s">
        <v>207</v>
      </c>
      <c r="D1782">
        <f>IF(B1782=$AB$2,$AC$2,$AC$3)</f>
        <v>1</v>
      </c>
      <c r="E1782">
        <f>IF(ISBLANK(C1782),0,VLOOKUP(C1782,$AE$2:$AF$7,2,0))</f>
        <v>0.5</v>
      </c>
      <c r="F1782">
        <f t="shared" si="58"/>
        <v>0.5</v>
      </c>
    </row>
    <row r="1783" spans="1:6">
      <c r="A1783" s="30">
        <f t="shared" si="59"/>
        <v>44873</v>
      </c>
      <c r="B1783" s="32" t="s">
        <v>199</v>
      </c>
      <c r="C1783" t="s">
        <v>207</v>
      </c>
      <c r="D1783">
        <f>IF(B1783=$AB$2,$AC$2,$AC$3)</f>
        <v>1</v>
      </c>
      <c r="E1783">
        <f>IF(ISBLANK(C1783),0,VLOOKUP(C1783,$AE$2:$AF$7,2,0))</f>
        <v>0.5</v>
      </c>
      <c r="F1783">
        <f t="shared" si="58"/>
        <v>0.5</v>
      </c>
    </row>
    <row r="1784" spans="1:6">
      <c r="A1784" s="30">
        <f t="shared" si="59"/>
        <v>44874</v>
      </c>
      <c r="B1784" s="32" t="s">
        <v>199</v>
      </c>
      <c r="C1784" t="s">
        <v>207</v>
      </c>
      <c r="D1784">
        <f>IF(B1784=$AB$2,$AC$2,$AC$3)</f>
        <v>1</v>
      </c>
      <c r="E1784">
        <f>IF(ISBLANK(C1784),0,VLOOKUP(C1784,$AE$2:$AF$7,2,0))</f>
        <v>0.5</v>
      </c>
      <c r="F1784">
        <f t="shared" si="58"/>
        <v>0.5</v>
      </c>
    </row>
    <row r="1785" spans="1:6">
      <c r="A1785" s="30">
        <f t="shared" si="59"/>
        <v>44875</v>
      </c>
      <c r="B1785" s="32" t="s">
        <v>199</v>
      </c>
      <c r="C1785" t="s">
        <v>207</v>
      </c>
      <c r="D1785">
        <f>IF(B1785=$AB$2,$AC$2,$AC$3)</f>
        <v>1</v>
      </c>
      <c r="E1785">
        <f>IF(ISBLANK(C1785),0,VLOOKUP(C1785,$AE$2:$AF$7,2,0))</f>
        <v>0.5</v>
      </c>
      <c r="F1785">
        <f t="shared" si="58"/>
        <v>0.5</v>
      </c>
    </row>
    <row r="1786" spans="1:6">
      <c r="A1786" s="30">
        <f t="shared" si="59"/>
        <v>44876</v>
      </c>
      <c r="B1786" s="32" t="s">
        <v>199</v>
      </c>
      <c r="C1786" t="s">
        <v>207</v>
      </c>
      <c r="D1786">
        <f>IF(B1786=$AB$2,$AC$2,$AC$3)</f>
        <v>1</v>
      </c>
      <c r="E1786">
        <f>IF(ISBLANK(C1786),0,VLOOKUP(C1786,$AE$2:$AF$7,2,0))</f>
        <v>0.5</v>
      </c>
      <c r="F1786">
        <f t="shared" si="58"/>
        <v>0.5</v>
      </c>
    </row>
    <row r="1787" spans="1:6">
      <c r="A1787" s="30">
        <f t="shared" si="59"/>
        <v>44877</v>
      </c>
      <c r="B1787" s="32" t="s">
        <v>199</v>
      </c>
      <c r="C1787" t="s">
        <v>207</v>
      </c>
      <c r="D1787">
        <f>IF(B1787=$AB$2,$AC$2,$AC$3)</f>
        <v>1</v>
      </c>
      <c r="E1787">
        <f>IF(ISBLANK(C1787),0,VLOOKUP(C1787,$AE$2:$AF$7,2,0))</f>
        <v>0.5</v>
      </c>
      <c r="F1787">
        <f t="shared" si="58"/>
        <v>0.5</v>
      </c>
    </row>
    <row r="1788" spans="1:6">
      <c r="A1788" s="30">
        <f t="shared" si="59"/>
        <v>44878</v>
      </c>
      <c r="B1788" s="32" t="s">
        <v>199</v>
      </c>
      <c r="C1788" t="s">
        <v>207</v>
      </c>
      <c r="D1788">
        <f>IF(B1788=$AB$2,$AC$2,$AC$3)</f>
        <v>1</v>
      </c>
      <c r="E1788">
        <f>IF(ISBLANK(C1788),0,VLOOKUP(C1788,$AE$2:$AF$7,2,0))</f>
        <v>0.5</v>
      </c>
      <c r="F1788">
        <f t="shared" si="58"/>
        <v>0.5</v>
      </c>
    </row>
    <row r="1789" spans="1:6">
      <c r="A1789" s="30">
        <f t="shared" si="59"/>
        <v>44879</v>
      </c>
      <c r="B1789" s="32" t="s">
        <v>199</v>
      </c>
      <c r="C1789" t="s">
        <v>207</v>
      </c>
      <c r="D1789">
        <f>IF(B1789=$AB$2,$AC$2,$AC$3)</f>
        <v>1</v>
      </c>
      <c r="E1789">
        <f>IF(ISBLANK(C1789),0,VLOOKUP(C1789,$AE$2:$AF$7,2,0))</f>
        <v>0.5</v>
      </c>
      <c r="F1789">
        <f t="shared" si="58"/>
        <v>0.5</v>
      </c>
    </row>
    <row r="1790" spans="1:6">
      <c r="A1790" s="30">
        <f t="shared" si="59"/>
        <v>44880</v>
      </c>
      <c r="B1790" s="32" t="s">
        <v>199</v>
      </c>
      <c r="C1790" t="s">
        <v>207</v>
      </c>
      <c r="D1790">
        <f>IF(B1790=$AB$2,$AC$2,$AC$3)</f>
        <v>1</v>
      </c>
      <c r="E1790">
        <f>IF(ISBLANK(C1790),0,VLOOKUP(C1790,$AE$2:$AF$7,2,0))</f>
        <v>0.5</v>
      </c>
      <c r="F1790">
        <f t="shared" si="58"/>
        <v>0.5</v>
      </c>
    </row>
    <row r="1791" spans="1:6">
      <c r="A1791" s="30">
        <f t="shared" si="59"/>
        <v>44881</v>
      </c>
      <c r="B1791" s="32" t="s">
        <v>199</v>
      </c>
      <c r="C1791" t="s">
        <v>207</v>
      </c>
      <c r="D1791">
        <f>IF(B1791=$AB$2,$AC$2,$AC$3)</f>
        <v>1</v>
      </c>
      <c r="E1791">
        <f>IF(ISBLANK(C1791),0,VLOOKUP(C1791,$AE$2:$AF$7,2,0))</f>
        <v>0.5</v>
      </c>
      <c r="F1791">
        <f t="shared" si="58"/>
        <v>0.5</v>
      </c>
    </row>
    <row r="1792" spans="1:6">
      <c r="A1792" s="30">
        <f t="shared" si="59"/>
        <v>44882</v>
      </c>
      <c r="B1792" s="32" t="s">
        <v>199</v>
      </c>
      <c r="C1792" t="s">
        <v>207</v>
      </c>
      <c r="D1792">
        <f>IF(B1792=$AB$2,$AC$2,$AC$3)</f>
        <v>1</v>
      </c>
      <c r="E1792">
        <f>IF(ISBLANK(C1792),0,VLOOKUP(C1792,$AE$2:$AF$7,2,0))</f>
        <v>0.5</v>
      </c>
      <c r="F1792">
        <f t="shared" si="58"/>
        <v>0.5</v>
      </c>
    </row>
    <row r="1793" spans="1:6">
      <c r="A1793" s="30">
        <f t="shared" si="59"/>
        <v>44883</v>
      </c>
      <c r="B1793" s="32" t="s">
        <v>199</v>
      </c>
      <c r="C1793" t="s">
        <v>207</v>
      </c>
      <c r="D1793">
        <f>IF(B1793=$AB$2,$AC$2,$AC$3)</f>
        <v>1</v>
      </c>
      <c r="E1793">
        <f>IF(ISBLANK(C1793),0,VLOOKUP(C1793,$AE$2:$AF$7,2,0))</f>
        <v>0.5</v>
      </c>
      <c r="F1793">
        <f t="shared" si="58"/>
        <v>0.5</v>
      </c>
    </row>
    <row r="1794" spans="1:6">
      <c r="A1794" s="30">
        <f t="shared" si="59"/>
        <v>44884</v>
      </c>
      <c r="B1794" s="32" t="s">
        <v>199</v>
      </c>
      <c r="C1794" t="s">
        <v>207</v>
      </c>
      <c r="D1794">
        <f>IF(B1794=$AB$2,$AC$2,$AC$3)</f>
        <v>1</v>
      </c>
      <c r="E1794">
        <f>IF(ISBLANK(C1794),0,VLOOKUP(C1794,$AE$2:$AF$7,2,0))</f>
        <v>0.5</v>
      </c>
      <c r="F1794">
        <f t="shared" si="58"/>
        <v>0.5</v>
      </c>
    </row>
    <row r="1795" spans="1:6">
      <c r="A1795" s="30">
        <f t="shared" si="59"/>
        <v>44885</v>
      </c>
      <c r="B1795" s="32" t="s">
        <v>199</v>
      </c>
      <c r="C1795" t="s">
        <v>207</v>
      </c>
      <c r="D1795">
        <f>IF(B1795=$AB$2,$AC$2,$AC$3)</f>
        <v>1</v>
      </c>
      <c r="E1795">
        <f>IF(ISBLANK(C1795),0,VLOOKUP(C1795,$AE$2:$AF$7,2,0))</f>
        <v>0.5</v>
      </c>
      <c r="F1795">
        <f t="shared" ref="F1795:F1858" si="60">D1795*E1795</f>
        <v>0.5</v>
      </c>
    </row>
    <row r="1796" spans="1:6">
      <c r="A1796" s="30">
        <f t="shared" si="59"/>
        <v>44886</v>
      </c>
      <c r="B1796" s="32" t="s">
        <v>199</v>
      </c>
      <c r="C1796" t="s">
        <v>207</v>
      </c>
      <c r="D1796">
        <f>IF(B1796=$AB$2,$AC$2,$AC$3)</f>
        <v>1</v>
      </c>
      <c r="E1796">
        <f>IF(ISBLANK(C1796),0,VLOOKUP(C1796,$AE$2:$AF$7,2,0))</f>
        <v>0.5</v>
      </c>
      <c r="F1796">
        <f t="shared" si="60"/>
        <v>0.5</v>
      </c>
    </row>
    <row r="1797" spans="1:6">
      <c r="A1797" s="30">
        <f t="shared" si="59"/>
        <v>44887</v>
      </c>
      <c r="B1797" s="32" t="s">
        <v>199</v>
      </c>
      <c r="C1797" t="s">
        <v>207</v>
      </c>
      <c r="D1797">
        <f>IF(B1797=$AB$2,$AC$2,$AC$3)</f>
        <v>1</v>
      </c>
      <c r="E1797">
        <f>IF(ISBLANK(C1797),0,VLOOKUP(C1797,$AE$2:$AF$7,2,0))</f>
        <v>0.5</v>
      </c>
      <c r="F1797">
        <f t="shared" si="60"/>
        <v>0.5</v>
      </c>
    </row>
    <row r="1798" spans="1:6">
      <c r="A1798" s="30">
        <f t="shared" si="59"/>
        <v>44888</v>
      </c>
      <c r="B1798" s="32" t="s">
        <v>199</v>
      </c>
      <c r="C1798" t="s">
        <v>207</v>
      </c>
      <c r="D1798">
        <f>IF(B1798=$AB$2,$AC$2,$AC$3)</f>
        <v>1</v>
      </c>
      <c r="E1798">
        <f>IF(ISBLANK(C1798),0,VLOOKUP(C1798,$AE$2:$AF$7,2,0))</f>
        <v>0.5</v>
      </c>
      <c r="F1798">
        <f t="shared" si="60"/>
        <v>0.5</v>
      </c>
    </row>
    <row r="1799" spans="1:6">
      <c r="A1799" s="30">
        <f t="shared" si="59"/>
        <v>44889</v>
      </c>
      <c r="B1799" s="32" t="s">
        <v>199</v>
      </c>
      <c r="C1799" t="s">
        <v>207</v>
      </c>
      <c r="D1799">
        <f>IF(B1799=$AB$2,$AC$2,$AC$3)</f>
        <v>1</v>
      </c>
      <c r="E1799">
        <f>IF(ISBLANK(C1799),0,VLOOKUP(C1799,$AE$2:$AF$7,2,0))</f>
        <v>0.5</v>
      </c>
      <c r="F1799">
        <f t="shared" si="60"/>
        <v>0.5</v>
      </c>
    </row>
    <row r="1800" spans="1:6">
      <c r="A1800" s="30">
        <f t="shared" si="59"/>
        <v>44890</v>
      </c>
      <c r="B1800" s="32" t="s">
        <v>199</v>
      </c>
      <c r="C1800" t="s">
        <v>207</v>
      </c>
      <c r="D1800">
        <f>IF(B1800=$AB$2,$AC$2,$AC$3)</f>
        <v>1</v>
      </c>
      <c r="E1800">
        <f>IF(ISBLANK(C1800),0,VLOOKUP(C1800,$AE$2:$AF$7,2,0))</f>
        <v>0.5</v>
      </c>
      <c r="F1800">
        <f t="shared" si="60"/>
        <v>0.5</v>
      </c>
    </row>
    <row r="1801" spans="1:6">
      <c r="A1801" s="30">
        <f t="shared" si="59"/>
        <v>44891</v>
      </c>
      <c r="B1801" s="32" t="s">
        <v>199</v>
      </c>
      <c r="C1801" t="s">
        <v>207</v>
      </c>
      <c r="D1801">
        <f>IF(B1801=$AB$2,$AC$2,$AC$3)</f>
        <v>1</v>
      </c>
      <c r="E1801">
        <f>IF(ISBLANK(C1801),0,VLOOKUP(C1801,$AE$2:$AF$7,2,0))</f>
        <v>0.5</v>
      </c>
      <c r="F1801">
        <f t="shared" si="60"/>
        <v>0.5</v>
      </c>
    </row>
    <row r="1802" spans="1:6">
      <c r="A1802" s="30">
        <f t="shared" si="59"/>
        <v>44892</v>
      </c>
      <c r="B1802" s="32" t="s">
        <v>199</v>
      </c>
      <c r="C1802" t="s">
        <v>207</v>
      </c>
      <c r="D1802">
        <f>IF(B1802=$AB$2,$AC$2,$AC$3)</f>
        <v>1</v>
      </c>
      <c r="E1802">
        <f>IF(ISBLANK(C1802),0,VLOOKUP(C1802,$AE$2:$AF$7,2,0))</f>
        <v>0.5</v>
      </c>
      <c r="F1802">
        <f t="shared" si="60"/>
        <v>0.5</v>
      </c>
    </row>
    <row r="1803" spans="1:6">
      <c r="A1803" s="30">
        <f t="shared" si="59"/>
        <v>44893</v>
      </c>
      <c r="B1803" s="32" t="s">
        <v>199</v>
      </c>
      <c r="C1803" t="s">
        <v>207</v>
      </c>
      <c r="D1803">
        <f>IF(B1803=$AB$2,$AC$2,$AC$3)</f>
        <v>1</v>
      </c>
      <c r="E1803">
        <f>IF(ISBLANK(C1803),0,VLOOKUP(C1803,$AE$2:$AF$7,2,0))</f>
        <v>0.5</v>
      </c>
      <c r="F1803">
        <f t="shared" si="60"/>
        <v>0.5</v>
      </c>
    </row>
    <row r="1804" spans="1:6">
      <c r="A1804" s="30">
        <f t="shared" si="59"/>
        <v>44894</v>
      </c>
      <c r="B1804" s="32" t="s">
        <v>199</v>
      </c>
      <c r="C1804" t="s">
        <v>207</v>
      </c>
      <c r="D1804">
        <f>IF(B1804=$AB$2,$AC$2,$AC$3)</f>
        <v>1</v>
      </c>
      <c r="E1804">
        <f>IF(ISBLANK(C1804),0,VLOOKUP(C1804,$AE$2:$AF$7,2,0))</f>
        <v>0.5</v>
      </c>
      <c r="F1804">
        <f t="shared" si="60"/>
        <v>0.5</v>
      </c>
    </row>
    <row r="1805" spans="1:6">
      <c r="A1805" s="30">
        <f t="shared" si="59"/>
        <v>44895</v>
      </c>
      <c r="B1805" s="32" t="s">
        <v>199</v>
      </c>
      <c r="C1805" t="s">
        <v>207</v>
      </c>
      <c r="D1805">
        <f>IF(B1805=$AB$2,$AC$2,$AC$3)</f>
        <v>1</v>
      </c>
      <c r="E1805">
        <f>IF(ISBLANK(C1805),0,VLOOKUP(C1805,$AE$2:$AF$7,2,0))</f>
        <v>0.5</v>
      </c>
      <c r="F1805">
        <f t="shared" si="60"/>
        <v>0.5</v>
      </c>
    </row>
    <row r="1806" spans="1:6">
      <c r="A1806" s="30">
        <f t="shared" si="59"/>
        <v>44896</v>
      </c>
      <c r="B1806" s="32" t="s">
        <v>199</v>
      </c>
      <c r="C1806" t="s">
        <v>207</v>
      </c>
      <c r="D1806">
        <f>IF(B1806=$AB$2,$AC$2,$AC$3)</f>
        <v>1</v>
      </c>
      <c r="E1806">
        <f>IF(ISBLANK(C1806),0,VLOOKUP(C1806,$AE$2:$AF$7,2,0))</f>
        <v>0.5</v>
      </c>
      <c r="F1806">
        <f t="shared" si="60"/>
        <v>0.5</v>
      </c>
    </row>
    <row r="1807" spans="1:6">
      <c r="A1807" s="30">
        <f t="shared" si="59"/>
        <v>44897</v>
      </c>
      <c r="B1807" s="32" t="s">
        <v>199</v>
      </c>
      <c r="C1807" t="s">
        <v>207</v>
      </c>
      <c r="D1807">
        <f>IF(B1807=$AB$2,$AC$2,$AC$3)</f>
        <v>1</v>
      </c>
      <c r="E1807">
        <f>IF(ISBLANK(C1807),0,VLOOKUP(C1807,$AE$2:$AF$7,2,0))</f>
        <v>0.5</v>
      </c>
      <c r="F1807">
        <f t="shared" si="60"/>
        <v>0.5</v>
      </c>
    </row>
    <row r="1808" spans="1:6">
      <c r="A1808" s="30">
        <f t="shared" si="59"/>
        <v>44898</v>
      </c>
      <c r="B1808" s="32" t="s">
        <v>199</v>
      </c>
      <c r="C1808" t="s">
        <v>207</v>
      </c>
      <c r="D1808">
        <f>IF(B1808=$AB$2,$AC$2,$AC$3)</f>
        <v>1</v>
      </c>
      <c r="E1808">
        <f>IF(ISBLANK(C1808),0,VLOOKUP(C1808,$AE$2:$AF$7,2,0))</f>
        <v>0.5</v>
      </c>
      <c r="F1808">
        <f t="shared" si="60"/>
        <v>0.5</v>
      </c>
    </row>
    <row r="1809" spans="1:6">
      <c r="A1809" s="30">
        <f t="shared" si="59"/>
        <v>44899</v>
      </c>
      <c r="B1809" s="32" t="s">
        <v>199</v>
      </c>
      <c r="C1809" t="s">
        <v>207</v>
      </c>
      <c r="D1809">
        <f>IF(B1809=$AB$2,$AC$2,$AC$3)</f>
        <v>1</v>
      </c>
      <c r="E1809">
        <f>IF(ISBLANK(C1809),0,VLOOKUP(C1809,$AE$2:$AF$7,2,0))</f>
        <v>0.5</v>
      </c>
      <c r="F1809">
        <f t="shared" si="60"/>
        <v>0.5</v>
      </c>
    </row>
    <row r="1810" spans="1:6">
      <c r="A1810" s="30">
        <f t="shared" si="59"/>
        <v>44900</v>
      </c>
      <c r="B1810" s="32" t="s">
        <v>199</v>
      </c>
      <c r="C1810" t="s">
        <v>207</v>
      </c>
      <c r="D1810">
        <f>IF(B1810=$AB$2,$AC$2,$AC$3)</f>
        <v>1</v>
      </c>
      <c r="E1810">
        <f>IF(ISBLANK(C1810),0,VLOOKUP(C1810,$AE$2:$AF$7,2,0))</f>
        <v>0.5</v>
      </c>
      <c r="F1810">
        <f t="shared" si="60"/>
        <v>0.5</v>
      </c>
    </row>
    <row r="1811" spans="1:6">
      <c r="A1811" s="30">
        <f t="shared" si="59"/>
        <v>44901</v>
      </c>
      <c r="B1811" s="32" t="s">
        <v>199</v>
      </c>
      <c r="C1811" t="s">
        <v>207</v>
      </c>
      <c r="D1811">
        <f>IF(B1811=$AB$2,$AC$2,$AC$3)</f>
        <v>1</v>
      </c>
      <c r="E1811">
        <f>IF(ISBLANK(C1811),0,VLOOKUP(C1811,$AE$2:$AF$7,2,0))</f>
        <v>0.5</v>
      </c>
      <c r="F1811">
        <f t="shared" si="60"/>
        <v>0.5</v>
      </c>
    </row>
    <row r="1812" spans="1:6">
      <c r="A1812" s="30">
        <f t="shared" si="59"/>
        <v>44902</v>
      </c>
      <c r="B1812" s="32" t="s">
        <v>199</v>
      </c>
      <c r="C1812" t="s">
        <v>207</v>
      </c>
      <c r="D1812">
        <f>IF(B1812=$AB$2,$AC$2,$AC$3)</f>
        <v>1</v>
      </c>
      <c r="E1812">
        <f>IF(ISBLANK(C1812),0,VLOOKUP(C1812,$AE$2:$AF$7,2,0))</f>
        <v>0.5</v>
      </c>
      <c r="F1812">
        <f t="shared" si="60"/>
        <v>0.5</v>
      </c>
    </row>
    <row r="1813" spans="1:6">
      <c r="A1813" s="30">
        <f t="shared" si="59"/>
        <v>44903</v>
      </c>
      <c r="B1813" s="32" t="s">
        <v>199</v>
      </c>
      <c r="C1813" t="s">
        <v>207</v>
      </c>
      <c r="D1813">
        <f>IF(B1813=$AB$2,$AC$2,$AC$3)</f>
        <v>1</v>
      </c>
      <c r="E1813">
        <f>IF(ISBLANK(C1813),0,VLOOKUP(C1813,$AE$2:$AF$7,2,0))</f>
        <v>0.5</v>
      </c>
      <c r="F1813">
        <f t="shared" si="60"/>
        <v>0.5</v>
      </c>
    </row>
    <row r="1814" spans="1:6">
      <c r="A1814" s="30">
        <f t="shared" si="59"/>
        <v>44904</v>
      </c>
      <c r="B1814" s="32" t="s">
        <v>199</v>
      </c>
      <c r="C1814" t="s">
        <v>207</v>
      </c>
      <c r="D1814">
        <f>IF(B1814=$AB$2,$AC$2,$AC$3)</f>
        <v>1</v>
      </c>
      <c r="E1814">
        <f>IF(ISBLANK(C1814),0,VLOOKUP(C1814,$AE$2:$AF$7,2,0))</f>
        <v>0.5</v>
      </c>
      <c r="F1814">
        <f t="shared" si="60"/>
        <v>0.5</v>
      </c>
    </row>
    <row r="1815" spans="1:6">
      <c r="A1815" s="30">
        <f t="shared" si="59"/>
        <v>44905</v>
      </c>
      <c r="B1815" s="32" t="s">
        <v>199</v>
      </c>
      <c r="C1815" t="s">
        <v>207</v>
      </c>
      <c r="D1815">
        <f>IF(B1815=$AB$2,$AC$2,$AC$3)</f>
        <v>1</v>
      </c>
      <c r="E1815">
        <f>IF(ISBLANK(C1815),0,VLOOKUP(C1815,$AE$2:$AF$7,2,0))</f>
        <v>0.5</v>
      </c>
      <c r="F1815">
        <f t="shared" si="60"/>
        <v>0.5</v>
      </c>
    </row>
    <row r="1816" spans="1:6">
      <c r="A1816" s="30">
        <f t="shared" si="59"/>
        <v>44906</v>
      </c>
      <c r="B1816" s="32" t="s">
        <v>199</v>
      </c>
      <c r="C1816" t="s">
        <v>207</v>
      </c>
      <c r="D1816">
        <f>IF(B1816=$AB$2,$AC$2,$AC$3)</f>
        <v>1</v>
      </c>
      <c r="E1816">
        <f>IF(ISBLANK(C1816),0,VLOOKUP(C1816,$AE$2:$AF$7,2,0))</f>
        <v>0.5</v>
      </c>
      <c r="F1816">
        <f t="shared" si="60"/>
        <v>0.5</v>
      </c>
    </row>
    <row r="1817" spans="1:6">
      <c r="A1817" s="30">
        <f t="shared" si="59"/>
        <v>44907</v>
      </c>
      <c r="B1817" s="32" t="s">
        <v>199</v>
      </c>
      <c r="C1817" t="s">
        <v>207</v>
      </c>
      <c r="D1817">
        <f>IF(B1817=$AB$2,$AC$2,$AC$3)</f>
        <v>1</v>
      </c>
      <c r="E1817">
        <f>IF(ISBLANK(C1817),0,VLOOKUP(C1817,$AE$2:$AF$7,2,0))</f>
        <v>0.5</v>
      </c>
      <c r="F1817">
        <f t="shared" si="60"/>
        <v>0.5</v>
      </c>
    </row>
    <row r="1818" spans="1:6">
      <c r="A1818" s="30">
        <f t="shared" si="59"/>
        <v>44908</v>
      </c>
      <c r="B1818" s="32" t="s">
        <v>199</v>
      </c>
      <c r="C1818" t="s">
        <v>207</v>
      </c>
      <c r="D1818">
        <f>IF(B1818=$AB$2,$AC$2,$AC$3)</f>
        <v>1</v>
      </c>
      <c r="E1818">
        <f>IF(ISBLANK(C1818),0,VLOOKUP(C1818,$AE$2:$AF$7,2,0))</f>
        <v>0.5</v>
      </c>
      <c r="F1818">
        <f t="shared" si="60"/>
        <v>0.5</v>
      </c>
    </row>
    <row r="1819" spans="1:6">
      <c r="A1819" s="30">
        <f t="shared" si="59"/>
        <v>44909</v>
      </c>
      <c r="B1819" s="32" t="s">
        <v>199</v>
      </c>
      <c r="C1819" t="s">
        <v>207</v>
      </c>
      <c r="D1819">
        <f>IF(B1819=$AB$2,$AC$2,$AC$3)</f>
        <v>1</v>
      </c>
      <c r="E1819">
        <f>IF(ISBLANK(C1819),0,VLOOKUP(C1819,$AE$2:$AF$7,2,0))</f>
        <v>0.5</v>
      </c>
      <c r="F1819">
        <f t="shared" si="60"/>
        <v>0.5</v>
      </c>
    </row>
    <row r="1820" spans="1:6">
      <c r="A1820" s="30">
        <f t="shared" si="59"/>
        <v>44910</v>
      </c>
      <c r="B1820" s="32" t="s">
        <v>199</v>
      </c>
      <c r="C1820" t="s">
        <v>207</v>
      </c>
      <c r="D1820">
        <f>IF(B1820=$AB$2,$AC$2,$AC$3)</f>
        <v>1</v>
      </c>
      <c r="E1820">
        <f>IF(ISBLANK(C1820),0,VLOOKUP(C1820,$AE$2:$AF$7,2,0))</f>
        <v>0.5</v>
      </c>
      <c r="F1820">
        <f t="shared" si="60"/>
        <v>0.5</v>
      </c>
    </row>
    <row r="1821" spans="1:6">
      <c r="A1821" s="30">
        <f t="shared" si="59"/>
        <v>44911</v>
      </c>
      <c r="B1821" s="32" t="s">
        <v>199</v>
      </c>
      <c r="C1821" t="s">
        <v>207</v>
      </c>
      <c r="D1821">
        <f>IF(B1821=$AB$2,$AC$2,$AC$3)</f>
        <v>1</v>
      </c>
      <c r="E1821">
        <f>IF(ISBLANK(C1821),0,VLOOKUP(C1821,$AE$2:$AF$7,2,0))</f>
        <v>0.5</v>
      </c>
      <c r="F1821">
        <f t="shared" si="60"/>
        <v>0.5</v>
      </c>
    </row>
    <row r="1822" spans="1:6">
      <c r="A1822" s="30">
        <f t="shared" si="59"/>
        <v>44912</v>
      </c>
      <c r="B1822" s="32" t="s">
        <v>199</v>
      </c>
      <c r="C1822" t="s">
        <v>207</v>
      </c>
      <c r="D1822">
        <f>IF(B1822=$AB$2,$AC$2,$AC$3)</f>
        <v>1</v>
      </c>
      <c r="E1822">
        <f>IF(ISBLANK(C1822),0,VLOOKUP(C1822,$AE$2:$AF$7,2,0))</f>
        <v>0.5</v>
      </c>
      <c r="F1822">
        <f t="shared" si="60"/>
        <v>0.5</v>
      </c>
    </row>
    <row r="1823" spans="1:6">
      <c r="A1823" s="30">
        <f t="shared" si="59"/>
        <v>44913</v>
      </c>
      <c r="B1823" s="32" t="s">
        <v>199</v>
      </c>
      <c r="C1823" t="s">
        <v>207</v>
      </c>
      <c r="D1823">
        <f>IF(B1823=$AB$2,$AC$2,$AC$3)</f>
        <v>1</v>
      </c>
      <c r="E1823">
        <f>IF(ISBLANK(C1823),0,VLOOKUP(C1823,$AE$2:$AF$7,2,0))</f>
        <v>0.5</v>
      </c>
      <c r="F1823">
        <f t="shared" si="60"/>
        <v>0.5</v>
      </c>
    </row>
    <row r="1824" spans="1:6">
      <c r="A1824" s="30">
        <f t="shared" si="59"/>
        <v>44914</v>
      </c>
      <c r="B1824" s="32" t="s">
        <v>199</v>
      </c>
      <c r="C1824" t="s">
        <v>207</v>
      </c>
      <c r="D1824">
        <f>IF(B1824=$AB$2,$AC$2,$AC$3)</f>
        <v>1</v>
      </c>
      <c r="E1824">
        <f>IF(ISBLANK(C1824),0,VLOOKUP(C1824,$AE$2:$AF$7,2,0))</f>
        <v>0.5</v>
      </c>
      <c r="F1824">
        <f t="shared" si="60"/>
        <v>0.5</v>
      </c>
    </row>
    <row r="1825" spans="1:6">
      <c r="A1825" s="30">
        <f t="shared" si="59"/>
        <v>44915</v>
      </c>
      <c r="B1825" s="32" t="s">
        <v>199</v>
      </c>
      <c r="C1825" t="s">
        <v>207</v>
      </c>
      <c r="D1825">
        <f>IF(B1825=$AB$2,$AC$2,$AC$3)</f>
        <v>1</v>
      </c>
      <c r="E1825">
        <f>IF(ISBLANK(C1825),0,VLOOKUP(C1825,$AE$2:$AF$7,2,0))</f>
        <v>0.5</v>
      </c>
      <c r="F1825">
        <f t="shared" si="60"/>
        <v>0.5</v>
      </c>
    </row>
    <row r="1826" spans="1:6">
      <c r="A1826" s="30">
        <f t="shared" si="59"/>
        <v>44916</v>
      </c>
      <c r="B1826" s="32" t="s">
        <v>199</v>
      </c>
      <c r="C1826" t="s">
        <v>207</v>
      </c>
      <c r="D1826">
        <f>IF(B1826=$AB$2,$AC$2,$AC$3)</f>
        <v>1</v>
      </c>
      <c r="E1826">
        <f>IF(ISBLANK(C1826),0,VLOOKUP(C1826,$AE$2:$AF$7,2,0))</f>
        <v>0.5</v>
      </c>
      <c r="F1826">
        <f t="shared" si="60"/>
        <v>0.5</v>
      </c>
    </row>
    <row r="1827" spans="1:6">
      <c r="A1827" s="30">
        <f>A1826+1</f>
        <v>44917</v>
      </c>
      <c r="B1827" s="32" t="s">
        <v>199</v>
      </c>
      <c r="C1827" t="s">
        <v>207</v>
      </c>
      <c r="D1827">
        <f>IF(B1827=$AB$2,$AC$2,$AC$3)</f>
        <v>1</v>
      </c>
      <c r="E1827">
        <f>IF(ISBLANK(C1827),0,VLOOKUP(C1827,$AE$2:$AF$7,2,0))</f>
        <v>0.5</v>
      </c>
      <c r="F1827">
        <f t="shared" si="60"/>
        <v>0.5</v>
      </c>
    </row>
    <row r="1828" spans="1:6">
      <c r="A1828" s="30">
        <f t="shared" ref="A1828:A1891" si="61">A1827+1</f>
        <v>44918</v>
      </c>
      <c r="B1828" s="32" t="s">
        <v>199</v>
      </c>
      <c r="C1828" t="s">
        <v>210</v>
      </c>
      <c r="D1828">
        <f>IF(B1828=$AB$2,$AC$2,$AC$3)</f>
        <v>1</v>
      </c>
      <c r="E1828">
        <f>IF(ISBLANK(C1828),0,VLOOKUP(C1828,$AE$2:$AF$7,2,0))</f>
        <v>0.5</v>
      </c>
      <c r="F1828">
        <f t="shared" si="60"/>
        <v>0.5</v>
      </c>
    </row>
    <row r="1829" spans="1:6">
      <c r="A1829" s="30">
        <f t="shared" si="61"/>
        <v>44919</v>
      </c>
      <c r="B1829" s="32" t="s">
        <v>199</v>
      </c>
      <c r="C1829" t="s">
        <v>210</v>
      </c>
      <c r="D1829">
        <f>IF(B1829=$AB$2,$AC$2,$AC$3)</f>
        <v>1</v>
      </c>
      <c r="E1829">
        <f>IF(ISBLANK(C1829),0,VLOOKUP(C1829,$AE$2:$AF$7,2,0))</f>
        <v>0.5</v>
      </c>
      <c r="F1829">
        <f t="shared" si="60"/>
        <v>0.5</v>
      </c>
    </row>
    <row r="1830" spans="1:6">
      <c r="A1830" s="30">
        <f t="shared" si="61"/>
        <v>44920</v>
      </c>
      <c r="B1830" s="32" t="s">
        <v>199</v>
      </c>
      <c r="C1830" t="s">
        <v>210</v>
      </c>
      <c r="D1830">
        <f>IF(B1830=$AB$2,$AC$2,$AC$3)</f>
        <v>1</v>
      </c>
      <c r="E1830">
        <f>IF(ISBLANK(C1830),0,VLOOKUP(C1830,$AE$2:$AF$7,2,0))</f>
        <v>0.5</v>
      </c>
      <c r="F1830">
        <f t="shared" si="60"/>
        <v>0.5</v>
      </c>
    </row>
    <row r="1831" spans="1:6">
      <c r="A1831" s="30">
        <f t="shared" si="61"/>
        <v>44921</v>
      </c>
      <c r="B1831" s="32" t="s">
        <v>199</v>
      </c>
      <c r="C1831" t="s">
        <v>210</v>
      </c>
      <c r="D1831">
        <f>IF(B1831=$AB$2,$AC$2,$AC$3)</f>
        <v>1</v>
      </c>
      <c r="E1831">
        <f>IF(ISBLANK(C1831),0,VLOOKUP(C1831,$AE$2:$AF$7,2,0))</f>
        <v>0.5</v>
      </c>
      <c r="F1831">
        <f t="shared" si="60"/>
        <v>0.5</v>
      </c>
    </row>
    <row r="1832" spans="1:6">
      <c r="A1832" s="30">
        <f t="shared" si="61"/>
        <v>44922</v>
      </c>
      <c r="B1832" s="32" t="s">
        <v>199</v>
      </c>
      <c r="C1832" t="s">
        <v>210</v>
      </c>
      <c r="D1832">
        <f>IF(B1832=$AB$2,$AC$2,$AC$3)</f>
        <v>1</v>
      </c>
      <c r="E1832">
        <f>IF(ISBLANK(C1832),0,VLOOKUP(C1832,$AE$2:$AF$7,2,0))</f>
        <v>0.5</v>
      </c>
      <c r="F1832">
        <f t="shared" si="60"/>
        <v>0.5</v>
      </c>
    </row>
    <row r="1833" spans="1:6">
      <c r="A1833" s="30">
        <f t="shared" si="61"/>
        <v>44923</v>
      </c>
      <c r="B1833" s="32" t="s">
        <v>199</v>
      </c>
      <c r="C1833" t="s">
        <v>210</v>
      </c>
      <c r="D1833">
        <f>IF(B1833=$AB$2,$AC$2,$AC$3)</f>
        <v>1</v>
      </c>
      <c r="E1833">
        <f>IF(ISBLANK(C1833),0,VLOOKUP(C1833,$AE$2:$AF$7,2,0))</f>
        <v>0.5</v>
      </c>
      <c r="F1833">
        <f t="shared" si="60"/>
        <v>0.5</v>
      </c>
    </row>
    <row r="1834" spans="1:6">
      <c r="A1834" s="30">
        <f t="shared" si="61"/>
        <v>44924</v>
      </c>
      <c r="B1834" s="32" t="s">
        <v>199</v>
      </c>
      <c r="C1834" t="s">
        <v>210</v>
      </c>
      <c r="D1834">
        <f>IF(B1834=$AB$2,$AC$2,$AC$3)</f>
        <v>1</v>
      </c>
      <c r="E1834">
        <f>IF(ISBLANK(C1834),0,VLOOKUP(C1834,$AE$2:$AF$7,2,0))</f>
        <v>0.5</v>
      </c>
      <c r="F1834">
        <f t="shared" si="60"/>
        <v>0.5</v>
      </c>
    </row>
    <row r="1835" spans="1:6">
      <c r="A1835" s="30">
        <f t="shared" si="61"/>
        <v>44925</v>
      </c>
      <c r="B1835" s="32" t="s">
        <v>199</v>
      </c>
      <c r="C1835" t="s">
        <v>210</v>
      </c>
      <c r="D1835">
        <f>IF(B1835=$AB$2,$AC$2,$AC$3)</f>
        <v>1</v>
      </c>
      <c r="E1835">
        <f>IF(ISBLANK(C1835),0,VLOOKUP(C1835,$AE$2:$AF$7,2,0))</f>
        <v>0.5</v>
      </c>
      <c r="F1835">
        <f t="shared" si="60"/>
        <v>0.5</v>
      </c>
    </row>
    <row r="1836" spans="1:6">
      <c r="A1836" s="30">
        <f t="shared" si="61"/>
        <v>44926</v>
      </c>
      <c r="B1836" s="32" t="s">
        <v>199</v>
      </c>
      <c r="C1836" t="s">
        <v>210</v>
      </c>
      <c r="D1836">
        <f>IF(B1836=$AB$2,$AC$2,$AC$3)</f>
        <v>1</v>
      </c>
      <c r="E1836">
        <f>IF(ISBLANK(C1836),0,VLOOKUP(C1836,$AE$2:$AF$7,2,0))</f>
        <v>0.5</v>
      </c>
      <c r="F1836">
        <f t="shared" si="60"/>
        <v>0.5</v>
      </c>
    </row>
    <row r="1837" spans="1:6">
      <c r="A1837" s="30">
        <f t="shared" si="61"/>
        <v>44927</v>
      </c>
      <c r="B1837" s="32" t="s">
        <v>199</v>
      </c>
      <c r="C1837" t="s">
        <v>210</v>
      </c>
      <c r="D1837">
        <f>IF(B1837=$AB$2,$AC$2,$AC$3)</f>
        <v>1</v>
      </c>
      <c r="E1837">
        <f>IF(ISBLANK(C1837),0,VLOOKUP(C1837,$AE$2:$AF$7,2,0))</f>
        <v>0.5</v>
      </c>
      <c r="F1837">
        <f t="shared" si="60"/>
        <v>0.5</v>
      </c>
    </row>
    <row r="1838" spans="1:6">
      <c r="A1838" s="30">
        <f t="shared" si="61"/>
        <v>44928</v>
      </c>
      <c r="B1838" s="32" t="s">
        <v>199</v>
      </c>
      <c r="C1838" t="s">
        <v>210</v>
      </c>
      <c r="D1838">
        <f>IF(B1838=$AB$2,$AC$2,$AC$3)</f>
        <v>1</v>
      </c>
      <c r="E1838">
        <f>IF(ISBLANK(C1838),0,VLOOKUP(C1838,$AE$2:$AF$7,2,0))</f>
        <v>0.5</v>
      </c>
      <c r="F1838">
        <f t="shared" si="60"/>
        <v>0.5</v>
      </c>
    </row>
    <row r="1839" spans="1:6">
      <c r="A1839" s="30">
        <f t="shared" si="61"/>
        <v>44929</v>
      </c>
      <c r="B1839" s="32" t="s">
        <v>199</v>
      </c>
      <c r="C1839" t="s">
        <v>210</v>
      </c>
      <c r="D1839">
        <f>IF(B1839=$AB$2,$AC$2,$AC$3)</f>
        <v>1</v>
      </c>
      <c r="E1839">
        <f>IF(ISBLANK(C1839),0,VLOOKUP(C1839,$AE$2:$AF$7,2,0))</f>
        <v>0.5</v>
      </c>
      <c r="F1839">
        <f t="shared" si="60"/>
        <v>0.5</v>
      </c>
    </row>
    <row r="1840" spans="1:6">
      <c r="A1840" s="30">
        <f t="shared" si="61"/>
        <v>44930</v>
      </c>
      <c r="B1840" s="32" t="s">
        <v>199</v>
      </c>
      <c r="C1840" t="s">
        <v>210</v>
      </c>
      <c r="D1840">
        <f>IF(B1840=$AB$2,$AC$2,$AC$3)</f>
        <v>1</v>
      </c>
      <c r="E1840">
        <f>IF(ISBLANK(C1840),0,VLOOKUP(C1840,$AE$2:$AF$7,2,0))</f>
        <v>0.5</v>
      </c>
      <c r="F1840">
        <f t="shared" si="60"/>
        <v>0.5</v>
      </c>
    </row>
    <row r="1841" spans="1:6">
      <c r="A1841" s="30">
        <f t="shared" si="61"/>
        <v>44931</v>
      </c>
      <c r="B1841" s="32" t="s">
        <v>199</v>
      </c>
      <c r="C1841" t="s">
        <v>210</v>
      </c>
      <c r="D1841">
        <f>IF(B1841=$AB$2,$AC$2,$AC$3)</f>
        <v>1</v>
      </c>
      <c r="E1841">
        <f>IF(ISBLANK(C1841),0,VLOOKUP(C1841,$AE$2:$AF$7,2,0))</f>
        <v>0.5</v>
      </c>
      <c r="F1841">
        <f t="shared" si="60"/>
        <v>0.5</v>
      </c>
    </row>
    <row r="1842" spans="1:6">
      <c r="A1842" s="30">
        <f t="shared" si="61"/>
        <v>44932</v>
      </c>
      <c r="B1842" s="32" t="s">
        <v>199</v>
      </c>
      <c r="C1842" t="s">
        <v>210</v>
      </c>
      <c r="D1842">
        <f>IF(B1842=$AB$2,$AC$2,$AC$3)</f>
        <v>1</v>
      </c>
      <c r="E1842">
        <f>IF(ISBLANK(C1842),0,VLOOKUP(C1842,$AE$2:$AF$7,2,0))</f>
        <v>0.5</v>
      </c>
      <c r="F1842">
        <f t="shared" si="60"/>
        <v>0.5</v>
      </c>
    </row>
    <row r="1843" spans="1:6">
      <c r="A1843" s="30">
        <f t="shared" si="61"/>
        <v>44933</v>
      </c>
      <c r="B1843" s="32" t="s">
        <v>199</v>
      </c>
      <c r="C1843" t="s">
        <v>210</v>
      </c>
      <c r="D1843">
        <f>IF(B1843=$AB$2,$AC$2,$AC$3)</f>
        <v>1</v>
      </c>
      <c r="E1843">
        <f>IF(ISBLANK(C1843),0,VLOOKUP(C1843,$AE$2:$AF$7,2,0))</f>
        <v>0.5</v>
      </c>
      <c r="F1843">
        <f t="shared" si="60"/>
        <v>0.5</v>
      </c>
    </row>
    <row r="1844" spans="1:6">
      <c r="A1844" s="30">
        <f t="shared" si="61"/>
        <v>44934</v>
      </c>
      <c r="B1844" s="32" t="s">
        <v>199</v>
      </c>
      <c r="C1844" t="s">
        <v>210</v>
      </c>
      <c r="D1844">
        <f>IF(B1844=$AB$2,$AC$2,$AC$3)</f>
        <v>1</v>
      </c>
      <c r="E1844">
        <f>IF(ISBLANK(C1844),0,VLOOKUP(C1844,$AE$2:$AF$7,2,0))</f>
        <v>0.5</v>
      </c>
      <c r="F1844">
        <f t="shared" si="60"/>
        <v>0.5</v>
      </c>
    </row>
    <row r="1845" spans="1:6">
      <c r="A1845" s="30">
        <f t="shared" si="61"/>
        <v>44935</v>
      </c>
      <c r="B1845" s="32" t="s">
        <v>199</v>
      </c>
      <c r="C1845" t="s">
        <v>210</v>
      </c>
      <c r="D1845">
        <f>IF(B1845=$AB$2,$AC$2,$AC$3)</f>
        <v>1</v>
      </c>
      <c r="E1845">
        <f>IF(ISBLANK(C1845),0,VLOOKUP(C1845,$AE$2:$AF$7,2,0))</f>
        <v>0.5</v>
      </c>
      <c r="F1845">
        <f t="shared" si="60"/>
        <v>0.5</v>
      </c>
    </row>
    <row r="1846" spans="1:6">
      <c r="A1846" s="30">
        <f t="shared" si="61"/>
        <v>44936</v>
      </c>
      <c r="B1846" s="32" t="s">
        <v>199</v>
      </c>
      <c r="C1846" t="s">
        <v>210</v>
      </c>
      <c r="D1846">
        <f>IF(B1846=$AB$2,$AC$2,$AC$3)</f>
        <v>1</v>
      </c>
      <c r="E1846">
        <f>IF(ISBLANK(C1846),0,VLOOKUP(C1846,$AE$2:$AF$7,2,0))</f>
        <v>0.5</v>
      </c>
      <c r="F1846">
        <f t="shared" si="60"/>
        <v>0.5</v>
      </c>
    </row>
    <row r="1847" spans="1:6">
      <c r="A1847" s="30">
        <f t="shared" si="61"/>
        <v>44937</v>
      </c>
      <c r="B1847" s="32" t="s">
        <v>199</v>
      </c>
      <c r="C1847" t="s">
        <v>210</v>
      </c>
      <c r="D1847">
        <f>IF(B1847=$AB$2,$AC$2,$AC$3)</f>
        <v>1</v>
      </c>
      <c r="E1847">
        <f>IF(ISBLANK(C1847),0,VLOOKUP(C1847,$AE$2:$AF$7,2,0))</f>
        <v>0.5</v>
      </c>
      <c r="F1847">
        <f t="shared" si="60"/>
        <v>0.5</v>
      </c>
    </row>
    <row r="1848" spans="1:6">
      <c r="A1848" s="30">
        <f t="shared" si="61"/>
        <v>44938</v>
      </c>
      <c r="B1848" s="32" t="s">
        <v>199</v>
      </c>
      <c r="C1848" t="s">
        <v>210</v>
      </c>
      <c r="D1848">
        <f>IF(B1848=$AB$2,$AC$2,$AC$3)</f>
        <v>1</v>
      </c>
      <c r="E1848">
        <f>IF(ISBLANK(C1848),0,VLOOKUP(C1848,$AE$2:$AF$7,2,0))</f>
        <v>0.5</v>
      </c>
      <c r="F1848">
        <f t="shared" si="60"/>
        <v>0.5</v>
      </c>
    </row>
    <row r="1849" spans="1:6">
      <c r="A1849" s="30">
        <f t="shared" si="61"/>
        <v>44939</v>
      </c>
      <c r="B1849" s="32" t="s">
        <v>199</v>
      </c>
      <c r="C1849" t="s">
        <v>210</v>
      </c>
      <c r="D1849">
        <f>IF(B1849=$AB$2,$AC$2,$AC$3)</f>
        <v>1</v>
      </c>
      <c r="E1849">
        <f>IF(ISBLANK(C1849),0,VLOOKUP(C1849,$AE$2:$AF$7,2,0))</f>
        <v>0.5</v>
      </c>
      <c r="F1849">
        <f t="shared" si="60"/>
        <v>0.5</v>
      </c>
    </row>
    <row r="1850" spans="1:6">
      <c r="A1850" s="30">
        <f t="shared" si="61"/>
        <v>44940</v>
      </c>
      <c r="B1850" s="32" t="s">
        <v>199</v>
      </c>
      <c r="C1850" t="s">
        <v>210</v>
      </c>
      <c r="D1850">
        <f>IF(B1850=$AB$2,$AC$2,$AC$3)</f>
        <v>1</v>
      </c>
      <c r="E1850">
        <f>IF(ISBLANK(C1850),0,VLOOKUP(C1850,$AE$2:$AF$7,2,0))</f>
        <v>0.5</v>
      </c>
      <c r="F1850">
        <f t="shared" si="60"/>
        <v>0.5</v>
      </c>
    </row>
    <row r="1851" spans="1:6">
      <c r="A1851" s="30">
        <f t="shared" si="61"/>
        <v>44941</v>
      </c>
      <c r="B1851" s="32" t="s">
        <v>199</v>
      </c>
      <c r="C1851" t="s">
        <v>210</v>
      </c>
      <c r="D1851">
        <f>IF(B1851=$AB$2,$AC$2,$AC$3)</f>
        <v>1</v>
      </c>
      <c r="E1851">
        <f>IF(ISBLANK(C1851),0,VLOOKUP(C1851,$AE$2:$AF$7,2,0))</f>
        <v>0.5</v>
      </c>
      <c r="F1851">
        <f t="shared" si="60"/>
        <v>0.5</v>
      </c>
    </row>
    <row r="1852" spans="1:6">
      <c r="A1852" s="30">
        <f t="shared" si="61"/>
        <v>44942</v>
      </c>
      <c r="B1852" s="32" t="s">
        <v>199</v>
      </c>
      <c r="C1852" t="s">
        <v>210</v>
      </c>
      <c r="D1852">
        <f>IF(B1852=$AB$2,$AC$2,$AC$3)</f>
        <v>1</v>
      </c>
      <c r="E1852">
        <f>IF(ISBLANK(C1852),0,VLOOKUP(C1852,$AE$2:$AF$7,2,0))</f>
        <v>0.5</v>
      </c>
      <c r="F1852">
        <f t="shared" si="60"/>
        <v>0.5</v>
      </c>
    </row>
    <row r="1853" spans="1:6">
      <c r="A1853" s="30">
        <f t="shared" si="61"/>
        <v>44943</v>
      </c>
      <c r="B1853" s="32" t="s">
        <v>199</v>
      </c>
      <c r="C1853" t="s">
        <v>210</v>
      </c>
      <c r="D1853">
        <f>IF(B1853=$AB$2,$AC$2,$AC$3)</f>
        <v>1</v>
      </c>
      <c r="E1853">
        <f>IF(ISBLANK(C1853),0,VLOOKUP(C1853,$AE$2:$AF$7,2,0))</f>
        <v>0.5</v>
      </c>
      <c r="F1853">
        <f t="shared" si="60"/>
        <v>0.5</v>
      </c>
    </row>
    <row r="1854" spans="1:6">
      <c r="A1854" s="30">
        <f t="shared" si="61"/>
        <v>44944</v>
      </c>
      <c r="B1854" s="32" t="s">
        <v>199</v>
      </c>
      <c r="C1854" t="s">
        <v>210</v>
      </c>
      <c r="D1854">
        <f>IF(B1854=$AB$2,$AC$2,$AC$3)</f>
        <v>1</v>
      </c>
      <c r="E1854">
        <f>IF(ISBLANK(C1854),0,VLOOKUP(C1854,$AE$2:$AF$7,2,0))</f>
        <v>0.5</v>
      </c>
      <c r="F1854">
        <f t="shared" si="60"/>
        <v>0.5</v>
      </c>
    </row>
    <row r="1855" spans="1:6">
      <c r="A1855" s="30">
        <f t="shared" si="61"/>
        <v>44945</v>
      </c>
      <c r="B1855" s="32" t="s">
        <v>199</v>
      </c>
      <c r="C1855" t="s">
        <v>210</v>
      </c>
      <c r="D1855">
        <f>IF(B1855=$AB$2,$AC$2,$AC$3)</f>
        <v>1</v>
      </c>
      <c r="E1855">
        <f>IF(ISBLANK(C1855),0,VLOOKUP(C1855,$AE$2:$AF$7,2,0))</f>
        <v>0.5</v>
      </c>
      <c r="F1855">
        <f t="shared" si="60"/>
        <v>0.5</v>
      </c>
    </row>
    <row r="1856" spans="1:6">
      <c r="A1856" s="30">
        <f t="shared" si="61"/>
        <v>44946</v>
      </c>
      <c r="B1856" s="32" t="s">
        <v>199</v>
      </c>
      <c r="C1856" t="s">
        <v>210</v>
      </c>
      <c r="D1856">
        <f>IF(B1856=$AB$2,$AC$2,$AC$3)</f>
        <v>1</v>
      </c>
      <c r="E1856">
        <f>IF(ISBLANK(C1856),0,VLOOKUP(C1856,$AE$2:$AF$7,2,0))</f>
        <v>0.5</v>
      </c>
      <c r="F1856">
        <f t="shared" si="60"/>
        <v>0.5</v>
      </c>
    </row>
    <row r="1857" spans="1:6">
      <c r="A1857" s="30">
        <f t="shared" si="61"/>
        <v>44947</v>
      </c>
      <c r="B1857" s="32" t="s">
        <v>199</v>
      </c>
      <c r="C1857" t="s">
        <v>210</v>
      </c>
      <c r="D1857">
        <f>IF(B1857=$AB$2,$AC$2,$AC$3)</f>
        <v>1</v>
      </c>
      <c r="E1857">
        <f>IF(ISBLANK(C1857),0,VLOOKUP(C1857,$AE$2:$AF$7,2,0))</f>
        <v>0.5</v>
      </c>
      <c r="F1857">
        <f t="shared" si="60"/>
        <v>0.5</v>
      </c>
    </row>
    <row r="1858" spans="1:6">
      <c r="A1858" s="30">
        <f t="shared" si="61"/>
        <v>44948</v>
      </c>
      <c r="B1858" s="32" t="s">
        <v>199</v>
      </c>
      <c r="C1858" t="s">
        <v>210</v>
      </c>
      <c r="D1858">
        <f>IF(B1858=$AB$2,$AC$2,$AC$3)</f>
        <v>1</v>
      </c>
      <c r="E1858">
        <f>IF(ISBLANK(C1858),0,VLOOKUP(C1858,$AE$2:$AF$7,2,0))</f>
        <v>0.5</v>
      </c>
      <c r="F1858">
        <f t="shared" si="60"/>
        <v>0.5</v>
      </c>
    </row>
    <row r="1859" spans="1:6">
      <c r="A1859" s="30">
        <f t="shared" si="61"/>
        <v>44949</v>
      </c>
      <c r="B1859" s="32" t="s">
        <v>199</v>
      </c>
      <c r="C1859" t="s">
        <v>210</v>
      </c>
      <c r="D1859">
        <f>IF(B1859=$AB$2,$AC$2,$AC$3)</f>
        <v>1</v>
      </c>
      <c r="E1859">
        <f>IF(ISBLANK(C1859),0,VLOOKUP(C1859,$AE$2:$AF$7,2,0))</f>
        <v>0.5</v>
      </c>
      <c r="F1859">
        <f t="shared" ref="F1859:F1922" si="62">D1859*E1859</f>
        <v>0.5</v>
      </c>
    </row>
    <row r="1860" spans="1:6">
      <c r="A1860" s="30">
        <f t="shared" si="61"/>
        <v>44950</v>
      </c>
      <c r="B1860" s="32" t="s">
        <v>199</v>
      </c>
      <c r="C1860" t="s">
        <v>210</v>
      </c>
      <c r="D1860">
        <f>IF(B1860=$AB$2,$AC$2,$AC$3)</f>
        <v>1</v>
      </c>
      <c r="E1860">
        <f>IF(ISBLANK(C1860),0,VLOOKUP(C1860,$AE$2:$AF$7,2,0))</f>
        <v>0.5</v>
      </c>
      <c r="F1860">
        <f t="shared" si="62"/>
        <v>0.5</v>
      </c>
    </row>
    <row r="1861" spans="1:6">
      <c r="A1861" s="30">
        <f t="shared" si="61"/>
        <v>44951</v>
      </c>
      <c r="B1861" s="32" t="s">
        <v>199</v>
      </c>
      <c r="C1861" t="s">
        <v>210</v>
      </c>
      <c r="D1861">
        <f>IF(B1861=$AB$2,$AC$2,$AC$3)</f>
        <v>1</v>
      </c>
      <c r="E1861">
        <f>IF(ISBLANK(C1861),0,VLOOKUP(C1861,$AE$2:$AF$7,2,0))</f>
        <v>0.5</v>
      </c>
      <c r="F1861">
        <f t="shared" si="62"/>
        <v>0.5</v>
      </c>
    </row>
    <row r="1862" spans="1:6">
      <c r="A1862" s="30">
        <f t="shared" si="61"/>
        <v>44952</v>
      </c>
      <c r="B1862" s="32" t="s">
        <v>199</v>
      </c>
      <c r="C1862" t="s">
        <v>210</v>
      </c>
      <c r="D1862">
        <f>IF(B1862=$AB$2,$AC$2,$AC$3)</f>
        <v>1</v>
      </c>
      <c r="E1862">
        <f>IF(ISBLANK(C1862),0,VLOOKUP(C1862,$AE$2:$AF$7,2,0))</f>
        <v>0.5</v>
      </c>
      <c r="F1862">
        <f t="shared" si="62"/>
        <v>0.5</v>
      </c>
    </row>
    <row r="1863" spans="1:6">
      <c r="A1863" s="30">
        <f t="shared" si="61"/>
        <v>44953</v>
      </c>
      <c r="B1863" s="32" t="s">
        <v>199</v>
      </c>
      <c r="C1863" t="s">
        <v>210</v>
      </c>
      <c r="D1863">
        <f>IF(B1863=$AB$2,$AC$2,$AC$3)</f>
        <v>1</v>
      </c>
      <c r="E1863">
        <f>IF(ISBLANK(C1863),0,VLOOKUP(C1863,$AE$2:$AF$7,2,0))</f>
        <v>0.5</v>
      </c>
      <c r="F1863">
        <f t="shared" si="62"/>
        <v>0.5</v>
      </c>
    </row>
    <row r="1864" spans="1:6">
      <c r="A1864" s="30">
        <f t="shared" si="61"/>
        <v>44954</v>
      </c>
      <c r="B1864" s="32" t="s">
        <v>199</v>
      </c>
      <c r="C1864" t="s">
        <v>210</v>
      </c>
      <c r="D1864">
        <f>IF(B1864=$AB$2,$AC$2,$AC$3)</f>
        <v>1</v>
      </c>
      <c r="E1864">
        <f>IF(ISBLANK(C1864),0,VLOOKUP(C1864,$AE$2:$AF$7,2,0))</f>
        <v>0.5</v>
      </c>
      <c r="F1864">
        <f t="shared" si="62"/>
        <v>0.5</v>
      </c>
    </row>
    <row r="1865" spans="1:6">
      <c r="A1865" s="30">
        <f t="shared" si="61"/>
        <v>44955</v>
      </c>
      <c r="B1865" s="32" t="s">
        <v>199</v>
      </c>
      <c r="C1865" t="s">
        <v>210</v>
      </c>
      <c r="D1865">
        <f>IF(B1865=$AB$2,$AC$2,$AC$3)</f>
        <v>1</v>
      </c>
      <c r="E1865">
        <f>IF(ISBLANK(C1865),0,VLOOKUP(C1865,$AE$2:$AF$7,2,0))</f>
        <v>0.5</v>
      </c>
      <c r="F1865">
        <f t="shared" si="62"/>
        <v>0.5</v>
      </c>
    </row>
    <row r="1866" spans="1:6">
      <c r="A1866" s="30">
        <f t="shared" si="61"/>
        <v>44956</v>
      </c>
      <c r="B1866" s="32" t="s">
        <v>199</v>
      </c>
      <c r="C1866" t="s">
        <v>210</v>
      </c>
      <c r="D1866">
        <f>IF(B1866=$AB$2,$AC$2,$AC$3)</f>
        <v>1</v>
      </c>
      <c r="E1866">
        <f>IF(ISBLANK(C1866),0,VLOOKUP(C1866,$AE$2:$AF$7,2,0))</f>
        <v>0.5</v>
      </c>
      <c r="F1866">
        <f t="shared" si="62"/>
        <v>0.5</v>
      </c>
    </row>
    <row r="1867" spans="1:6">
      <c r="A1867" s="30">
        <f t="shared" si="61"/>
        <v>44957</v>
      </c>
      <c r="B1867" s="32" t="s">
        <v>199</v>
      </c>
      <c r="C1867" t="s">
        <v>210</v>
      </c>
      <c r="D1867">
        <f>IF(B1867=$AB$2,$AC$2,$AC$3)</f>
        <v>1</v>
      </c>
      <c r="E1867">
        <f>IF(ISBLANK(C1867),0,VLOOKUP(C1867,$AE$2:$AF$7,2,0))</f>
        <v>0.5</v>
      </c>
      <c r="F1867">
        <f t="shared" si="62"/>
        <v>0.5</v>
      </c>
    </row>
    <row r="1868" spans="1:6">
      <c r="A1868" s="30">
        <f t="shared" si="61"/>
        <v>44958</v>
      </c>
      <c r="B1868" s="32" t="s">
        <v>199</v>
      </c>
      <c r="C1868" t="s">
        <v>210</v>
      </c>
      <c r="D1868">
        <f>IF(B1868=$AB$2,$AC$2,$AC$3)</f>
        <v>1</v>
      </c>
      <c r="E1868">
        <f>IF(ISBLANK(C1868),0,VLOOKUP(C1868,$AE$2:$AF$7,2,0))</f>
        <v>0.5</v>
      </c>
      <c r="F1868">
        <f t="shared" si="62"/>
        <v>0.5</v>
      </c>
    </row>
    <row r="1869" spans="1:6">
      <c r="A1869" s="30">
        <f t="shared" si="61"/>
        <v>44959</v>
      </c>
      <c r="B1869" s="32" t="s">
        <v>199</v>
      </c>
      <c r="C1869" t="s">
        <v>210</v>
      </c>
      <c r="D1869">
        <f>IF(B1869=$AB$2,$AC$2,$AC$3)</f>
        <v>1</v>
      </c>
      <c r="E1869">
        <f>IF(ISBLANK(C1869),0,VLOOKUP(C1869,$AE$2:$AF$7,2,0))</f>
        <v>0.5</v>
      </c>
      <c r="F1869">
        <f t="shared" si="62"/>
        <v>0.5</v>
      </c>
    </row>
    <row r="1870" spans="1:6">
      <c r="A1870" s="30">
        <f t="shared" si="61"/>
        <v>44960</v>
      </c>
      <c r="B1870" s="32" t="s">
        <v>199</v>
      </c>
      <c r="C1870" t="s">
        <v>210</v>
      </c>
      <c r="D1870">
        <f>IF(B1870=$AB$2,$AC$2,$AC$3)</f>
        <v>1</v>
      </c>
      <c r="E1870">
        <f>IF(ISBLANK(C1870),0,VLOOKUP(C1870,$AE$2:$AF$7,2,0))</f>
        <v>0.5</v>
      </c>
      <c r="F1870">
        <f t="shared" si="62"/>
        <v>0.5</v>
      </c>
    </row>
    <row r="1871" spans="1:6">
      <c r="A1871" s="30">
        <f t="shared" si="61"/>
        <v>44961</v>
      </c>
      <c r="B1871" s="32" t="s">
        <v>199</v>
      </c>
      <c r="C1871" t="s">
        <v>210</v>
      </c>
      <c r="D1871">
        <f>IF(B1871=$AB$2,$AC$2,$AC$3)</f>
        <v>1</v>
      </c>
      <c r="E1871">
        <f>IF(ISBLANK(C1871),0,VLOOKUP(C1871,$AE$2:$AF$7,2,0))</f>
        <v>0.5</v>
      </c>
      <c r="F1871">
        <f t="shared" si="62"/>
        <v>0.5</v>
      </c>
    </row>
    <row r="1872" spans="1:6">
      <c r="A1872" s="30">
        <f t="shared" si="61"/>
        <v>44962</v>
      </c>
      <c r="B1872" s="32" t="s">
        <v>199</v>
      </c>
      <c r="C1872" t="s">
        <v>210</v>
      </c>
      <c r="D1872">
        <f>IF(B1872=$AB$2,$AC$2,$AC$3)</f>
        <v>1</v>
      </c>
      <c r="E1872">
        <f>IF(ISBLANK(C1872),0,VLOOKUP(C1872,$AE$2:$AF$7,2,0))</f>
        <v>0.5</v>
      </c>
      <c r="F1872">
        <f t="shared" si="62"/>
        <v>0.5</v>
      </c>
    </row>
    <row r="1873" spans="1:6">
      <c r="A1873" s="30">
        <f t="shared" si="61"/>
        <v>44963</v>
      </c>
      <c r="B1873" s="32" t="s">
        <v>199</v>
      </c>
      <c r="C1873" t="s">
        <v>210</v>
      </c>
      <c r="D1873">
        <f>IF(B1873=$AB$2,$AC$2,$AC$3)</f>
        <v>1</v>
      </c>
      <c r="E1873">
        <f>IF(ISBLANK(C1873),0,VLOOKUP(C1873,$AE$2:$AF$7,2,0))</f>
        <v>0.5</v>
      </c>
      <c r="F1873">
        <f t="shared" si="62"/>
        <v>0.5</v>
      </c>
    </row>
    <row r="1874" spans="1:6">
      <c r="A1874" s="30">
        <f t="shared" si="61"/>
        <v>44964</v>
      </c>
      <c r="B1874" s="32" t="s">
        <v>199</v>
      </c>
      <c r="C1874" t="s">
        <v>210</v>
      </c>
      <c r="D1874">
        <f>IF(B1874=$AB$2,$AC$2,$AC$3)</f>
        <v>1</v>
      </c>
      <c r="E1874">
        <f>IF(ISBLANK(C1874),0,VLOOKUP(C1874,$AE$2:$AF$7,2,0))</f>
        <v>0.5</v>
      </c>
      <c r="F1874">
        <f t="shared" si="62"/>
        <v>0.5</v>
      </c>
    </row>
    <row r="1875" spans="1:6">
      <c r="A1875" s="30">
        <f t="shared" si="61"/>
        <v>44965</v>
      </c>
      <c r="B1875" s="32" t="s">
        <v>199</v>
      </c>
      <c r="C1875" t="s">
        <v>210</v>
      </c>
      <c r="D1875">
        <f>IF(B1875=$AB$2,$AC$2,$AC$3)</f>
        <v>1</v>
      </c>
      <c r="E1875">
        <f>IF(ISBLANK(C1875),0,VLOOKUP(C1875,$AE$2:$AF$7,2,0))</f>
        <v>0.5</v>
      </c>
      <c r="F1875">
        <f t="shared" si="62"/>
        <v>0.5</v>
      </c>
    </row>
    <row r="1876" spans="1:6">
      <c r="A1876" s="30">
        <f t="shared" si="61"/>
        <v>44966</v>
      </c>
      <c r="B1876" s="32" t="s">
        <v>199</v>
      </c>
      <c r="C1876" t="s">
        <v>210</v>
      </c>
      <c r="D1876">
        <f>IF(B1876=$AB$2,$AC$2,$AC$3)</f>
        <v>1</v>
      </c>
      <c r="E1876">
        <f>IF(ISBLANK(C1876),0,VLOOKUP(C1876,$AE$2:$AF$7,2,0))</f>
        <v>0.5</v>
      </c>
      <c r="F1876">
        <f t="shared" si="62"/>
        <v>0.5</v>
      </c>
    </row>
    <row r="1877" spans="1:6">
      <c r="A1877" s="30">
        <f t="shared" si="61"/>
        <v>44967</v>
      </c>
      <c r="B1877" s="32" t="s">
        <v>199</v>
      </c>
      <c r="C1877" t="s">
        <v>210</v>
      </c>
      <c r="D1877">
        <f>IF(B1877=$AB$2,$AC$2,$AC$3)</f>
        <v>1</v>
      </c>
      <c r="E1877">
        <f>IF(ISBLANK(C1877),0,VLOOKUP(C1877,$AE$2:$AF$7,2,0))</f>
        <v>0.5</v>
      </c>
      <c r="F1877">
        <f t="shared" si="62"/>
        <v>0.5</v>
      </c>
    </row>
    <row r="1878" spans="1:6">
      <c r="A1878" s="30">
        <f t="shared" si="61"/>
        <v>44968</v>
      </c>
      <c r="B1878" s="32" t="s">
        <v>199</v>
      </c>
      <c r="C1878" t="s">
        <v>210</v>
      </c>
      <c r="D1878">
        <f>IF(B1878=$AB$2,$AC$2,$AC$3)</f>
        <v>1</v>
      </c>
      <c r="E1878">
        <f>IF(ISBLANK(C1878),0,VLOOKUP(C1878,$AE$2:$AF$7,2,0))</f>
        <v>0.5</v>
      </c>
      <c r="F1878">
        <f t="shared" si="62"/>
        <v>0.5</v>
      </c>
    </row>
    <row r="1879" spans="1:6">
      <c r="A1879" s="30">
        <f t="shared" si="61"/>
        <v>44969</v>
      </c>
      <c r="B1879" s="32" t="s">
        <v>199</v>
      </c>
      <c r="C1879" t="s">
        <v>210</v>
      </c>
      <c r="D1879">
        <f>IF(B1879=$AB$2,$AC$2,$AC$3)</f>
        <v>1</v>
      </c>
      <c r="E1879">
        <f>IF(ISBLANK(C1879),0,VLOOKUP(C1879,$AE$2:$AF$7,2,0))</f>
        <v>0.5</v>
      </c>
      <c r="F1879">
        <f t="shared" si="62"/>
        <v>0.5</v>
      </c>
    </row>
    <row r="1880" spans="1:6">
      <c r="A1880" s="30">
        <f t="shared" si="61"/>
        <v>44970</v>
      </c>
      <c r="B1880" s="32" t="s">
        <v>199</v>
      </c>
      <c r="C1880" t="s">
        <v>210</v>
      </c>
      <c r="D1880">
        <f>IF(B1880=$AB$2,$AC$2,$AC$3)</f>
        <v>1</v>
      </c>
      <c r="E1880">
        <f>IF(ISBLANK(C1880),0,VLOOKUP(C1880,$AE$2:$AF$7,2,0))</f>
        <v>0.5</v>
      </c>
      <c r="F1880">
        <f t="shared" si="62"/>
        <v>0.5</v>
      </c>
    </row>
    <row r="1881" spans="1:6">
      <c r="A1881" s="30">
        <f t="shared" si="61"/>
        <v>44971</v>
      </c>
      <c r="B1881" s="32" t="s">
        <v>199</v>
      </c>
      <c r="C1881" t="s">
        <v>210</v>
      </c>
      <c r="D1881">
        <f>IF(B1881=$AB$2,$AC$2,$AC$3)</f>
        <v>1</v>
      </c>
      <c r="E1881">
        <f>IF(ISBLANK(C1881),0,VLOOKUP(C1881,$AE$2:$AF$7,2,0))</f>
        <v>0.5</v>
      </c>
      <c r="F1881">
        <f t="shared" si="62"/>
        <v>0.5</v>
      </c>
    </row>
    <row r="1882" spans="1:6">
      <c r="A1882" s="30">
        <f t="shared" si="61"/>
        <v>44972</v>
      </c>
      <c r="B1882" s="32" t="s">
        <v>199</v>
      </c>
      <c r="C1882" t="s">
        <v>210</v>
      </c>
      <c r="D1882">
        <f>IF(B1882=$AB$2,$AC$2,$AC$3)</f>
        <v>1</v>
      </c>
      <c r="E1882">
        <f>IF(ISBLANK(C1882),0,VLOOKUP(C1882,$AE$2:$AF$7,2,0))</f>
        <v>0.5</v>
      </c>
      <c r="F1882">
        <f t="shared" si="62"/>
        <v>0.5</v>
      </c>
    </row>
    <row r="1883" spans="1:6">
      <c r="A1883" s="30">
        <f t="shared" si="61"/>
        <v>44973</v>
      </c>
      <c r="B1883" s="32" t="s">
        <v>199</v>
      </c>
      <c r="C1883" t="s">
        <v>210</v>
      </c>
      <c r="D1883">
        <f>IF(B1883=$AB$2,$AC$2,$AC$3)</f>
        <v>1</v>
      </c>
      <c r="E1883">
        <f>IF(ISBLANK(C1883),0,VLOOKUP(C1883,$AE$2:$AF$7,2,0))</f>
        <v>0.5</v>
      </c>
      <c r="F1883">
        <f t="shared" si="62"/>
        <v>0.5</v>
      </c>
    </row>
    <row r="1884" spans="1:6">
      <c r="A1884" s="30">
        <f t="shared" si="61"/>
        <v>44974</v>
      </c>
      <c r="B1884" s="32" t="s">
        <v>199</v>
      </c>
      <c r="C1884" t="s">
        <v>210</v>
      </c>
      <c r="D1884">
        <f>IF(B1884=$AB$2,$AC$2,$AC$3)</f>
        <v>1</v>
      </c>
      <c r="E1884">
        <f>IF(ISBLANK(C1884),0,VLOOKUP(C1884,$AE$2:$AF$7,2,0))</f>
        <v>0.5</v>
      </c>
      <c r="F1884">
        <f t="shared" si="62"/>
        <v>0.5</v>
      </c>
    </row>
    <row r="1885" spans="1:6">
      <c r="A1885" s="30">
        <f t="shared" si="61"/>
        <v>44975</v>
      </c>
      <c r="B1885" s="32" t="s">
        <v>199</v>
      </c>
      <c r="C1885" t="s">
        <v>210</v>
      </c>
      <c r="D1885">
        <f>IF(B1885=$AB$2,$AC$2,$AC$3)</f>
        <v>1</v>
      </c>
      <c r="E1885">
        <f>IF(ISBLANK(C1885),0,VLOOKUP(C1885,$AE$2:$AF$7,2,0))</f>
        <v>0.5</v>
      </c>
      <c r="F1885">
        <f t="shared" si="62"/>
        <v>0.5</v>
      </c>
    </row>
    <row r="1886" spans="1:6">
      <c r="A1886" s="30">
        <f t="shared" si="61"/>
        <v>44976</v>
      </c>
      <c r="B1886" s="32" t="s">
        <v>199</v>
      </c>
      <c r="C1886" t="s">
        <v>210</v>
      </c>
      <c r="D1886">
        <f>IF(B1886=$AB$2,$AC$2,$AC$3)</f>
        <v>1</v>
      </c>
      <c r="E1886">
        <f>IF(ISBLANK(C1886),0,VLOOKUP(C1886,$AE$2:$AF$7,2,0))</f>
        <v>0.5</v>
      </c>
      <c r="F1886">
        <f t="shared" si="62"/>
        <v>0.5</v>
      </c>
    </row>
    <row r="1887" spans="1:6">
      <c r="A1887" s="30">
        <f t="shared" si="61"/>
        <v>44977</v>
      </c>
      <c r="B1887" s="32" t="s">
        <v>199</v>
      </c>
      <c r="C1887" t="s">
        <v>210</v>
      </c>
      <c r="D1887">
        <f>IF(B1887=$AB$2,$AC$2,$AC$3)</f>
        <v>1</v>
      </c>
      <c r="E1887">
        <f>IF(ISBLANK(C1887),0,VLOOKUP(C1887,$AE$2:$AF$7,2,0))</f>
        <v>0.5</v>
      </c>
      <c r="F1887">
        <f t="shared" si="62"/>
        <v>0.5</v>
      </c>
    </row>
    <row r="1888" spans="1:6">
      <c r="A1888" s="30">
        <f t="shared" si="61"/>
        <v>44978</v>
      </c>
      <c r="B1888" s="32" t="s">
        <v>199</v>
      </c>
      <c r="C1888" t="s">
        <v>210</v>
      </c>
      <c r="D1888">
        <f>IF(B1888=$AB$2,$AC$2,$AC$3)</f>
        <v>1</v>
      </c>
      <c r="E1888">
        <f>IF(ISBLANK(C1888),0,VLOOKUP(C1888,$AE$2:$AF$7,2,0))</f>
        <v>0.5</v>
      </c>
      <c r="F1888">
        <f t="shared" si="62"/>
        <v>0.5</v>
      </c>
    </row>
    <row r="1889" spans="1:6">
      <c r="A1889" s="30">
        <f t="shared" si="61"/>
        <v>44979</v>
      </c>
      <c r="B1889" s="32" t="s">
        <v>199</v>
      </c>
      <c r="C1889" t="s">
        <v>210</v>
      </c>
      <c r="D1889">
        <f>IF(B1889=$AB$2,$AC$2,$AC$3)</f>
        <v>1</v>
      </c>
      <c r="E1889">
        <f>IF(ISBLANK(C1889),0,VLOOKUP(C1889,$AE$2:$AF$7,2,0))</f>
        <v>0.5</v>
      </c>
      <c r="F1889">
        <f t="shared" si="62"/>
        <v>0.5</v>
      </c>
    </row>
    <row r="1890" spans="1:6">
      <c r="A1890" s="30">
        <f t="shared" si="61"/>
        <v>44980</v>
      </c>
      <c r="B1890" s="32" t="s">
        <v>199</v>
      </c>
      <c r="C1890" t="s">
        <v>210</v>
      </c>
      <c r="D1890">
        <f>IF(B1890=$AB$2,$AC$2,$AC$3)</f>
        <v>1</v>
      </c>
      <c r="E1890">
        <f>IF(ISBLANK(C1890),0,VLOOKUP(C1890,$AE$2:$AF$7,2,0))</f>
        <v>0.5</v>
      </c>
      <c r="F1890">
        <f t="shared" si="62"/>
        <v>0.5</v>
      </c>
    </row>
    <row r="1891" spans="1:6">
      <c r="A1891" s="30">
        <f t="shared" si="61"/>
        <v>44981</v>
      </c>
      <c r="B1891" s="32" t="s">
        <v>199</v>
      </c>
      <c r="C1891" t="s">
        <v>210</v>
      </c>
      <c r="D1891">
        <f>IF(B1891=$AB$2,$AC$2,$AC$3)</f>
        <v>1</v>
      </c>
      <c r="E1891">
        <f>IF(ISBLANK(C1891),0,VLOOKUP(C1891,$AE$2:$AF$7,2,0))</f>
        <v>0.5</v>
      </c>
      <c r="F1891">
        <f t="shared" si="62"/>
        <v>0.5</v>
      </c>
    </row>
    <row r="1892" spans="1:6">
      <c r="A1892" s="30">
        <f t="shared" ref="A1892:A1940" si="63">A1891+1</f>
        <v>44982</v>
      </c>
      <c r="B1892" s="32" t="s">
        <v>199</v>
      </c>
      <c r="C1892" t="s">
        <v>210</v>
      </c>
      <c r="D1892">
        <f>IF(B1892=$AB$2,$AC$2,$AC$3)</f>
        <v>1</v>
      </c>
      <c r="E1892">
        <f>IF(ISBLANK(C1892),0,VLOOKUP(C1892,$AE$2:$AF$7,2,0))</f>
        <v>0.5</v>
      </c>
      <c r="F1892">
        <f t="shared" si="62"/>
        <v>0.5</v>
      </c>
    </row>
    <row r="1893" spans="1:6">
      <c r="A1893" s="30">
        <f t="shared" si="63"/>
        <v>44983</v>
      </c>
      <c r="B1893" s="32" t="s">
        <v>199</v>
      </c>
      <c r="C1893" t="s">
        <v>210</v>
      </c>
      <c r="D1893">
        <f>IF(B1893=$AB$2,$AC$2,$AC$3)</f>
        <v>1</v>
      </c>
      <c r="E1893">
        <f>IF(ISBLANK(C1893),0,VLOOKUP(C1893,$AE$2:$AF$7,2,0))</f>
        <v>0.5</v>
      </c>
      <c r="F1893">
        <f t="shared" si="62"/>
        <v>0.5</v>
      </c>
    </row>
    <row r="1894" spans="1:6">
      <c r="A1894" s="30">
        <f t="shared" si="63"/>
        <v>44984</v>
      </c>
      <c r="B1894" s="32" t="s">
        <v>199</v>
      </c>
      <c r="C1894" t="s">
        <v>210</v>
      </c>
      <c r="D1894">
        <f>IF(B1894=$AB$2,$AC$2,$AC$3)</f>
        <v>1</v>
      </c>
      <c r="E1894">
        <f>IF(ISBLANK(C1894),0,VLOOKUP(C1894,$AE$2:$AF$7,2,0))</f>
        <v>0.5</v>
      </c>
      <c r="F1894">
        <f t="shared" si="62"/>
        <v>0.5</v>
      </c>
    </row>
    <row r="1895" spans="1:6">
      <c r="A1895" s="30">
        <f t="shared" si="63"/>
        <v>44985</v>
      </c>
      <c r="B1895" s="32" t="s">
        <v>199</v>
      </c>
      <c r="C1895" t="s">
        <v>210</v>
      </c>
      <c r="D1895">
        <f>IF(B1895=$AB$2,$AC$2,$AC$3)</f>
        <v>1</v>
      </c>
      <c r="E1895">
        <f>IF(ISBLANK(C1895),0,VLOOKUP(C1895,$AE$2:$AF$7,2,0))</f>
        <v>0.5</v>
      </c>
      <c r="F1895">
        <f t="shared" si="62"/>
        <v>0.5</v>
      </c>
    </row>
    <row r="1896" spans="1:6">
      <c r="A1896" s="30">
        <f t="shared" si="63"/>
        <v>44986</v>
      </c>
      <c r="B1896" s="32" t="s">
        <v>199</v>
      </c>
      <c r="C1896" t="s">
        <v>210</v>
      </c>
      <c r="D1896">
        <f>IF(B1896=$AB$2,$AC$2,$AC$3)</f>
        <v>1</v>
      </c>
      <c r="E1896">
        <f>IF(ISBLANK(C1896),0,VLOOKUP(C1896,$AE$2:$AF$7,2,0))</f>
        <v>0.5</v>
      </c>
      <c r="F1896">
        <f t="shared" si="62"/>
        <v>0.5</v>
      </c>
    </row>
    <row r="1897" spans="1:6">
      <c r="A1897" s="30">
        <f t="shared" si="63"/>
        <v>44987</v>
      </c>
      <c r="B1897" s="32" t="s">
        <v>199</v>
      </c>
      <c r="C1897" t="s">
        <v>210</v>
      </c>
      <c r="D1897">
        <f>IF(B1897=$AB$2,$AC$2,$AC$3)</f>
        <v>1</v>
      </c>
      <c r="E1897">
        <f>IF(ISBLANK(C1897),0,VLOOKUP(C1897,$AE$2:$AF$7,2,0))</f>
        <v>0.5</v>
      </c>
      <c r="F1897">
        <f t="shared" si="62"/>
        <v>0.5</v>
      </c>
    </row>
    <row r="1898" spans="1:6">
      <c r="A1898" s="30">
        <f t="shared" si="63"/>
        <v>44988</v>
      </c>
      <c r="B1898" s="32" t="s">
        <v>199</v>
      </c>
      <c r="C1898" t="s">
        <v>210</v>
      </c>
      <c r="D1898">
        <f>IF(B1898=$AB$2,$AC$2,$AC$3)</f>
        <v>1</v>
      </c>
      <c r="E1898">
        <f>IF(ISBLANK(C1898),0,VLOOKUP(C1898,$AE$2:$AF$7,2,0))</f>
        <v>0.5</v>
      </c>
      <c r="F1898">
        <f t="shared" si="62"/>
        <v>0.5</v>
      </c>
    </row>
    <row r="1899" spans="1:6">
      <c r="A1899" s="30">
        <f t="shared" si="63"/>
        <v>44989</v>
      </c>
      <c r="B1899" s="32" t="s">
        <v>199</v>
      </c>
      <c r="C1899" t="s">
        <v>210</v>
      </c>
      <c r="D1899">
        <f>IF(B1899=$AB$2,$AC$2,$AC$3)</f>
        <v>1</v>
      </c>
      <c r="E1899">
        <f>IF(ISBLANK(C1899),0,VLOOKUP(C1899,$AE$2:$AF$7,2,0))</f>
        <v>0.5</v>
      </c>
      <c r="F1899">
        <f t="shared" si="62"/>
        <v>0.5</v>
      </c>
    </row>
    <row r="1900" spans="1:6">
      <c r="A1900" s="30">
        <f t="shared" si="63"/>
        <v>44990</v>
      </c>
      <c r="B1900" s="32" t="s">
        <v>199</v>
      </c>
      <c r="C1900" t="s">
        <v>210</v>
      </c>
      <c r="D1900">
        <f>IF(B1900=$AB$2,$AC$2,$AC$3)</f>
        <v>1</v>
      </c>
      <c r="E1900">
        <f>IF(ISBLANK(C1900),0,VLOOKUP(C1900,$AE$2:$AF$7,2,0))</f>
        <v>0.5</v>
      </c>
      <c r="F1900">
        <f t="shared" si="62"/>
        <v>0.5</v>
      </c>
    </row>
    <row r="1901" spans="1:6">
      <c r="A1901" s="30">
        <f t="shared" si="63"/>
        <v>44991</v>
      </c>
      <c r="B1901" s="32" t="s">
        <v>199</v>
      </c>
      <c r="C1901" t="s">
        <v>210</v>
      </c>
      <c r="D1901">
        <f>IF(B1901=$AB$2,$AC$2,$AC$3)</f>
        <v>1</v>
      </c>
      <c r="E1901">
        <f>IF(ISBLANK(C1901),0,VLOOKUP(C1901,$AE$2:$AF$7,2,0))</f>
        <v>0.5</v>
      </c>
      <c r="F1901">
        <f t="shared" si="62"/>
        <v>0.5</v>
      </c>
    </row>
    <row r="1902" spans="1:6">
      <c r="A1902" s="30">
        <f t="shared" si="63"/>
        <v>44992</v>
      </c>
      <c r="B1902" s="32" t="s">
        <v>199</v>
      </c>
      <c r="C1902" t="s">
        <v>210</v>
      </c>
      <c r="D1902">
        <f>IF(B1902=$AB$2,$AC$2,$AC$3)</f>
        <v>1</v>
      </c>
      <c r="E1902">
        <f>IF(ISBLANK(C1902),0,VLOOKUP(C1902,$AE$2:$AF$7,2,0))</f>
        <v>0.5</v>
      </c>
      <c r="F1902">
        <f t="shared" si="62"/>
        <v>0.5</v>
      </c>
    </row>
    <row r="1903" spans="1:6">
      <c r="A1903" s="30">
        <f t="shared" si="63"/>
        <v>44993</v>
      </c>
      <c r="B1903" s="32" t="s">
        <v>199</v>
      </c>
      <c r="C1903" t="s">
        <v>210</v>
      </c>
      <c r="D1903">
        <f>IF(B1903=$AB$2,$AC$2,$AC$3)</f>
        <v>1</v>
      </c>
      <c r="E1903">
        <f>IF(ISBLANK(C1903),0,VLOOKUP(C1903,$AE$2:$AF$7,2,0))</f>
        <v>0.5</v>
      </c>
      <c r="F1903">
        <f t="shared" si="62"/>
        <v>0.5</v>
      </c>
    </row>
    <row r="1904" spans="1:6">
      <c r="A1904" s="30">
        <f t="shared" si="63"/>
        <v>44994</v>
      </c>
      <c r="B1904" s="32" t="s">
        <v>199</v>
      </c>
      <c r="C1904" t="s">
        <v>210</v>
      </c>
      <c r="D1904">
        <f>IF(B1904=$AB$2,$AC$2,$AC$3)</f>
        <v>1</v>
      </c>
      <c r="E1904">
        <f>IF(ISBLANK(C1904),0,VLOOKUP(C1904,$AE$2:$AF$7,2,0))</f>
        <v>0.5</v>
      </c>
      <c r="F1904">
        <f t="shared" si="62"/>
        <v>0.5</v>
      </c>
    </row>
    <row r="1905" spans="1:6">
      <c r="A1905" s="30">
        <f t="shared" si="63"/>
        <v>44995</v>
      </c>
      <c r="B1905" s="32" t="s">
        <v>199</v>
      </c>
      <c r="C1905" t="s">
        <v>210</v>
      </c>
      <c r="D1905">
        <f>IF(B1905=$AB$2,$AC$2,$AC$3)</f>
        <v>1</v>
      </c>
      <c r="E1905">
        <f>IF(ISBLANK(C1905),0,VLOOKUP(C1905,$AE$2:$AF$7,2,0))</f>
        <v>0.5</v>
      </c>
      <c r="F1905">
        <f t="shared" si="62"/>
        <v>0.5</v>
      </c>
    </row>
    <row r="1906" spans="1:6">
      <c r="A1906" s="30">
        <f t="shared" si="63"/>
        <v>44996</v>
      </c>
      <c r="B1906" s="32" t="s">
        <v>199</v>
      </c>
      <c r="C1906" t="s">
        <v>210</v>
      </c>
      <c r="D1906">
        <f>IF(B1906=$AB$2,$AC$2,$AC$3)</f>
        <v>1</v>
      </c>
      <c r="E1906">
        <f>IF(ISBLANK(C1906),0,VLOOKUP(C1906,$AE$2:$AF$7,2,0))</f>
        <v>0.5</v>
      </c>
      <c r="F1906">
        <f t="shared" si="62"/>
        <v>0.5</v>
      </c>
    </row>
    <row r="1907" spans="1:6">
      <c r="A1907" s="30">
        <f t="shared" si="63"/>
        <v>44997</v>
      </c>
      <c r="B1907" s="32" t="s">
        <v>199</v>
      </c>
      <c r="C1907" t="s">
        <v>210</v>
      </c>
      <c r="D1907">
        <f>IF(B1907=$AB$2,$AC$2,$AC$3)</f>
        <v>1</v>
      </c>
      <c r="E1907">
        <f>IF(ISBLANK(C1907),0,VLOOKUP(C1907,$AE$2:$AF$7,2,0))</f>
        <v>0.5</v>
      </c>
      <c r="F1907">
        <f t="shared" si="62"/>
        <v>0.5</v>
      </c>
    </row>
    <row r="1908" spans="1:6">
      <c r="A1908" s="30">
        <f t="shared" si="63"/>
        <v>44998</v>
      </c>
      <c r="B1908" s="32" t="s">
        <v>199</v>
      </c>
      <c r="C1908" t="s">
        <v>210</v>
      </c>
      <c r="D1908">
        <f>IF(B1908=$AB$2,$AC$2,$AC$3)</f>
        <v>1</v>
      </c>
      <c r="E1908">
        <f>IF(ISBLANK(C1908),0,VLOOKUP(C1908,$AE$2:$AF$7,2,0))</f>
        <v>0.5</v>
      </c>
      <c r="F1908">
        <f t="shared" si="62"/>
        <v>0.5</v>
      </c>
    </row>
    <row r="1909" spans="1:6">
      <c r="A1909" s="30">
        <f t="shared" si="63"/>
        <v>44999</v>
      </c>
      <c r="B1909" s="32" t="s">
        <v>199</v>
      </c>
      <c r="C1909" t="s">
        <v>210</v>
      </c>
      <c r="D1909">
        <f>IF(B1909=$AB$2,$AC$2,$AC$3)</f>
        <v>1</v>
      </c>
      <c r="E1909">
        <f>IF(ISBLANK(C1909),0,VLOOKUP(C1909,$AE$2:$AF$7,2,0))</f>
        <v>0.5</v>
      </c>
      <c r="F1909">
        <f t="shared" si="62"/>
        <v>0.5</v>
      </c>
    </row>
    <row r="1910" spans="1:6">
      <c r="A1910" s="30">
        <f t="shared" si="63"/>
        <v>45000</v>
      </c>
      <c r="B1910" s="32" t="s">
        <v>199</v>
      </c>
      <c r="C1910" t="s">
        <v>210</v>
      </c>
      <c r="D1910">
        <f>IF(B1910=$AB$2,$AC$2,$AC$3)</f>
        <v>1</v>
      </c>
      <c r="E1910">
        <f>IF(ISBLANK(C1910),0,VLOOKUP(C1910,$AE$2:$AF$7,2,0))</f>
        <v>0.5</v>
      </c>
      <c r="F1910">
        <f t="shared" si="62"/>
        <v>0.5</v>
      </c>
    </row>
    <row r="1911" spans="1:6">
      <c r="A1911" s="30">
        <f t="shared" si="63"/>
        <v>45001</v>
      </c>
      <c r="B1911" s="32" t="s">
        <v>199</v>
      </c>
      <c r="C1911" t="s">
        <v>210</v>
      </c>
      <c r="D1911">
        <f>IF(B1911=$AB$2,$AC$2,$AC$3)</f>
        <v>1</v>
      </c>
      <c r="E1911">
        <f>IF(ISBLANK(C1911),0,VLOOKUP(C1911,$AE$2:$AF$7,2,0))</f>
        <v>0.5</v>
      </c>
      <c r="F1911">
        <f t="shared" si="62"/>
        <v>0.5</v>
      </c>
    </row>
    <row r="1912" spans="1:6">
      <c r="A1912" s="30">
        <f t="shared" si="63"/>
        <v>45002</v>
      </c>
      <c r="B1912" s="32" t="s">
        <v>199</v>
      </c>
      <c r="C1912" t="s">
        <v>210</v>
      </c>
      <c r="D1912">
        <f>IF(B1912=$AB$2,$AC$2,$AC$3)</f>
        <v>1</v>
      </c>
      <c r="E1912">
        <f>IF(ISBLANK(C1912),0,VLOOKUP(C1912,$AE$2:$AF$7,2,0))</f>
        <v>0.5</v>
      </c>
      <c r="F1912">
        <f t="shared" si="62"/>
        <v>0.5</v>
      </c>
    </row>
    <row r="1913" spans="1:6">
      <c r="A1913" s="30">
        <f t="shared" si="63"/>
        <v>45003</v>
      </c>
      <c r="B1913" s="32" t="s">
        <v>199</v>
      </c>
      <c r="C1913" t="s">
        <v>210</v>
      </c>
      <c r="D1913">
        <f>IF(B1913=$AB$2,$AC$2,$AC$3)</f>
        <v>1</v>
      </c>
      <c r="E1913">
        <f>IF(ISBLANK(C1913),0,VLOOKUP(C1913,$AE$2:$AF$7,2,0))</f>
        <v>0.5</v>
      </c>
      <c r="F1913">
        <f t="shared" si="62"/>
        <v>0.5</v>
      </c>
    </row>
    <row r="1914" spans="1:6">
      <c r="A1914" s="30">
        <f t="shared" si="63"/>
        <v>45004</v>
      </c>
      <c r="B1914" s="32" t="s">
        <v>199</v>
      </c>
      <c r="C1914" t="s">
        <v>210</v>
      </c>
      <c r="D1914">
        <f>IF(B1914=$AB$2,$AC$2,$AC$3)</f>
        <v>1</v>
      </c>
      <c r="E1914">
        <f>IF(ISBLANK(C1914),0,VLOOKUP(C1914,$AE$2:$AF$7,2,0))</f>
        <v>0.5</v>
      </c>
      <c r="F1914">
        <f t="shared" si="62"/>
        <v>0.5</v>
      </c>
    </row>
    <row r="1915" spans="1:6">
      <c r="A1915" s="30">
        <f t="shared" si="63"/>
        <v>45005</v>
      </c>
      <c r="B1915" s="32" t="s">
        <v>199</v>
      </c>
      <c r="C1915" t="s">
        <v>210</v>
      </c>
      <c r="D1915">
        <f>IF(B1915=$AB$2,$AC$2,$AC$3)</f>
        <v>1</v>
      </c>
      <c r="E1915">
        <f>IF(ISBLANK(C1915),0,VLOOKUP(C1915,$AE$2:$AF$7,2,0))</f>
        <v>0.5</v>
      </c>
      <c r="F1915">
        <f t="shared" si="62"/>
        <v>0.5</v>
      </c>
    </row>
    <row r="1916" spans="1:6">
      <c r="A1916" s="30">
        <f t="shared" si="63"/>
        <v>45006</v>
      </c>
      <c r="B1916" s="32" t="s">
        <v>199</v>
      </c>
      <c r="C1916" t="s">
        <v>210</v>
      </c>
      <c r="D1916">
        <f>IF(B1916=$AB$2,$AC$2,$AC$3)</f>
        <v>1</v>
      </c>
      <c r="E1916">
        <f>IF(ISBLANK(C1916),0,VLOOKUP(C1916,$AE$2:$AF$7,2,0))</f>
        <v>0.5</v>
      </c>
      <c r="F1916">
        <f t="shared" si="62"/>
        <v>0.5</v>
      </c>
    </row>
    <row r="1917" spans="1:6">
      <c r="A1917" s="30">
        <f t="shared" si="63"/>
        <v>45007</v>
      </c>
      <c r="B1917" s="32" t="s">
        <v>199</v>
      </c>
      <c r="C1917" t="s">
        <v>210</v>
      </c>
      <c r="D1917">
        <f>IF(B1917=$AB$2,$AC$2,$AC$3)</f>
        <v>1</v>
      </c>
      <c r="E1917">
        <f>IF(ISBLANK(C1917),0,VLOOKUP(C1917,$AE$2:$AF$7,2,0))</f>
        <v>0.5</v>
      </c>
      <c r="F1917">
        <f t="shared" si="62"/>
        <v>0.5</v>
      </c>
    </row>
    <row r="1918" spans="1:6">
      <c r="A1918" s="30">
        <f t="shared" si="63"/>
        <v>45008</v>
      </c>
      <c r="B1918" s="32" t="s">
        <v>199</v>
      </c>
      <c r="C1918" t="s">
        <v>210</v>
      </c>
      <c r="D1918">
        <f>IF(B1918=$AB$2,$AC$2,$AC$3)</f>
        <v>1</v>
      </c>
      <c r="E1918">
        <f>IF(ISBLANK(C1918),0,VLOOKUP(C1918,$AE$2:$AF$7,2,0))</f>
        <v>0.5</v>
      </c>
      <c r="F1918">
        <f t="shared" si="62"/>
        <v>0.5</v>
      </c>
    </row>
    <row r="1919" spans="1:6">
      <c r="A1919" s="30">
        <f t="shared" si="63"/>
        <v>45009</v>
      </c>
      <c r="B1919" s="32" t="s">
        <v>199</v>
      </c>
      <c r="C1919" t="s">
        <v>210</v>
      </c>
      <c r="D1919">
        <f>IF(B1919=$AB$2,$AC$2,$AC$3)</f>
        <v>1</v>
      </c>
      <c r="E1919">
        <f>IF(ISBLANK(C1919),0,VLOOKUP(C1919,$AE$2:$AF$7,2,0))</f>
        <v>0.5</v>
      </c>
      <c r="F1919">
        <f t="shared" si="62"/>
        <v>0.5</v>
      </c>
    </row>
    <row r="1920" spans="1:6">
      <c r="A1920" s="30">
        <f t="shared" si="63"/>
        <v>45010</v>
      </c>
      <c r="B1920" s="32" t="s">
        <v>199</v>
      </c>
      <c r="C1920" t="s">
        <v>210</v>
      </c>
      <c r="D1920">
        <f>IF(B1920=$AB$2,$AC$2,$AC$3)</f>
        <v>1</v>
      </c>
      <c r="E1920">
        <f>IF(ISBLANK(C1920),0,VLOOKUP(C1920,$AE$2:$AF$7,2,0))</f>
        <v>0.5</v>
      </c>
      <c r="F1920">
        <f t="shared" si="62"/>
        <v>0.5</v>
      </c>
    </row>
    <row r="1921" spans="1:6">
      <c r="A1921" s="30">
        <f t="shared" si="63"/>
        <v>45011</v>
      </c>
      <c r="B1921" s="32" t="s">
        <v>199</v>
      </c>
      <c r="C1921" t="s">
        <v>210</v>
      </c>
      <c r="D1921">
        <f>IF(B1921=$AB$2,$AC$2,$AC$3)</f>
        <v>1</v>
      </c>
      <c r="E1921">
        <f>IF(ISBLANK(C1921),0,VLOOKUP(C1921,$AE$2:$AF$7,2,0))</f>
        <v>0.5</v>
      </c>
      <c r="F1921">
        <f t="shared" si="62"/>
        <v>0.5</v>
      </c>
    </row>
    <row r="1922" spans="1:6">
      <c r="A1922" s="30">
        <f t="shared" si="63"/>
        <v>45012</v>
      </c>
      <c r="B1922" s="32" t="s">
        <v>199</v>
      </c>
      <c r="C1922" t="s">
        <v>210</v>
      </c>
      <c r="D1922">
        <f>IF(B1922=$AB$2,$AC$2,$AC$3)</f>
        <v>1</v>
      </c>
      <c r="E1922">
        <f>IF(ISBLANK(C1922),0,VLOOKUP(C1922,$AE$2:$AF$7,2,0))</f>
        <v>0.5</v>
      </c>
      <c r="F1922">
        <f t="shared" si="62"/>
        <v>0.5</v>
      </c>
    </row>
    <row r="1923" spans="1:6">
      <c r="A1923" s="30">
        <f t="shared" si="63"/>
        <v>45013</v>
      </c>
      <c r="B1923" s="32" t="s">
        <v>199</v>
      </c>
      <c r="C1923" t="s">
        <v>210</v>
      </c>
      <c r="D1923">
        <f>IF(B1923=$AB$2,$AC$2,$AC$3)</f>
        <v>1</v>
      </c>
      <c r="E1923">
        <f>IF(ISBLANK(C1923),0,VLOOKUP(C1923,$AE$2:$AF$7,2,0))</f>
        <v>0.5</v>
      </c>
      <c r="F1923">
        <f t="shared" ref="F1923:F1986" si="64">D1923*E1923</f>
        <v>0.5</v>
      </c>
    </row>
    <row r="1924" spans="1:6">
      <c r="A1924" s="30">
        <f t="shared" si="63"/>
        <v>45014</v>
      </c>
      <c r="B1924" s="32" t="s">
        <v>199</v>
      </c>
      <c r="C1924" t="s">
        <v>210</v>
      </c>
      <c r="D1924">
        <f>IF(B1924=$AB$2,$AC$2,$AC$3)</f>
        <v>1</v>
      </c>
      <c r="E1924">
        <f>IF(ISBLANK(C1924),0,VLOOKUP(C1924,$AE$2:$AF$7,2,0))</f>
        <v>0.5</v>
      </c>
      <c r="F1924">
        <f t="shared" si="64"/>
        <v>0.5</v>
      </c>
    </row>
    <row r="1925" spans="1:6">
      <c r="A1925" s="30">
        <f t="shared" si="63"/>
        <v>45015</v>
      </c>
      <c r="B1925" s="32" t="s">
        <v>199</v>
      </c>
      <c r="C1925" t="s">
        <v>210</v>
      </c>
      <c r="D1925">
        <f>IF(B1925=$AB$2,$AC$2,$AC$3)</f>
        <v>1</v>
      </c>
      <c r="E1925">
        <f>IF(ISBLANK(C1925),0,VLOOKUP(C1925,$AE$2:$AF$7,2,0))</f>
        <v>0.5</v>
      </c>
      <c r="F1925">
        <f t="shared" si="64"/>
        <v>0.5</v>
      </c>
    </row>
    <row r="1926" spans="1:6">
      <c r="A1926" s="30">
        <f t="shared" si="63"/>
        <v>45016</v>
      </c>
      <c r="B1926" s="32" t="s">
        <v>199</v>
      </c>
      <c r="C1926" t="s">
        <v>210</v>
      </c>
      <c r="D1926">
        <f>IF(B1926=$AB$2,$AC$2,$AC$3)</f>
        <v>1</v>
      </c>
      <c r="E1926">
        <f>IF(ISBLANK(C1926),0,VLOOKUP(C1926,$AE$2:$AF$7,2,0))</f>
        <v>0.5</v>
      </c>
      <c r="F1926">
        <f t="shared" si="64"/>
        <v>0.5</v>
      </c>
    </row>
    <row r="1927" spans="1:6">
      <c r="A1927" s="30">
        <f t="shared" si="63"/>
        <v>45017</v>
      </c>
      <c r="B1927" s="32" t="s">
        <v>199</v>
      </c>
      <c r="C1927" t="s">
        <v>210</v>
      </c>
      <c r="D1927">
        <f>IF(B1927=$AB$2,$AC$2,$AC$3)</f>
        <v>1</v>
      </c>
      <c r="E1927">
        <f>IF(ISBLANK(C1927),0,VLOOKUP(C1927,$AE$2:$AF$7,2,0))</f>
        <v>0.5</v>
      </c>
      <c r="F1927">
        <f t="shared" si="64"/>
        <v>0.5</v>
      </c>
    </row>
    <row r="1928" spans="1:6">
      <c r="A1928" s="30">
        <f t="shared" si="63"/>
        <v>45018</v>
      </c>
      <c r="B1928" s="32" t="s">
        <v>199</v>
      </c>
      <c r="C1928" t="s">
        <v>210</v>
      </c>
      <c r="D1928">
        <f>IF(B1928=$AB$2,$AC$2,$AC$3)</f>
        <v>1</v>
      </c>
      <c r="E1928">
        <f>IF(ISBLANK(C1928),0,VLOOKUP(C1928,$AE$2:$AF$7,2,0))</f>
        <v>0.5</v>
      </c>
      <c r="F1928">
        <f t="shared" si="64"/>
        <v>0.5</v>
      </c>
    </row>
    <row r="1929" spans="1:6">
      <c r="A1929" s="30">
        <f t="shared" si="63"/>
        <v>45019</v>
      </c>
      <c r="B1929" s="32" t="s">
        <v>199</v>
      </c>
      <c r="C1929" t="s">
        <v>210</v>
      </c>
      <c r="D1929">
        <f>IF(B1929=$AB$2,$AC$2,$AC$3)</f>
        <v>1</v>
      </c>
      <c r="E1929">
        <f>IF(ISBLANK(C1929),0,VLOOKUP(C1929,$AE$2:$AF$7,2,0))</f>
        <v>0.5</v>
      </c>
      <c r="F1929">
        <f t="shared" si="64"/>
        <v>0.5</v>
      </c>
    </row>
    <row r="1930" spans="1:6">
      <c r="A1930" s="30">
        <f t="shared" si="63"/>
        <v>45020</v>
      </c>
      <c r="B1930" s="32" t="s">
        <v>199</v>
      </c>
      <c r="C1930" t="s">
        <v>210</v>
      </c>
      <c r="D1930">
        <f>IF(B1930=$AB$2,$AC$2,$AC$3)</f>
        <v>1</v>
      </c>
      <c r="E1930">
        <f>IF(ISBLANK(C1930),0,VLOOKUP(C1930,$AE$2:$AF$7,2,0))</f>
        <v>0.5</v>
      </c>
      <c r="F1930">
        <f t="shared" si="64"/>
        <v>0.5</v>
      </c>
    </row>
    <row r="1931" spans="1:6">
      <c r="A1931" s="30">
        <f t="shared" si="63"/>
        <v>45021</v>
      </c>
      <c r="B1931" s="32" t="s">
        <v>199</v>
      </c>
      <c r="C1931" t="s">
        <v>210</v>
      </c>
      <c r="D1931">
        <f>IF(B1931=$AB$2,$AC$2,$AC$3)</f>
        <v>1</v>
      </c>
      <c r="E1931">
        <f>IF(ISBLANK(C1931),0,VLOOKUP(C1931,$AE$2:$AF$7,2,0))</f>
        <v>0.5</v>
      </c>
      <c r="F1931">
        <f t="shared" si="64"/>
        <v>0.5</v>
      </c>
    </row>
    <row r="1932" spans="1:6">
      <c r="A1932" s="30">
        <f t="shared" si="63"/>
        <v>45022</v>
      </c>
      <c r="B1932" s="32" t="s">
        <v>199</v>
      </c>
      <c r="C1932" t="s">
        <v>210</v>
      </c>
      <c r="D1932">
        <f>IF(B1932=$AB$2,$AC$2,$AC$3)</f>
        <v>1</v>
      </c>
      <c r="E1932">
        <f>IF(ISBLANK(C1932),0,VLOOKUP(C1932,$AE$2:$AF$7,2,0))</f>
        <v>0.5</v>
      </c>
      <c r="F1932">
        <f t="shared" si="64"/>
        <v>0.5</v>
      </c>
    </row>
    <row r="1933" spans="1:6">
      <c r="A1933" s="30">
        <f t="shared" si="63"/>
        <v>45023</v>
      </c>
      <c r="B1933" s="32" t="s">
        <v>199</v>
      </c>
      <c r="C1933" t="s">
        <v>210</v>
      </c>
      <c r="D1933">
        <f>IF(B1933=$AB$2,$AC$2,$AC$3)</f>
        <v>1</v>
      </c>
      <c r="E1933">
        <f>IF(ISBLANK(C1933),0,VLOOKUP(C1933,$AE$2:$AF$7,2,0))</f>
        <v>0.5</v>
      </c>
      <c r="F1933">
        <f t="shared" si="64"/>
        <v>0.5</v>
      </c>
    </row>
    <row r="1934" spans="1:6">
      <c r="A1934" s="30">
        <f t="shared" si="63"/>
        <v>45024</v>
      </c>
      <c r="B1934" s="32" t="s">
        <v>199</v>
      </c>
      <c r="C1934" t="s">
        <v>210</v>
      </c>
      <c r="D1934">
        <f>IF(B1934=$AB$2,$AC$2,$AC$3)</f>
        <v>1</v>
      </c>
      <c r="E1934">
        <f>IF(ISBLANK(C1934),0,VLOOKUP(C1934,$AE$2:$AF$7,2,0))</f>
        <v>0.5</v>
      </c>
      <c r="F1934">
        <f t="shared" si="64"/>
        <v>0.5</v>
      </c>
    </row>
    <row r="1935" spans="1:6">
      <c r="A1935" s="30">
        <f t="shared" si="63"/>
        <v>45025</v>
      </c>
      <c r="B1935" s="32" t="s">
        <v>199</v>
      </c>
      <c r="C1935" t="s">
        <v>210</v>
      </c>
      <c r="D1935">
        <f>IF(B1935=$AB$2,$AC$2,$AC$3)</f>
        <v>1</v>
      </c>
      <c r="E1935">
        <f>IF(ISBLANK(C1935),0,VLOOKUP(C1935,$AE$2:$AF$7,2,0))</f>
        <v>0.5</v>
      </c>
      <c r="F1935">
        <f t="shared" si="64"/>
        <v>0.5</v>
      </c>
    </row>
    <row r="1936" spans="1:6">
      <c r="A1936" s="30">
        <f t="shared" si="63"/>
        <v>45026</v>
      </c>
      <c r="B1936" s="32" t="s">
        <v>199</v>
      </c>
      <c r="C1936" t="s">
        <v>210</v>
      </c>
      <c r="D1936">
        <f>IF(B1936=$AB$2,$AC$2,$AC$3)</f>
        <v>1</v>
      </c>
      <c r="E1936">
        <f>IF(ISBLANK(C1936),0,VLOOKUP(C1936,$AE$2:$AF$7,2,0))</f>
        <v>0.5</v>
      </c>
      <c r="F1936">
        <f t="shared" si="64"/>
        <v>0.5</v>
      </c>
    </row>
    <row r="1937" spans="1:6">
      <c r="A1937" s="30">
        <f t="shared" si="63"/>
        <v>45027</v>
      </c>
      <c r="B1937" s="32" t="s">
        <v>199</v>
      </c>
      <c r="C1937" t="s">
        <v>210</v>
      </c>
      <c r="D1937">
        <f>IF(B1937=$AB$2,$AC$2,$AC$3)</f>
        <v>1</v>
      </c>
      <c r="E1937">
        <f>IF(ISBLANK(C1937),0,VLOOKUP(C1937,$AE$2:$AF$7,2,0))</f>
        <v>0.5</v>
      </c>
      <c r="F1937">
        <f t="shared" si="64"/>
        <v>0.5</v>
      </c>
    </row>
    <row r="1938" spans="1:6">
      <c r="A1938" s="30">
        <f t="shared" si="63"/>
        <v>45028</v>
      </c>
      <c r="B1938" s="32" t="s">
        <v>199</v>
      </c>
      <c r="C1938" t="s">
        <v>210</v>
      </c>
      <c r="D1938">
        <f>IF(B1938=$AB$2,$AC$2,$AC$3)</f>
        <v>1</v>
      </c>
      <c r="E1938">
        <f>IF(ISBLANK(C1938),0,VLOOKUP(C1938,$AE$2:$AF$7,2,0))</f>
        <v>0.5</v>
      </c>
      <c r="F1938">
        <f t="shared" si="64"/>
        <v>0.5</v>
      </c>
    </row>
    <row r="1939" spans="1:6">
      <c r="A1939" s="30">
        <f t="shared" si="63"/>
        <v>45029</v>
      </c>
      <c r="B1939" s="32" t="s">
        <v>199</v>
      </c>
      <c r="C1939" t="s">
        <v>210</v>
      </c>
      <c r="D1939">
        <f>IF(B1939=$AB$2,$AC$2,$AC$3)</f>
        <v>1</v>
      </c>
      <c r="E1939">
        <f>IF(ISBLANK(C1939),0,VLOOKUP(C1939,$AE$2:$AF$7,2,0))</f>
        <v>0.5</v>
      </c>
      <c r="F1939">
        <f t="shared" si="64"/>
        <v>0.5</v>
      </c>
    </row>
    <row r="1940" spans="1:6">
      <c r="A1940" s="30">
        <f t="shared" si="63"/>
        <v>45030</v>
      </c>
      <c r="B1940" s="32" t="s">
        <v>199</v>
      </c>
      <c r="C1940" t="s">
        <v>210</v>
      </c>
      <c r="D1940">
        <f>IF(B1940=$AB$2,$AC$2,$AC$3)</f>
        <v>1</v>
      </c>
      <c r="E1940">
        <f>IF(ISBLANK(C1940),0,VLOOKUP(C1940,$AE$2:$AF$7,2,0))</f>
        <v>0.5</v>
      </c>
      <c r="F1940">
        <f t="shared" si="64"/>
        <v>0.5</v>
      </c>
    </row>
    <row r="1941" spans="1:6">
      <c r="A1941" s="30">
        <f>A1940+1</f>
        <v>45031</v>
      </c>
      <c r="B1941" s="32" t="s">
        <v>199</v>
      </c>
      <c r="C1941" t="s">
        <v>210</v>
      </c>
      <c r="D1941">
        <f>IF(B1941=$AB$2,$AC$2,$AC$3)</f>
        <v>1</v>
      </c>
      <c r="E1941">
        <f>IF(ISBLANK(C1941),0,VLOOKUP(C1941,$AE$2:$AF$7,2,0))</f>
        <v>0.5</v>
      </c>
      <c r="F1941">
        <f t="shared" si="64"/>
        <v>0.5</v>
      </c>
    </row>
    <row r="1942" spans="1:6">
      <c r="A1942" s="30">
        <f t="shared" ref="A1942:A2005" si="65">A1941+1</f>
        <v>45032</v>
      </c>
      <c r="B1942" s="32" t="s">
        <v>199</v>
      </c>
      <c r="C1942" t="s">
        <v>210</v>
      </c>
      <c r="D1942">
        <f>IF(B1942=$AB$2,$AC$2,$AC$3)</f>
        <v>1</v>
      </c>
      <c r="E1942">
        <f>IF(ISBLANK(C1942),0,VLOOKUP(C1942,$AE$2:$AF$7,2,0))</f>
        <v>0.5</v>
      </c>
      <c r="F1942">
        <f t="shared" si="64"/>
        <v>0.5</v>
      </c>
    </row>
    <row r="1943" spans="1:6">
      <c r="A1943" s="30">
        <f t="shared" si="65"/>
        <v>45033</v>
      </c>
      <c r="B1943" s="32" t="s">
        <v>199</v>
      </c>
      <c r="C1943" t="s">
        <v>210</v>
      </c>
      <c r="D1943">
        <f>IF(B1943=$AB$2,$AC$2,$AC$3)</f>
        <v>1</v>
      </c>
      <c r="E1943">
        <f>IF(ISBLANK(C1943),0,VLOOKUP(C1943,$AE$2:$AF$7,2,0))</f>
        <v>0.5</v>
      </c>
      <c r="F1943">
        <f t="shared" si="64"/>
        <v>0.5</v>
      </c>
    </row>
    <row r="1944" spans="1:6">
      <c r="A1944" s="30">
        <f t="shared" si="65"/>
        <v>45034</v>
      </c>
      <c r="B1944" s="32" t="s">
        <v>199</v>
      </c>
      <c r="C1944" t="s">
        <v>210</v>
      </c>
      <c r="D1944">
        <f>IF(B1944=$AB$2,$AC$2,$AC$3)</f>
        <v>1</v>
      </c>
      <c r="E1944">
        <f>IF(ISBLANK(C1944),0,VLOOKUP(C1944,$AE$2:$AF$7,2,0))</f>
        <v>0.5</v>
      </c>
      <c r="F1944">
        <f t="shared" si="64"/>
        <v>0.5</v>
      </c>
    </row>
    <row r="1945" spans="1:6">
      <c r="A1945" s="30">
        <f t="shared" si="65"/>
        <v>45035</v>
      </c>
      <c r="B1945" s="32" t="s">
        <v>199</v>
      </c>
      <c r="C1945" t="s">
        <v>210</v>
      </c>
      <c r="D1945">
        <f>IF(B1945=$AB$2,$AC$2,$AC$3)</f>
        <v>1</v>
      </c>
      <c r="E1945">
        <f>IF(ISBLANK(C1945),0,VLOOKUP(C1945,$AE$2:$AF$7,2,0))</f>
        <v>0.5</v>
      </c>
      <c r="F1945">
        <f t="shared" si="64"/>
        <v>0.5</v>
      </c>
    </row>
    <row r="1946" spans="1:6">
      <c r="A1946" s="30">
        <f t="shared" si="65"/>
        <v>45036</v>
      </c>
      <c r="B1946" s="32" t="s">
        <v>199</v>
      </c>
      <c r="C1946" t="s">
        <v>210</v>
      </c>
      <c r="D1946">
        <f>IF(B1946=$AB$2,$AC$2,$AC$3)</f>
        <v>1</v>
      </c>
      <c r="E1946">
        <f>IF(ISBLANK(C1946),0,VLOOKUP(C1946,$AE$2:$AF$7,2,0))</f>
        <v>0.5</v>
      </c>
      <c r="F1946">
        <f t="shared" si="64"/>
        <v>0.5</v>
      </c>
    </row>
    <row r="1947" spans="1:6">
      <c r="A1947" s="30">
        <f t="shared" si="65"/>
        <v>45037</v>
      </c>
      <c r="B1947" s="32" t="s">
        <v>199</v>
      </c>
      <c r="C1947" t="s">
        <v>210</v>
      </c>
      <c r="D1947">
        <f>IF(B1947=$AB$2,$AC$2,$AC$3)</f>
        <v>1</v>
      </c>
      <c r="E1947">
        <f>IF(ISBLANK(C1947),0,VLOOKUP(C1947,$AE$2:$AF$7,2,0))</f>
        <v>0.5</v>
      </c>
      <c r="F1947">
        <f t="shared" si="64"/>
        <v>0.5</v>
      </c>
    </row>
    <row r="1948" spans="1:6">
      <c r="A1948" s="30">
        <f t="shared" si="65"/>
        <v>45038</v>
      </c>
      <c r="B1948" s="32" t="s">
        <v>199</v>
      </c>
      <c r="C1948" t="s">
        <v>210</v>
      </c>
      <c r="D1948">
        <f>IF(B1948=$AB$2,$AC$2,$AC$3)</f>
        <v>1</v>
      </c>
      <c r="E1948">
        <f>IF(ISBLANK(C1948),0,VLOOKUP(C1948,$AE$2:$AF$7,2,0))</f>
        <v>0.5</v>
      </c>
      <c r="F1948">
        <f t="shared" si="64"/>
        <v>0.5</v>
      </c>
    </row>
    <row r="1949" spans="1:6">
      <c r="A1949" s="30">
        <f t="shared" si="65"/>
        <v>45039</v>
      </c>
      <c r="B1949" s="32" t="s">
        <v>199</v>
      </c>
      <c r="C1949" t="s">
        <v>210</v>
      </c>
      <c r="D1949">
        <f>IF(B1949=$AB$2,$AC$2,$AC$3)</f>
        <v>1</v>
      </c>
      <c r="E1949">
        <f>IF(ISBLANK(C1949),0,VLOOKUP(C1949,$AE$2:$AF$7,2,0))</f>
        <v>0.5</v>
      </c>
      <c r="F1949">
        <f t="shared" si="64"/>
        <v>0.5</v>
      </c>
    </row>
    <row r="1950" spans="1:6">
      <c r="A1950" s="30">
        <f t="shared" si="65"/>
        <v>45040</v>
      </c>
      <c r="B1950" s="32" t="s">
        <v>199</v>
      </c>
      <c r="C1950" t="s">
        <v>210</v>
      </c>
      <c r="D1950">
        <f>IF(B1950=$AB$2,$AC$2,$AC$3)</f>
        <v>1</v>
      </c>
      <c r="E1950">
        <f>IF(ISBLANK(C1950),0,VLOOKUP(C1950,$AE$2:$AF$7,2,0))</f>
        <v>0.5</v>
      </c>
      <c r="F1950">
        <f t="shared" si="64"/>
        <v>0.5</v>
      </c>
    </row>
    <row r="1951" spans="1:6">
      <c r="A1951" s="30">
        <f t="shared" si="65"/>
        <v>45041</v>
      </c>
      <c r="B1951" s="32" t="s">
        <v>199</v>
      </c>
      <c r="C1951" t="s">
        <v>210</v>
      </c>
      <c r="D1951">
        <f>IF(B1951=$AB$2,$AC$2,$AC$3)</f>
        <v>1</v>
      </c>
      <c r="E1951">
        <f>IF(ISBLANK(C1951),0,VLOOKUP(C1951,$AE$2:$AF$7,2,0))</f>
        <v>0.5</v>
      </c>
      <c r="F1951">
        <f t="shared" si="64"/>
        <v>0.5</v>
      </c>
    </row>
    <row r="1952" spans="1:6">
      <c r="A1952" s="30">
        <f t="shared" si="65"/>
        <v>45042</v>
      </c>
      <c r="B1952" s="32" t="s">
        <v>199</v>
      </c>
      <c r="C1952" t="s">
        <v>210</v>
      </c>
      <c r="D1952">
        <f>IF(B1952=$AB$2,$AC$2,$AC$3)</f>
        <v>1</v>
      </c>
      <c r="E1952">
        <f>IF(ISBLANK(C1952),0,VLOOKUP(C1952,$AE$2:$AF$7,2,0))</f>
        <v>0.5</v>
      </c>
      <c r="F1952">
        <f t="shared" si="64"/>
        <v>0.5</v>
      </c>
    </row>
    <row r="1953" spans="1:6">
      <c r="A1953" s="30">
        <f t="shared" si="65"/>
        <v>45043</v>
      </c>
      <c r="B1953" s="32" t="s">
        <v>199</v>
      </c>
      <c r="C1953" t="s">
        <v>210</v>
      </c>
      <c r="D1953">
        <f>IF(B1953=$AB$2,$AC$2,$AC$3)</f>
        <v>1</v>
      </c>
      <c r="E1953">
        <f>IF(ISBLANK(C1953),0,VLOOKUP(C1953,$AE$2:$AF$7,2,0))</f>
        <v>0.5</v>
      </c>
      <c r="F1953">
        <f t="shared" si="64"/>
        <v>0.5</v>
      </c>
    </row>
    <row r="1954" spans="1:6">
      <c r="A1954" s="30">
        <f t="shared" si="65"/>
        <v>45044</v>
      </c>
      <c r="B1954" s="32" t="s">
        <v>199</v>
      </c>
      <c r="C1954" t="s">
        <v>210</v>
      </c>
      <c r="D1954">
        <f>IF(B1954=$AB$2,$AC$2,$AC$3)</f>
        <v>1</v>
      </c>
      <c r="E1954">
        <f>IF(ISBLANK(C1954),0,VLOOKUP(C1954,$AE$2:$AF$7,2,0))</f>
        <v>0.5</v>
      </c>
      <c r="F1954">
        <f t="shared" si="64"/>
        <v>0.5</v>
      </c>
    </row>
    <row r="1955" spans="1:6">
      <c r="A1955" s="30">
        <f t="shared" si="65"/>
        <v>45045</v>
      </c>
      <c r="B1955" s="32" t="s">
        <v>199</v>
      </c>
      <c r="C1955" t="s">
        <v>210</v>
      </c>
      <c r="D1955">
        <f>IF(B1955=$AB$2,$AC$2,$AC$3)</f>
        <v>1</v>
      </c>
      <c r="E1955">
        <f>IF(ISBLANK(C1955),0,VLOOKUP(C1955,$AE$2:$AF$7,2,0))</f>
        <v>0.5</v>
      </c>
      <c r="F1955">
        <f t="shared" si="64"/>
        <v>0.5</v>
      </c>
    </row>
    <row r="1956" spans="1:6">
      <c r="A1956" s="30">
        <f t="shared" si="65"/>
        <v>45046</v>
      </c>
      <c r="B1956" s="32" t="s">
        <v>199</v>
      </c>
      <c r="C1956" t="s">
        <v>210</v>
      </c>
      <c r="D1956">
        <f>IF(B1956=$AB$2,$AC$2,$AC$3)</f>
        <v>1</v>
      </c>
      <c r="E1956">
        <f>IF(ISBLANK(C1956),0,VLOOKUP(C1956,$AE$2:$AF$7,2,0))</f>
        <v>0.5</v>
      </c>
      <c r="F1956">
        <f t="shared" si="64"/>
        <v>0.5</v>
      </c>
    </row>
    <row r="1957" spans="1:6">
      <c r="A1957" s="30">
        <f t="shared" si="65"/>
        <v>45047</v>
      </c>
      <c r="B1957" s="32" t="s">
        <v>199</v>
      </c>
      <c r="C1957" t="s">
        <v>210</v>
      </c>
      <c r="D1957">
        <f>IF(B1957=$AB$2,$AC$2,$AC$3)</f>
        <v>1</v>
      </c>
      <c r="E1957">
        <f>IF(ISBLANK(C1957),0,VLOOKUP(C1957,$AE$2:$AF$7,2,0))</f>
        <v>0.5</v>
      </c>
      <c r="F1957">
        <f t="shared" si="64"/>
        <v>0.5</v>
      </c>
    </row>
    <row r="1958" spans="1:6">
      <c r="A1958" s="30">
        <f t="shared" si="65"/>
        <v>45048</v>
      </c>
      <c r="B1958" s="32" t="s">
        <v>199</v>
      </c>
      <c r="C1958" t="s">
        <v>210</v>
      </c>
      <c r="D1958">
        <f>IF(B1958=$AB$2,$AC$2,$AC$3)</f>
        <v>1</v>
      </c>
      <c r="E1958">
        <f>IF(ISBLANK(C1958),0,VLOOKUP(C1958,$AE$2:$AF$7,2,0))</f>
        <v>0.5</v>
      </c>
      <c r="F1958">
        <f t="shared" si="64"/>
        <v>0.5</v>
      </c>
    </row>
    <row r="1959" spans="1:6">
      <c r="A1959" s="30">
        <f t="shared" si="65"/>
        <v>45049</v>
      </c>
      <c r="B1959" s="32" t="s">
        <v>199</v>
      </c>
      <c r="C1959" t="s">
        <v>210</v>
      </c>
      <c r="D1959">
        <f>IF(B1959=$AB$2,$AC$2,$AC$3)</f>
        <v>1</v>
      </c>
      <c r="E1959">
        <f>IF(ISBLANK(C1959),0,VLOOKUP(C1959,$AE$2:$AF$7,2,0))</f>
        <v>0.5</v>
      </c>
      <c r="F1959">
        <f t="shared" si="64"/>
        <v>0.5</v>
      </c>
    </row>
    <row r="1960" spans="1:6">
      <c r="A1960" s="30">
        <f t="shared" si="65"/>
        <v>45050</v>
      </c>
      <c r="B1960" s="32" t="s">
        <v>199</v>
      </c>
      <c r="C1960" t="s">
        <v>210</v>
      </c>
      <c r="D1960">
        <f>IF(B1960=$AB$2,$AC$2,$AC$3)</f>
        <v>1</v>
      </c>
      <c r="E1960">
        <f>IF(ISBLANK(C1960),0,VLOOKUP(C1960,$AE$2:$AF$7,2,0))</f>
        <v>0.5</v>
      </c>
      <c r="F1960">
        <f t="shared" si="64"/>
        <v>0.5</v>
      </c>
    </row>
    <row r="1961" spans="1:6">
      <c r="A1961" s="30">
        <f t="shared" si="65"/>
        <v>45051</v>
      </c>
      <c r="B1961" s="32" t="s">
        <v>199</v>
      </c>
      <c r="C1961" t="s">
        <v>210</v>
      </c>
      <c r="D1961">
        <f>IF(B1961=$AB$2,$AC$2,$AC$3)</f>
        <v>1</v>
      </c>
      <c r="E1961">
        <f>IF(ISBLANK(C1961),0,VLOOKUP(C1961,$AE$2:$AF$7,2,0))</f>
        <v>0.5</v>
      </c>
      <c r="F1961">
        <f t="shared" si="64"/>
        <v>0.5</v>
      </c>
    </row>
    <row r="1962" spans="1:6">
      <c r="A1962" s="30">
        <f t="shared" si="65"/>
        <v>45052</v>
      </c>
      <c r="B1962" s="32" t="s">
        <v>199</v>
      </c>
      <c r="C1962" t="s">
        <v>210</v>
      </c>
      <c r="D1962">
        <f>IF(B1962=$AB$2,$AC$2,$AC$3)</f>
        <v>1</v>
      </c>
      <c r="E1962">
        <f>IF(ISBLANK(C1962),0,VLOOKUP(C1962,$AE$2:$AF$7,2,0))</f>
        <v>0.5</v>
      </c>
      <c r="F1962">
        <f t="shared" si="64"/>
        <v>0.5</v>
      </c>
    </row>
    <row r="1963" spans="1:6">
      <c r="A1963" s="30">
        <f t="shared" si="65"/>
        <v>45053</v>
      </c>
      <c r="B1963" s="32" t="s">
        <v>199</v>
      </c>
      <c r="C1963" t="s">
        <v>210</v>
      </c>
      <c r="D1963">
        <f>IF(B1963=$AB$2,$AC$2,$AC$3)</f>
        <v>1</v>
      </c>
      <c r="E1963">
        <f>IF(ISBLANK(C1963),0,VLOOKUP(C1963,$AE$2:$AF$7,2,0))</f>
        <v>0.5</v>
      </c>
      <c r="F1963">
        <f t="shared" si="64"/>
        <v>0.5</v>
      </c>
    </row>
    <row r="1964" spans="1:6">
      <c r="A1964" s="30">
        <f t="shared" si="65"/>
        <v>45054</v>
      </c>
      <c r="B1964" s="32" t="s">
        <v>199</v>
      </c>
      <c r="C1964" t="s">
        <v>210</v>
      </c>
      <c r="D1964">
        <f>IF(B1964=$AB$2,$AC$2,$AC$3)</f>
        <v>1</v>
      </c>
      <c r="E1964">
        <f>IF(ISBLANK(C1964),0,VLOOKUP(C1964,$AE$2:$AF$7,2,0))</f>
        <v>0.5</v>
      </c>
      <c r="F1964">
        <f t="shared" si="64"/>
        <v>0.5</v>
      </c>
    </row>
    <row r="1965" spans="1:6">
      <c r="A1965" s="30">
        <f t="shared" si="65"/>
        <v>45055</v>
      </c>
      <c r="B1965" s="32" t="s">
        <v>199</v>
      </c>
      <c r="C1965" t="s">
        <v>210</v>
      </c>
      <c r="D1965">
        <f>IF(B1965=$AB$2,$AC$2,$AC$3)</f>
        <v>1</v>
      </c>
      <c r="E1965">
        <f>IF(ISBLANK(C1965),0,VLOOKUP(C1965,$AE$2:$AF$7,2,0))</f>
        <v>0.5</v>
      </c>
      <c r="F1965">
        <f t="shared" si="64"/>
        <v>0.5</v>
      </c>
    </row>
    <row r="1966" spans="1:6">
      <c r="A1966" s="30">
        <f t="shared" si="65"/>
        <v>45056</v>
      </c>
      <c r="B1966" s="32" t="s">
        <v>199</v>
      </c>
      <c r="C1966" t="s">
        <v>210</v>
      </c>
      <c r="D1966">
        <f>IF(B1966=$AB$2,$AC$2,$AC$3)</f>
        <v>1</v>
      </c>
      <c r="E1966">
        <f>IF(ISBLANK(C1966),0,VLOOKUP(C1966,$AE$2:$AF$7,2,0))</f>
        <v>0.5</v>
      </c>
      <c r="F1966">
        <f t="shared" si="64"/>
        <v>0.5</v>
      </c>
    </row>
    <row r="1967" spans="1:6">
      <c r="A1967" s="30">
        <f t="shared" si="65"/>
        <v>45057</v>
      </c>
      <c r="B1967" s="32" t="s">
        <v>199</v>
      </c>
      <c r="C1967" t="s">
        <v>210</v>
      </c>
      <c r="D1967">
        <f>IF(B1967=$AB$2,$AC$2,$AC$3)</f>
        <v>1</v>
      </c>
      <c r="E1967">
        <f>IF(ISBLANK(C1967),0,VLOOKUP(C1967,$AE$2:$AF$7,2,0))</f>
        <v>0.5</v>
      </c>
      <c r="F1967">
        <f t="shared" si="64"/>
        <v>0.5</v>
      </c>
    </row>
    <row r="1968" spans="1:6">
      <c r="A1968" s="30">
        <f t="shared" si="65"/>
        <v>45058</v>
      </c>
      <c r="B1968" s="32" t="s">
        <v>199</v>
      </c>
      <c r="C1968" t="s">
        <v>210</v>
      </c>
      <c r="D1968">
        <f>IF(B1968=$AB$2,$AC$2,$AC$3)</f>
        <v>1</v>
      </c>
      <c r="E1968">
        <f>IF(ISBLANK(C1968),0,VLOOKUP(C1968,$AE$2:$AF$7,2,0))</f>
        <v>0.5</v>
      </c>
      <c r="F1968">
        <f t="shared" si="64"/>
        <v>0.5</v>
      </c>
    </row>
    <row r="1969" spans="1:6">
      <c r="A1969" s="30">
        <f t="shared" si="65"/>
        <v>45059</v>
      </c>
      <c r="B1969" s="32" t="s">
        <v>199</v>
      </c>
      <c r="C1969" t="s">
        <v>210</v>
      </c>
      <c r="D1969">
        <f>IF(B1969=$AB$2,$AC$2,$AC$3)</f>
        <v>1</v>
      </c>
      <c r="E1969">
        <f>IF(ISBLANK(C1969),0,VLOOKUP(C1969,$AE$2:$AF$7,2,0))</f>
        <v>0.5</v>
      </c>
      <c r="F1969">
        <f t="shared" si="64"/>
        <v>0.5</v>
      </c>
    </row>
    <row r="1970" spans="1:6">
      <c r="A1970" s="30">
        <f t="shared" si="65"/>
        <v>45060</v>
      </c>
      <c r="B1970" s="32" t="s">
        <v>199</v>
      </c>
      <c r="C1970" t="s">
        <v>210</v>
      </c>
      <c r="D1970">
        <f>IF(B1970=$AB$2,$AC$2,$AC$3)</f>
        <v>1</v>
      </c>
      <c r="E1970">
        <f>IF(ISBLANK(C1970),0,VLOOKUP(C1970,$AE$2:$AF$7,2,0))</f>
        <v>0.5</v>
      </c>
      <c r="F1970">
        <f t="shared" si="64"/>
        <v>0.5</v>
      </c>
    </row>
    <row r="1971" spans="1:6">
      <c r="A1971" s="30">
        <f t="shared" si="65"/>
        <v>45061</v>
      </c>
      <c r="B1971" s="32" t="s">
        <v>199</v>
      </c>
      <c r="C1971" t="s">
        <v>210</v>
      </c>
      <c r="D1971">
        <f>IF(B1971=$AB$2,$AC$2,$AC$3)</f>
        <v>1</v>
      </c>
      <c r="E1971">
        <f>IF(ISBLANK(C1971),0,VLOOKUP(C1971,$AE$2:$AF$7,2,0))</f>
        <v>0.5</v>
      </c>
      <c r="F1971">
        <f t="shared" si="64"/>
        <v>0.5</v>
      </c>
    </row>
    <row r="1972" spans="1:6">
      <c r="A1972" s="30">
        <f t="shared" si="65"/>
        <v>45062</v>
      </c>
      <c r="B1972" s="32" t="s">
        <v>199</v>
      </c>
      <c r="C1972" t="s">
        <v>210</v>
      </c>
      <c r="D1972">
        <f>IF(B1972=$AB$2,$AC$2,$AC$3)</f>
        <v>1</v>
      </c>
      <c r="E1972">
        <f>IF(ISBLANK(C1972),0,VLOOKUP(C1972,$AE$2:$AF$7,2,0))</f>
        <v>0.5</v>
      </c>
      <c r="F1972">
        <f t="shared" si="64"/>
        <v>0.5</v>
      </c>
    </row>
    <row r="1973" spans="1:6">
      <c r="A1973" s="30">
        <f t="shared" si="65"/>
        <v>45063</v>
      </c>
      <c r="B1973" s="32" t="s">
        <v>199</v>
      </c>
      <c r="C1973" t="s">
        <v>210</v>
      </c>
      <c r="D1973">
        <f>IF(B1973=$AB$2,$AC$2,$AC$3)</f>
        <v>1</v>
      </c>
      <c r="E1973">
        <f>IF(ISBLANK(C1973),0,VLOOKUP(C1973,$AE$2:$AF$7,2,0))</f>
        <v>0.5</v>
      </c>
      <c r="F1973">
        <f t="shared" si="64"/>
        <v>0.5</v>
      </c>
    </row>
    <row r="1974" spans="1:6">
      <c r="A1974" s="30">
        <f t="shared" si="65"/>
        <v>45064</v>
      </c>
      <c r="B1974" s="32" t="s">
        <v>199</v>
      </c>
      <c r="C1974" t="s">
        <v>210</v>
      </c>
      <c r="D1974">
        <f>IF(B1974=$AB$2,$AC$2,$AC$3)</f>
        <v>1</v>
      </c>
      <c r="E1974">
        <f>IF(ISBLANK(C1974),0,VLOOKUP(C1974,$AE$2:$AF$7,2,0))</f>
        <v>0.5</v>
      </c>
      <c r="F1974">
        <f t="shared" si="64"/>
        <v>0.5</v>
      </c>
    </row>
    <row r="1975" spans="1:6">
      <c r="A1975" s="30">
        <f t="shared" si="65"/>
        <v>45065</v>
      </c>
      <c r="B1975" s="32" t="s">
        <v>199</v>
      </c>
      <c r="C1975" t="s">
        <v>210</v>
      </c>
      <c r="D1975">
        <f>IF(B1975=$AB$2,$AC$2,$AC$3)</f>
        <v>1</v>
      </c>
      <c r="E1975">
        <f>IF(ISBLANK(C1975),0,VLOOKUP(C1975,$AE$2:$AF$7,2,0))</f>
        <v>0.5</v>
      </c>
      <c r="F1975">
        <f t="shared" si="64"/>
        <v>0.5</v>
      </c>
    </row>
    <row r="1976" spans="1:6">
      <c r="A1976" s="30">
        <f t="shared" si="65"/>
        <v>45066</v>
      </c>
      <c r="B1976" s="32" t="s">
        <v>199</v>
      </c>
      <c r="C1976" t="s">
        <v>210</v>
      </c>
      <c r="D1976">
        <f>IF(B1976=$AB$2,$AC$2,$AC$3)</f>
        <v>1</v>
      </c>
      <c r="E1976">
        <f>IF(ISBLANK(C1976),0,VLOOKUP(C1976,$AE$2:$AF$7,2,0))</f>
        <v>0.5</v>
      </c>
      <c r="F1976">
        <f t="shared" si="64"/>
        <v>0.5</v>
      </c>
    </row>
    <row r="1977" spans="1:6">
      <c r="A1977" s="30">
        <f t="shared" si="65"/>
        <v>45067</v>
      </c>
      <c r="B1977" s="32" t="s">
        <v>199</v>
      </c>
      <c r="C1977" t="s">
        <v>210</v>
      </c>
      <c r="D1977">
        <f>IF(B1977=$AB$2,$AC$2,$AC$3)</f>
        <v>1</v>
      </c>
      <c r="E1977">
        <f>IF(ISBLANK(C1977),0,VLOOKUP(C1977,$AE$2:$AF$7,2,0))</f>
        <v>0.5</v>
      </c>
      <c r="F1977">
        <f t="shared" si="64"/>
        <v>0.5</v>
      </c>
    </row>
    <row r="1978" spans="1:6">
      <c r="A1978" s="30">
        <f t="shared" si="65"/>
        <v>45068</v>
      </c>
      <c r="B1978" s="32" t="s">
        <v>199</v>
      </c>
      <c r="C1978" t="s">
        <v>210</v>
      </c>
      <c r="D1978">
        <f>IF(B1978=$AB$2,$AC$2,$AC$3)</f>
        <v>1</v>
      </c>
      <c r="E1978">
        <f>IF(ISBLANK(C1978),0,VLOOKUP(C1978,$AE$2:$AF$7,2,0))</f>
        <v>0.5</v>
      </c>
      <c r="F1978">
        <f t="shared" si="64"/>
        <v>0.5</v>
      </c>
    </row>
    <row r="1979" spans="1:6">
      <c r="A1979" s="30">
        <f t="shared" si="65"/>
        <v>45069</v>
      </c>
      <c r="B1979" s="32" t="s">
        <v>199</v>
      </c>
      <c r="C1979" t="s">
        <v>210</v>
      </c>
      <c r="D1979">
        <f>IF(B1979=$AB$2,$AC$2,$AC$3)</f>
        <v>1</v>
      </c>
      <c r="E1979">
        <f>IF(ISBLANK(C1979),0,VLOOKUP(C1979,$AE$2:$AF$7,2,0))</f>
        <v>0.5</v>
      </c>
      <c r="F1979">
        <f t="shared" si="64"/>
        <v>0.5</v>
      </c>
    </row>
    <row r="1980" spans="1:6">
      <c r="A1980" s="30">
        <f t="shared" si="65"/>
        <v>45070</v>
      </c>
      <c r="B1980" s="32" t="s">
        <v>199</v>
      </c>
      <c r="C1980" t="s">
        <v>210</v>
      </c>
      <c r="D1980">
        <f>IF(B1980=$AB$2,$AC$2,$AC$3)</f>
        <v>1</v>
      </c>
      <c r="E1980">
        <f>IF(ISBLANK(C1980),0,VLOOKUP(C1980,$AE$2:$AF$7,2,0))</f>
        <v>0.5</v>
      </c>
      <c r="F1980">
        <f t="shared" si="64"/>
        <v>0.5</v>
      </c>
    </row>
    <row r="1981" spans="1:6">
      <c r="A1981" s="30">
        <f t="shared" si="65"/>
        <v>45071</v>
      </c>
      <c r="B1981" s="32" t="s">
        <v>199</v>
      </c>
      <c r="C1981" t="s">
        <v>210</v>
      </c>
      <c r="D1981">
        <f>IF(B1981=$AB$2,$AC$2,$AC$3)</f>
        <v>1</v>
      </c>
      <c r="E1981">
        <f>IF(ISBLANK(C1981),0,VLOOKUP(C1981,$AE$2:$AF$7,2,0))</f>
        <v>0.5</v>
      </c>
      <c r="F1981">
        <f t="shared" si="64"/>
        <v>0.5</v>
      </c>
    </row>
    <row r="1982" spans="1:6">
      <c r="A1982" s="30">
        <f t="shared" si="65"/>
        <v>45072</v>
      </c>
      <c r="B1982" s="32" t="s">
        <v>199</v>
      </c>
      <c r="C1982" t="s">
        <v>210</v>
      </c>
      <c r="D1982">
        <f>IF(B1982=$AB$2,$AC$2,$AC$3)</f>
        <v>1</v>
      </c>
      <c r="E1982">
        <f>IF(ISBLANK(C1982),0,VLOOKUP(C1982,$AE$2:$AF$7,2,0))</f>
        <v>0.5</v>
      </c>
      <c r="F1982">
        <f t="shared" si="64"/>
        <v>0.5</v>
      </c>
    </row>
    <row r="1983" spans="1:6">
      <c r="A1983" s="30">
        <f t="shared" si="65"/>
        <v>45073</v>
      </c>
      <c r="B1983" s="32" t="s">
        <v>199</v>
      </c>
      <c r="C1983" t="s">
        <v>210</v>
      </c>
      <c r="D1983">
        <f>IF(B1983=$AB$2,$AC$2,$AC$3)</f>
        <v>1</v>
      </c>
      <c r="E1983">
        <f>IF(ISBLANK(C1983),0,VLOOKUP(C1983,$AE$2:$AF$7,2,0))</f>
        <v>0.5</v>
      </c>
      <c r="F1983">
        <f t="shared" si="64"/>
        <v>0.5</v>
      </c>
    </row>
    <row r="1984" spans="1:6">
      <c r="A1984" s="30">
        <f t="shared" si="65"/>
        <v>45074</v>
      </c>
      <c r="B1984" s="32" t="s">
        <v>199</v>
      </c>
      <c r="C1984" t="s">
        <v>210</v>
      </c>
      <c r="D1984">
        <f>IF(B1984=$AB$2,$AC$2,$AC$3)</f>
        <v>1</v>
      </c>
      <c r="E1984">
        <f>IF(ISBLANK(C1984),0,VLOOKUP(C1984,$AE$2:$AF$7,2,0))</f>
        <v>0.5</v>
      </c>
      <c r="F1984">
        <f t="shared" si="64"/>
        <v>0.5</v>
      </c>
    </row>
    <row r="1985" spans="1:6">
      <c r="A1985" s="30">
        <f t="shared" si="65"/>
        <v>45075</v>
      </c>
      <c r="B1985" s="32" t="s">
        <v>199</v>
      </c>
      <c r="C1985" t="s">
        <v>210</v>
      </c>
      <c r="D1985">
        <f>IF(B1985=$AB$2,$AC$2,$AC$3)</f>
        <v>1</v>
      </c>
      <c r="E1985">
        <f>IF(ISBLANK(C1985),0,VLOOKUP(C1985,$AE$2:$AF$7,2,0))</f>
        <v>0.5</v>
      </c>
      <c r="F1985">
        <f t="shared" si="64"/>
        <v>0.5</v>
      </c>
    </row>
    <row r="1986" spans="1:6">
      <c r="A1986" s="30">
        <f t="shared" si="65"/>
        <v>45076</v>
      </c>
      <c r="B1986" s="32" t="s">
        <v>199</v>
      </c>
      <c r="C1986" t="s">
        <v>210</v>
      </c>
      <c r="D1986">
        <f>IF(B1986=$AB$2,$AC$2,$AC$3)</f>
        <v>1</v>
      </c>
      <c r="E1986">
        <f>IF(ISBLANK(C1986),0,VLOOKUP(C1986,$AE$2:$AF$7,2,0))</f>
        <v>0.5</v>
      </c>
      <c r="F1986">
        <f t="shared" si="64"/>
        <v>0.5</v>
      </c>
    </row>
    <row r="1987" spans="1:6">
      <c r="A1987" s="30">
        <f t="shared" si="65"/>
        <v>45077</v>
      </c>
      <c r="B1987" s="32" t="s">
        <v>199</v>
      </c>
      <c r="C1987" t="s">
        <v>210</v>
      </c>
      <c r="D1987">
        <f>IF(B1987=$AB$2,$AC$2,$AC$3)</f>
        <v>1</v>
      </c>
      <c r="E1987">
        <f>IF(ISBLANK(C1987),0,VLOOKUP(C1987,$AE$2:$AF$7,2,0))</f>
        <v>0.5</v>
      </c>
      <c r="F1987">
        <f t="shared" ref="F1987:F2050" si="66">D1987*E1987</f>
        <v>0.5</v>
      </c>
    </row>
    <row r="1988" spans="1:6">
      <c r="A1988" s="30">
        <f t="shared" si="65"/>
        <v>45078</v>
      </c>
      <c r="B1988" s="32" t="s">
        <v>199</v>
      </c>
      <c r="C1988" t="s">
        <v>210</v>
      </c>
      <c r="D1988">
        <f>IF(B1988=$AB$2,$AC$2,$AC$3)</f>
        <v>1</v>
      </c>
      <c r="E1988">
        <f>IF(ISBLANK(C1988),0,VLOOKUP(C1988,$AE$2:$AF$7,2,0))</f>
        <v>0.5</v>
      </c>
      <c r="F1988">
        <f t="shared" si="66"/>
        <v>0.5</v>
      </c>
    </row>
    <row r="1989" spans="1:6">
      <c r="A1989" s="30">
        <f t="shared" si="65"/>
        <v>45079</v>
      </c>
      <c r="B1989" s="32" t="s">
        <v>199</v>
      </c>
      <c r="C1989" t="s">
        <v>210</v>
      </c>
      <c r="D1989">
        <f>IF(B1989=$AB$2,$AC$2,$AC$3)</f>
        <v>1</v>
      </c>
      <c r="E1989">
        <f>IF(ISBLANK(C1989),0,VLOOKUP(C1989,$AE$2:$AF$7,2,0))</f>
        <v>0.5</v>
      </c>
      <c r="F1989">
        <f t="shared" si="66"/>
        <v>0.5</v>
      </c>
    </row>
    <row r="1990" spans="1:6">
      <c r="A1990" s="30">
        <f t="shared" si="65"/>
        <v>45080</v>
      </c>
      <c r="B1990" s="32" t="s">
        <v>199</v>
      </c>
      <c r="C1990" t="s">
        <v>210</v>
      </c>
      <c r="D1990">
        <f>IF(B1990=$AB$2,$AC$2,$AC$3)</f>
        <v>1</v>
      </c>
      <c r="E1990">
        <f>IF(ISBLANK(C1990),0,VLOOKUP(C1990,$AE$2:$AF$7,2,0))</f>
        <v>0.5</v>
      </c>
      <c r="F1990">
        <f t="shared" si="66"/>
        <v>0.5</v>
      </c>
    </row>
    <row r="1991" spans="1:6">
      <c r="A1991" s="30">
        <f t="shared" si="65"/>
        <v>45081</v>
      </c>
      <c r="B1991" s="32" t="s">
        <v>199</v>
      </c>
      <c r="C1991" t="s">
        <v>210</v>
      </c>
      <c r="D1991">
        <f>IF(B1991=$AB$2,$AC$2,$AC$3)</f>
        <v>1</v>
      </c>
      <c r="E1991">
        <f>IF(ISBLANK(C1991),0,VLOOKUP(C1991,$AE$2:$AF$7,2,0))</f>
        <v>0.5</v>
      </c>
      <c r="F1991">
        <f t="shared" si="66"/>
        <v>0.5</v>
      </c>
    </row>
    <row r="1992" spans="1:6">
      <c r="A1992" s="30">
        <f t="shared" si="65"/>
        <v>45082</v>
      </c>
      <c r="B1992" s="32" t="s">
        <v>199</v>
      </c>
      <c r="C1992" t="s">
        <v>210</v>
      </c>
      <c r="D1992">
        <f>IF(B1992=$AB$2,$AC$2,$AC$3)</f>
        <v>1</v>
      </c>
      <c r="E1992">
        <f>IF(ISBLANK(C1992),0,VLOOKUP(C1992,$AE$2:$AF$7,2,0))</f>
        <v>0.5</v>
      </c>
      <c r="F1992">
        <f t="shared" si="66"/>
        <v>0.5</v>
      </c>
    </row>
    <row r="1993" spans="1:6">
      <c r="A1993" s="30">
        <f t="shared" si="65"/>
        <v>45083</v>
      </c>
      <c r="B1993" s="32" t="s">
        <v>199</v>
      </c>
      <c r="C1993" t="s">
        <v>210</v>
      </c>
      <c r="D1993">
        <f>IF(B1993=$AB$2,$AC$2,$AC$3)</f>
        <v>1</v>
      </c>
      <c r="E1993">
        <f>IF(ISBLANK(C1993),0,VLOOKUP(C1993,$AE$2:$AF$7,2,0))</f>
        <v>0.5</v>
      </c>
      <c r="F1993">
        <f t="shared" si="66"/>
        <v>0.5</v>
      </c>
    </row>
    <row r="1994" spans="1:6">
      <c r="A1994" s="30">
        <f t="shared" si="65"/>
        <v>45084</v>
      </c>
      <c r="B1994" s="32" t="s">
        <v>199</v>
      </c>
      <c r="C1994" t="s">
        <v>210</v>
      </c>
      <c r="D1994">
        <f>IF(B1994=$AB$2,$AC$2,$AC$3)</f>
        <v>1</v>
      </c>
      <c r="E1994">
        <f>IF(ISBLANK(C1994),0,VLOOKUP(C1994,$AE$2:$AF$7,2,0))</f>
        <v>0.5</v>
      </c>
      <c r="F1994">
        <f t="shared" si="66"/>
        <v>0.5</v>
      </c>
    </row>
    <row r="1995" spans="1:6">
      <c r="A1995" s="30">
        <f t="shared" si="65"/>
        <v>45085</v>
      </c>
      <c r="B1995" s="32" t="s">
        <v>199</v>
      </c>
      <c r="C1995" t="s">
        <v>210</v>
      </c>
      <c r="D1995">
        <f>IF(B1995=$AB$2,$AC$2,$AC$3)</f>
        <v>1</v>
      </c>
      <c r="E1995">
        <f>IF(ISBLANK(C1995),0,VLOOKUP(C1995,$AE$2:$AF$7,2,0))</f>
        <v>0.5</v>
      </c>
      <c r="F1995">
        <f t="shared" si="66"/>
        <v>0.5</v>
      </c>
    </row>
    <row r="1996" spans="1:6">
      <c r="A1996" s="30">
        <f t="shared" si="65"/>
        <v>45086</v>
      </c>
      <c r="B1996" s="32" t="s">
        <v>199</v>
      </c>
      <c r="C1996" t="s">
        <v>210</v>
      </c>
      <c r="D1996">
        <f>IF(B1996=$AB$2,$AC$2,$AC$3)</f>
        <v>1</v>
      </c>
      <c r="E1996">
        <f>IF(ISBLANK(C1996),0,VLOOKUP(C1996,$AE$2:$AF$7,2,0))</f>
        <v>0.5</v>
      </c>
      <c r="F1996">
        <f t="shared" si="66"/>
        <v>0.5</v>
      </c>
    </row>
    <row r="1997" spans="1:6">
      <c r="A1997" s="30">
        <f t="shared" si="65"/>
        <v>45087</v>
      </c>
      <c r="B1997" s="32" t="s">
        <v>199</v>
      </c>
      <c r="C1997" t="s">
        <v>210</v>
      </c>
      <c r="D1997">
        <f>IF(B1997=$AB$2,$AC$2,$AC$3)</f>
        <v>1</v>
      </c>
      <c r="E1997">
        <f>IF(ISBLANK(C1997),0,VLOOKUP(C1997,$AE$2:$AF$7,2,0))</f>
        <v>0.5</v>
      </c>
      <c r="F1997">
        <f t="shared" si="66"/>
        <v>0.5</v>
      </c>
    </row>
    <row r="1998" spans="1:6">
      <c r="A1998" s="30">
        <f t="shared" si="65"/>
        <v>45088</v>
      </c>
      <c r="B1998" s="32" t="s">
        <v>199</v>
      </c>
      <c r="C1998" t="s">
        <v>210</v>
      </c>
      <c r="D1998">
        <f>IF(B1998=$AB$2,$AC$2,$AC$3)</f>
        <v>1</v>
      </c>
      <c r="E1998">
        <f>IF(ISBLANK(C1998),0,VLOOKUP(C1998,$AE$2:$AF$7,2,0))</f>
        <v>0.5</v>
      </c>
      <c r="F1998">
        <f t="shared" si="66"/>
        <v>0.5</v>
      </c>
    </row>
    <row r="1999" spans="1:6">
      <c r="A1999" s="30">
        <f t="shared" si="65"/>
        <v>45089</v>
      </c>
      <c r="B1999" s="32" t="s">
        <v>199</v>
      </c>
      <c r="C1999" t="s">
        <v>210</v>
      </c>
      <c r="D1999">
        <f>IF(B1999=$AB$2,$AC$2,$AC$3)</f>
        <v>1</v>
      </c>
      <c r="E1999">
        <f>IF(ISBLANK(C1999),0,VLOOKUP(C1999,$AE$2:$AF$7,2,0))</f>
        <v>0.5</v>
      </c>
      <c r="F1999">
        <f t="shared" si="66"/>
        <v>0.5</v>
      </c>
    </row>
    <row r="2000" spans="1:6">
      <c r="A2000" s="30">
        <f t="shared" si="65"/>
        <v>45090</v>
      </c>
      <c r="B2000" s="32" t="s">
        <v>199</v>
      </c>
      <c r="C2000" t="s">
        <v>210</v>
      </c>
      <c r="D2000">
        <f>IF(B2000=$AB$2,$AC$2,$AC$3)</f>
        <v>1</v>
      </c>
      <c r="E2000">
        <f>IF(ISBLANK(C2000),0,VLOOKUP(C2000,$AE$2:$AF$7,2,0))</f>
        <v>0.5</v>
      </c>
      <c r="F2000">
        <f t="shared" si="66"/>
        <v>0.5</v>
      </c>
    </row>
    <row r="2001" spans="1:6">
      <c r="A2001" s="30">
        <f t="shared" si="65"/>
        <v>45091</v>
      </c>
      <c r="B2001" s="32" t="s">
        <v>199</v>
      </c>
      <c r="C2001" t="s">
        <v>210</v>
      </c>
      <c r="D2001">
        <f>IF(B2001=$AB$2,$AC$2,$AC$3)</f>
        <v>1</v>
      </c>
      <c r="E2001">
        <f>IF(ISBLANK(C2001),0,VLOOKUP(C2001,$AE$2:$AF$7,2,0))</f>
        <v>0.5</v>
      </c>
      <c r="F2001">
        <f t="shared" si="66"/>
        <v>0.5</v>
      </c>
    </row>
    <row r="2002" spans="1:6">
      <c r="A2002" s="30">
        <f t="shared" si="65"/>
        <v>45092</v>
      </c>
      <c r="B2002" s="32" t="s">
        <v>199</v>
      </c>
      <c r="C2002" t="s">
        <v>210</v>
      </c>
      <c r="D2002">
        <f>IF(B2002=$AB$2,$AC$2,$AC$3)</f>
        <v>1</v>
      </c>
      <c r="E2002">
        <f>IF(ISBLANK(C2002),0,VLOOKUP(C2002,$AE$2:$AF$7,2,0))</f>
        <v>0.5</v>
      </c>
      <c r="F2002">
        <f t="shared" si="66"/>
        <v>0.5</v>
      </c>
    </row>
    <row r="2003" spans="1:6">
      <c r="A2003" s="30">
        <f t="shared" si="65"/>
        <v>45093</v>
      </c>
      <c r="B2003" s="32" t="s">
        <v>199</v>
      </c>
      <c r="C2003" t="s">
        <v>210</v>
      </c>
      <c r="D2003">
        <f>IF(B2003=$AB$2,$AC$2,$AC$3)</f>
        <v>1</v>
      </c>
      <c r="E2003">
        <f>IF(ISBLANK(C2003),0,VLOOKUP(C2003,$AE$2:$AF$7,2,0))</f>
        <v>0.5</v>
      </c>
      <c r="F2003">
        <f t="shared" si="66"/>
        <v>0.5</v>
      </c>
    </row>
    <row r="2004" spans="1:6">
      <c r="A2004" s="30">
        <f t="shared" si="65"/>
        <v>45094</v>
      </c>
      <c r="B2004" s="32" t="s">
        <v>199</v>
      </c>
      <c r="C2004" t="s">
        <v>210</v>
      </c>
      <c r="D2004">
        <f>IF(B2004=$AB$2,$AC$2,$AC$3)</f>
        <v>1</v>
      </c>
      <c r="E2004">
        <f>IF(ISBLANK(C2004),0,VLOOKUP(C2004,$AE$2:$AF$7,2,0))</f>
        <v>0.5</v>
      </c>
      <c r="F2004">
        <f t="shared" si="66"/>
        <v>0.5</v>
      </c>
    </row>
    <row r="2005" spans="1:6">
      <c r="A2005" s="30">
        <f t="shared" si="65"/>
        <v>45095</v>
      </c>
      <c r="B2005" s="32" t="s">
        <v>199</v>
      </c>
      <c r="C2005" t="s">
        <v>210</v>
      </c>
      <c r="D2005">
        <f>IF(B2005=$AB$2,$AC$2,$AC$3)</f>
        <v>1</v>
      </c>
      <c r="E2005">
        <f>IF(ISBLANK(C2005),0,VLOOKUP(C2005,$AE$2:$AF$7,2,0))</f>
        <v>0.5</v>
      </c>
      <c r="F2005">
        <f t="shared" si="66"/>
        <v>0.5</v>
      </c>
    </row>
    <row r="2006" spans="1:6">
      <c r="A2006" s="30">
        <f t="shared" ref="A2006:A2054" si="67">A2005+1</f>
        <v>45096</v>
      </c>
      <c r="B2006" s="32" t="s">
        <v>199</v>
      </c>
      <c r="C2006" t="s">
        <v>210</v>
      </c>
      <c r="D2006">
        <f>IF(B2006=$AB$2,$AC$2,$AC$3)</f>
        <v>1</v>
      </c>
      <c r="E2006">
        <f>IF(ISBLANK(C2006),0,VLOOKUP(C2006,$AE$2:$AF$7,2,0))</f>
        <v>0.5</v>
      </c>
      <c r="F2006">
        <f t="shared" si="66"/>
        <v>0.5</v>
      </c>
    </row>
    <row r="2007" spans="1:6">
      <c r="A2007" s="30">
        <f t="shared" si="67"/>
        <v>45097</v>
      </c>
      <c r="B2007" s="32" t="s">
        <v>199</v>
      </c>
      <c r="C2007" t="s">
        <v>210</v>
      </c>
      <c r="D2007">
        <f>IF(B2007=$AB$2,$AC$2,$AC$3)</f>
        <v>1</v>
      </c>
      <c r="E2007">
        <f>IF(ISBLANK(C2007),0,VLOOKUP(C2007,$AE$2:$AF$7,2,0))</f>
        <v>0.5</v>
      </c>
      <c r="F2007">
        <f t="shared" si="66"/>
        <v>0.5</v>
      </c>
    </row>
    <row r="2008" spans="1:6">
      <c r="A2008" s="30">
        <f t="shared" si="67"/>
        <v>45098</v>
      </c>
      <c r="B2008" s="32" t="s">
        <v>199</v>
      </c>
      <c r="C2008" t="s">
        <v>210</v>
      </c>
      <c r="D2008">
        <f>IF(B2008=$AB$2,$AC$2,$AC$3)</f>
        <v>1</v>
      </c>
      <c r="E2008">
        <f>IF(ISBLANK(C2008),0,VLOOKUP(C2008,$AE$2:$AF$7,2,0))</f>
        <v>0.5</v>
      </c>
      <c r="F2008">
        <f t="shared" si="66"/>
        <v>0.5</v>
      </c>
    </row>
    <row r="2009" spans="1:6">
      <c r="A2009" s="30">
        <f t="shared" si="67"/>
        <v>45099</v>
      </c>
      <c r="B2009" s="32" t="s">
        <v>199</v>
      </c>
      <c r="C2009" t="s">
        <v>210</v>
      </c>
      <c r="D2009">
        <f>IF(B2009=$AB$2,$AC$2,$AC$3)</f>
        <v>1</v>
      </c>
      <c r="E2009">
        <f>IF(ISBLANK(C2009),0,VLOOKUP(C2009,$AE$2:$AF$7,2,0))</f>
        <v>0.5</v>
      </c>
      <c r="F2009">
        <f t="shared" si="66"/>
        <v>0.5</v>
      </c>
    </row>
    <row r="2010" spans="1:6">
      <c r="A2010" s="30">
        <f t="shared" si="67"/>
        <v>45100</v>
      </c>
      <c r="B2010" s="32" t="s">
        <v>199</v>
      </c>
      <c r="C2010" t="s">
        <v>210</v>
      </c>
      <c r="D2010">
        <f>IF(B2010=$AB$2,$AC$2,$AC$3)</f>
        <v>1</v>
      </c>
      <c r="E2010">
        <f>IF(ISBLANK(C2010),0,VLOOKUP(C2010,$AE$2:$AF$7,2,0))</f>
        <v>0.5</v>
      </c>
      <c r="F2010">
        <f t="shared" si="66"/>
        <v>0.5</v>
      </c>
    </row>
    <row r="2011" spans="1:6">
      <c r="A2011" s="30">
        <f t="shared" si="67"/>
        <v>45101</v>
      </c>
      <c r="B2011" s="32" t="s">
        <v>199</v>
      </c>
      <c r="C2011" t="s">
        <v>210</v>
      </c>
      <c r="D2011">
        <f>IF(B2011=$AB$2,$AC$2,$AC$3)</f>
        <v>1</v>
      </c>
      <c r="E2011">
        <f>IF(ISBLANK(C2011),0,VLOOKUP(C2011,$AE$2:$AF$7,2,0))</f>
        <v>0.5</v>
      </c>
      <c r="F2011">
        <f t="shared" si="66"/>
        <v>0.5</v>
      </c>
    </row>
    <row r="2012" spans="1:6">
      <c r="A2012" s="30">
        <f t="shared" si="67"/>
        <v>45102</v>
      </c>
      <c r="B2012" s="32" t="s">
        <v>199</v>
      </c>
      <c r="C2012" t="s">
        <v>210</v>
      </c>
      <c r="D2012">
        <f>IF(B2012=$AB$2,$AC$2,$AC$3)</f>
        <v>1</v>
      </c>
      <c r="E2012">
        <f>IF(ISBLANK(C2012),0,VLOOKUP(C2012,$AE$2:$AF$7,2,0))</f>
        <v>0.5</v>
      </c>
      <c r="F2012">
        <f t="shared" si="66"/>
        <v>0.5</v>
      </c>
    </row>
    <row r="2013" spans="1:6">
      <c r="A2013" s="30">
        <f t="shared" si="67"/>
        <v>45103</v>
      </c>
      <c r="B2013" s="32" t="s">
        <v>199</v>
      </c>
      <c r="C2013" t="s">
        <v>210</v>
      </c>
      <c r="D2013">
        <f>IF(B2013=$AB$2,$AC$2,$AC$3)</f>
        <v>1</v>
      </c>
      <c r="E2013">
        <f>IF(ISBLANK(C2013),0,VLOOKUP(C2013,$AE$2:$AF$7,2,0))</f>
        <v>0.5</v>
      </c>
      <c r="F2013">
        <f t="shared" si="66"/>
        <v>0.5</v>
      </c>
    </row>
    <row r="2014" spans="1:6">
      <c r="A2014" s="30">
        <f t="shared" si="67"/>
        <v>45104</v>
      </c>
      <c r="B2014" s="32" t="s">
        <v>199</v>
      </c>
      <c r="C2014" t="s">
        <v>210</v>
      </c>
      <c r="D2014">
        <f>IF(B2014=$AB$2,$AC$2,$AC$3)</f>
        <v>1</v>
      </c>
      <c r="E2014">
        <f>IF(ISBLANK(C2014),0,VLOOKUP(C2014,$AE$2:$AF$7,2,0))</f>
        <v>0.5</v>
      </c>
      <c r="F2014">
        <f t="shared" si="66"/>
        <v>0.5</v>
      </c>
    </row>
    <row r="2015" spans="1:6">
      <c r="A2015" s="30">
        <f t="shared" si="67"/>
        <v>45105</v>
      </c>
      <c r="B2015" s="32" t="s">
        <v>199</v>
      </c>
      <c r="C2015" t="s">
        <v>210</v>
      </c>
      <c r="D2015">
        <f>IF(B2015=$AB$2,$AC$2,$AC$3)</f>
        <v>1</v>
      </c>
      <c r="E2015">
        <f>IF(ISBLANK(C2015),0,VLOOKUP(C2015,$AE$2:$AF$7,2,0))</f>
        <v>0.5</v>
      </c>
      <c r="F2015">
        <f t="shared" si="66"/>
        <v>0.5</v>
      </c>
    </row>
    <row r="2016" spans="1:6">
      <c r="A2016" s="30">
        <f t="shared" si="67"/>
        <v>45106</v>
      </c>
      <c r="B2016" s="32" t="s">
        <v>199</v>
      </c>
      <c r="C2016" t="s">
        <v>210</v>
      </c>
      <c r="D2016">
        <f>IF(B2016=$AB$2,$AC$2,$AC$3)</f>
        <v>1</v>
      </c>
      <c r="E2016">
        <f>IF(ISBLANK(C2016),0,VLOOKUP(C2016,$AE$2:$AF$7,2,0))</f>
        <v>0.5</v>
      </c>
      <c r="F2016">
        <f t="shared" si="66"/>
        <v>0.5</v>
      </c>
    </row>
    <row r="2017" spans="1:6">
      <c r="A2017" s="30">
        <f t="shared" si="67"/>
        <v>45107</v>
      </c>
      <c r="B2017" s="32" t="s">
        <v>199</v>
      </c>
      <c r="C2017" t="s">
        <v>210</v>
      </c>
      <c r="D2017">
        <f>IF(B2017=$AB$2,$AC$2,$AC$3)</f>
        <v>1</v>
      </c>
      <c r="E2017">
        <f>IF(ISBLANK(C2017),0,VLOOKUP(C2017,$AE$2:$AF$7,2,0))</f>
        <v>0.5</v>
      </c>
      <c r="F2017">
        <f t="shared" si="66"/>
        <v>0.5</v>
      </c>
    </row>
    <row r="2018" spans="1:6">
      <c r="A2018" s="30">
        <f t="shared" si="67"/>
        <v>45108</v>
      </c>
      <c r="B2018" s="32" t="s">
        <v>199</v>
      </c>
      <c r="C2018" t="s">
        <v>210</v>
      </c>
      <c r="D2018">
        <f>IF(B2018=$AB$2,$AC$2,$AC$3)</f>
        <v>1</v>
      </c>
      <c r="E2018">
        <f>IF(ISBLANK(C2018),0,VLOOKUP(C2018,$AE$2:$AF$7,2,0))</f>
        <v>0.5</v>
      </c>
      <c r="F2018">
        <f t="shared" si="66"/>
        <v>0.5</v>
      </c>
    </row>
    <row r="2019" spans="1:6">
      <c r="A2019" s="30">
        <f t="shared" si="67"/>
        <v>45109</v>
      </c>
      <c r="B2019" s="32" t="s">
        <v>199</v>
      </c>
      <c r="C2019" t="s">
        <v>210</v>
      </c>
      <c r="D2019">
        <f>IF(B2019=$AB$2,$AC$2,$AC$3)</f>
        <v>1</v>
      </c>
      <c r="E2019">
        <f>IF(ISBLANK(C2019),0,VLOOKUP(C2019,$AE$2:$AF$7,2,0))</f>
        <v>0.5</v>
      </c>
      <c r="F2019">
        <f t="shared" si="66"/>
        <v>0.5</v>
      </c>
    </row>
    <row r="2020" spans="1:6">
      <c r="A2020" s="30">
        <f t="shared" si="67"/>
        <v>45110</v>
      </c>
      <c r="B2020" s="32" t="s">
        <v>199</v>
      </c>
      <c r="C2020" t="s">
        <v>210</v>
      </c>
      <c r="D2020">
        <f>IF(B2020=$AB$2,$AC$2,$AC$3)</f>
        <v>1</v>
      </c>
      <c r="E2020">
        <f>IF(ISBLANK(C2020),0,VLOOKUP(C2020,$AE$2:$AF$7,2,0))</f>
        <v>0.5</v>
      </c>
      <c r="F2020">
        <f t="shared" si="66"/>
        <v>0.5</v>
      </c>
    </row>
    <row r="2021" spans="1:6">
      <c r="A2021" s="30">
        <f t="shared" si="67"/>
        <v>45111</v>
      </c>
      <c r="B2021" s="32" t="s">
        <v>199</v>
      </c>
      <c r="C2021" t="s">
        <v>210</v>
      </c>
      <c r="D2021">
        <f>IF(B2021=$AB$2,$AC$2,$AC$3)</f>
        <v>1</v>
      </c>
      <c r="E2021">
        <f>IF(ISBLANK(C2021),0,VLOOKUP(C2021,$AE$2:$AF$7,2,0))</f>
        <v>0.5</v>
      </c>
      <c r="F2021">
        <f t="shared" si="66"/>
        <v>0.5</v>
      </c>
    </row>
    <row r="2022" spans="1:6">
      <c r="A2022" s="30">
        <f t="shared" si="67"/>
        <v>45112</v>
      </c>
      <c r="B2022" s="32" t="s">
        <v>199</v>
      </c>
      <c r="C2022" t="s">
        <v>210</v>
      </c>
      <c r="D2022">
        <f>IF(B2022=$AB$2,$AC$2,$AC$3)</f>
        <v>1</v>
      </c>
      <c r="E2022">
        <f>IF(ISBLANK(C2022),0,VLOOKUP(C2022,$AE$2:$AF$7,2,0))</f>
        <v>0.5</v>
      </c>
      <c r="F2022">
        <f t="shared" si="66"/>
        <v>0.5</v>
      </c>
    </row>
    <row r="2023" spans="1:6">
      <c r="A2023" s="30">
        <f t="shared" si="67"/>
        <v>45113</v>
      </c>
      <c r="B2023" s="32" t="s">
        <v>199</v>
      </c>
      <c r="C2023" t="s">
        <v>210</v>
      </c>
      <c r="D2023">
        <f>IF(B2023=$AB$2,$AC$2,$AC$3)</f>
        <v>1</v>
      </c>
      <c r="E2023">
        <f>IF(ISBLANK(C2023),0,VLOOKUP(C2023,$AE$2:$AF$7,2,0))</f>
        <v>0.5</v>
      </c>
      <c r="F2023">
        <f t="shared" si="66"/>
        <v>0.5</v>
      </c>
    </row>
    <row r="2024" spans="1:6">
      <c r="A2024" s="30">
        <f t="shared" si="67"/>
        <v>45114</v>
      </c>
      <c r="B2024" s="32" t="s">
        <v>199</v>
      </c>
      <c r="C2024" t="s">
        <v>210</v>
      </c>
      <c r="D2024">
        <f>IF(B2024=$AB$2,$AC$2,$AC$3)</f>
        <v>1</v>
      </c>
      <c r="E2024">
        <f>IF(ISBLANK(C2024),0,VLOOKUP(C2024,$AE$2:$AF$7,2,0))</f>
        <v>0.5</v>
      </c>
      <c r="F2024">
        <f t="shared" si="66"/>
        <v>0.5</v>
      </c>
    </row>
    <row r="2025" spans="1:6">
      <c r="A2025" s="30">
        <f t="shared" si="67"/>
        <v>45115</v>
      </c>
      <c r="B2025" s="32" t="s">
        <v>199</v>
      </c>
      <c r="C2025" t="s">
        <v>210</v>
      </c>
      <c r="D2025">
        <f>IF(B2025=$AB$2,$AC$2,$AC$3)</f>
        <v>1</v>
      </c>
      <c r="E2025">
        <f>IF(ISBLANK(C2025),0,VLOOKUP(C2025,$AE$2:$AF$7,2,0))</f>
        <v>0.5</v>
      </c>
      <c r="F2025">
        <f t="shared" si="66"/>
        <v>0.5</v>
      </c>
    </row>
    <row r="2026" spans="1:6">
      <c r="A2026" s="30">
        <f t="shared" si="67"/>
        <v>45116</v>
      </c>
      <c r="B2026" s="32" t="s">
        <v>199</v>
      </c>
      <c r="C2026" t="s">
        <v>210</v>
      </c>
      <c r="D2026">
        <f>IF(B2026=$AB$2,$AC$2,$AC$3)</f>
        <v>1</v>
      </c>
      <c r="E2026">
        <f>IF(ISBLANK(C2026),0,VLOOKUP(C2026,$AE$2:$AF$7,2,0))</f>
        <v>0.5</v>
      </c>
      <c r="F2026">
        <f t="shared" si="66"/>
        <v>0.5</v>
      </c>
    </row>
    <row r="2027" spans="1:6">
      <c r="A2027" s="30">
        <f t="shared" si="67"/>
        <v>45117</v>
      </c>
      <c r="B2027" s="32" t="s">
        <v>199</v>
      </c>
      <c r="C2027" t="s">
        <v>210</v>
      </c>
      <c r="D2027">
        <f>IF(B2027=$AB$2,$AC$2,$AC$3)</f>
        <v>1</v>
      </c>
      <c r="E2027">
        <f>IF(ISBLANK(C2027),0,VLOOKUP(C2027,$AE$2:$AF$7,2,0))</f>
        <v>0.5</v>
      </c>
      <c r="F2027">
        <f t="shared" si="66"/>
        <v>0.5</v>
      </c>
    </row>
    <row r="2028" spans="1:6">
      <c r="A2028" s="30">
        <f t="shared" si="67"/>
        <v>45118</v>
      </c>
      <c r="B2028" s="32" t="s">
        <v>199</v>
      </c>
      <c r="C2028" t="s">
        <v>210</v>
      </c>
      <c r="D2028">
        <f>IF(B2028=$AB$2,$AC$2,$AC$3)</f>
        <v>1</v>
      </c>
      <c r="E2028">
        <f>IF(ISBLANK(C2028),0,VLOOKUP(C2028,$AE$2:$AF$7,2,0))</f>
        <v>0.5</v>
      </c>
      <c r="F2028">
        <f t="shared" si="66"/>
        <v>0.5</v>
      </c>
    </row>
    <row r="2029" spans="1:6">
      <c r="A2029" s="30">
        <f t="shared" si="67"/>
        <v>45119</v>
      </c>
      <c r="B2029" s="32" t="s">
        <v>199</v>
      </c>
      <c r="C2029" t="s">
        <v>210</v>
      </c>
      <c r="D2029">
        <f>IF(B2029=$AB$2,$AC$2,$AC$3)</f>
        <v>1</v>
      </c>
      <c r="E2029">
        <f>IF(ISBLANK(C2029),0,VLOOKUP(C2029,$AE$2:$AF$7,2,0))</f>
        <v>0.5</v>
      </c>
      <c r="F2029">
        <f t="shared" si="66"/>
        <v>0.5</v>
      </c>
    </row>
    <row r="2030" spans="1:6">
      <c r="A2030" s="30">
        <f t="shared" si="67"/>
        <v>45120</v>
      </c>
      <c r="B2030" s="32" t="s">
        <v>199</v>
      </c>
      <c r="C2030" t="s">
        <v>210</v>
      </c>
      <c r="D2030">
        <f>IF(B2030=$AB$2,$AC$2,$AC$3)</f>
        <v>1</v>
      </c>
      <c r="E2030">
        <f>IF(ISBLANK(C2030),0,VLOOKUP(C2030,$AE$2:$AF$7,2,0))</f>
        <v>0.5</v>
      </c>
      <c r="F2030">
        <f t="shared" si="66"/>
        <v>0.5</v>
      </c>
    </row>
    <row r="2031" spans="1:6">
      <c r="A2031" s="30">
        <f t="shared" si="67"/>
        <v>45121</v>
      </c>
      <c r="B2031" s="32" t="s">
        <v>199</v>
      </c>
      <c r="C2031" t="s">
        <v>210</v>
      </c>
      <c r="D2031">
        <f>IF(B2031=$AB$2,$AC$2,$AC$3)</f>
        <v>1</v>
      </c>
      <c r="E2031">
        <f>IF(ISBLANK(C2031),0,VLOOKUP(C2031,$AE$2:$AF$7,2,0))</f>
        <v>0.5</v>
      </c>
      <c r="F2031">
        <f t="shared" si="66"/>
        <v>0.5</v>
      </c>
    </row>
    <row r="2032" spans="1:6">
      <c r="A2032" s="30">
        <f t="shared" si="67"/>
        <v>45122</v>
      </c>
      <c r="B2032" s="32" t="s">
        <v>199</v>
      </c>
      <c r="C2032" t="s">
        <v>210</v>
      </c>
      <c r="D2032">
        <f>IF(B2032=$AB$2,$AC$2,$AC$3)</f>
        <v>1</v>
      </c>
      <c r="E2032">
        <f>IF(ISBLANK(C2032),0,VLOOKUP(C2032,$AE$2:$AF$7,2,0))</f>
        <v>0.5</v>
      </c>
      <c r="F2032">
        <f t="shared" si="66"/>
        <v>0.5</v>
      </c>
    </row>
    <row r="2033" spans="1:6">
      <c r="A2033" s="30">
        <f t="shared" si="67"/>
        <v>45123</v>
      </c>
      <c r="B2033" s="32" t="s">
        <v>199</v>
      </c>
      <c r="C2033" t="s">
        <v>210</v>
      </c>
      <c r="D2033">
        <f>IF(B2033=$AB$2,$AC$2,$AC$3)</f>
        <v>1</v>
      </c>
      <c r="E2033">
        <f>IF(ISBLANK(C2033),0,VLOOKUP(C2033,$AE$2:$AF$7,2,0))</f>
        <v>0.5</v>
      </c>
      <c r="F2033">
        <f t="shared" si="66"/>
        <v>0.5</v>
      </c>
    </row>
    <row r="2034" spans="1:6">
      <c r="A2034" s="30">
        <f t="shared" si="67"/>
        <v>45124</v>
      </c>
      <c r="B2034" s="32" t="s">
        <v>199</v>
      </c>
      <c r="C2034" t="s">
        <v>210</v>
      </c>
      <c r="D2034">
        <f>IF(B2034=$AB$2,$AC$2,$AC$3)</f>
        <v>1</v>
      </c>
      <c r="E2034">
        <f>IF(ISBLANK(C2034),0,VLOOKUP(C2034,$AE$2:$AF$7,2,0))</f>
        <v>0.5</v>
      </c>
      <c r="F2034">
        <f t="shared" si="66"/>
        <v>0.5</v>
      </c>
    </row>
    <row r="2035" spans="1:6">
      <c r="A2035" s="30">
        <f t="shared" si="67"/>
        <v>45125</v>
      </c>
      <c r="B2035" s="32" t="s">
        <v>199</v>
      </c>
      <c r="C2035" t="s">
        <v>210</v>
      </c>
      <c r="D2035">
        <f>IF(B2035=$AB$2,$AC$2,$AC$3)</f>
        <v>1</v>
      </c>
      <c r="E2035">
        <f>IF(ISBLANK(C2035),0,VLOOKUP(C2035,$AE$2:$AF$7,2,0))</f>
        <v>0.5</v>
      </c>
      <c r="F2035">
        <f t="shared" si="66"/>
        <v>0.5</v>
      </c>
    </row>
    <row r="2036" spans="1:6">
      <c r="A2036" s="30">
        <f t="shared" si="67"/>
        <v>45126</v>
      </c>
      <c r="B2036" s="32" t="s">
        <v>199</v>
      </c>
      <c r="C2036" t="s">
        <v>210</v>
      </c>
      <c r="D2036">
        <f>IF(B2036=$AB$2,$AC$2,$AC$3)</f>
        <v>1</v>
      </c>
      <c r="E2036">
        <f>IF(ISBLANK(C2036),0,VLOOKUP(C2036,$AE$2:$AF$7,2,0))</f>
        <v>0.5</v>
      </c>
      <c r="F2036">
        <f t="shared" si="66"/>
        <v>0.5</v>
      </c>
    </row>
    <row r="2037" spans="1:6">
      <c r="A2037" s="30">
        <f t="shared" si="67"/>
        <v>45127</v>
      </c>
      <c r="B2037" s="32" t="s">
        <v>199</v>
      </c>
      <c r="C2037" t="s">
        <v>210</v>
      </c>
      <c r="D2037">
        <f>IF(B2037=$AB$2,$AC$2,$AC$3)</f>
        <v>1</v>
      </c>
      <c r="E2037">
        <f>IF(ISBLANK(C2037),0,VLOOKUP(C2037,$AE$2:$AF$7,2,0))</f>
        <v>0.5</v>
      </c>
      <c r="F2037">
        <f t="shared" si="66"/>
        <v>0.5</v>
      </c>
    </row>
    <row r="2038" spans="1:6">
      <c r="A2038" s="30">
        <f t="shared" si="67"/>
        <v>45128</v>
      </c>
      <c r="B2038" s="32" t="s">
        <v>199</v>
      </c>
      <c r="C2038" t="s">
        <v>210</v>
      </c>
      <c r="D2038">
        <f>IF(B2038=$AB$2,$AC$2,$AC$3)</f>
        <v>1</v>
      </c>
      <c r="E2038">
        <f>IF(ISBLANK(C2038),0,VLOOKUP(C2038,$AE$2:$AF$7,2,0))</f>
        <v>0.5</v>
      </c>
      <c r="F2038">
        <f t="shared" si="66"/>
        <v>0.5</v>
      </c>
    </row>
    <row r="2039" spans="1:6">
      <c r="A2039" s="30">
        <f t="shared" si="67"/>
        <v>45129</v>
      </c>
      <c r="B2039" s="32" t="s">
        <v>199</v>
      </c>
      <c r="C2039" t="s">
        <v>210</v>
      </c>
      <c r="D2039">
        <f>IF(B2039=$AB$2,$AC$2,$AC$3)</f>
        <v>1</v>
      </c>
      <c r="E2039">
        <f>IF(ISBLANK(C2039),0,VLOOKUP(C2039,$AE$2:$AF$7,2,0))</f>
        <v>0.5</v>
      </c>
      <c r="F2039">
        <f t="shared" si="66"/>
        <v>0.5</v>
      </c>
    </row>
    <row r="2040" spans="1:6">
      <c r="A2040" s="30">
        <f t="shared" si="67"/>
        <v>45130</v>
      </c>
      <c r="B2040" s="32" t="s">
        <v>199</v>
      </c>
      <c r="C2040" t="s">
        <v>210</v>
      </c>
      <c r="D2040">
        <f>IF(B2040=$AB$2,$AC$2,$AC$3)</f>
        <v>1</v>
      </c>
      <c r="E2040">
        <f>IF(ISBLANK(C2040),0,VLOOKUP(C2040,$AE$2:$AF$7,2,0))</f>
        <v>0.5</v>
      </c>
      <c r="F2040">
        <f t="shared" si="66"/>
        <v>0.5</v>
      </c>
    </row>
    <row r="2041" spans="1:6">
      <c r="A2041" s="30">
        <f t="shared" si="67"/>
        <v>45131</v>
      </c>
      <c r="B2041" s="32" t="s">
        <v>199</v>
      </c>
      <c r="C2041" t="s">
        <v>210</v>
      </c>
      <c r="D2041">
        <f>IF(B2041=$AB$2,$AC$2,$AC$3)</f>
        <v>1</v>
      </c>
      <c r="E2041">
        <f>IF(ISBLANK(C2041),0,VLOOKUP(C2041,$AE$2:$AF$7,2,0))</f>
        <v>0.5</v>
      </c>
      <c r="F2041">
        <f t="shared" si="66"/>
        <v>0.5</v>
      </c>
    </row>
    <row r="2042" spans="1:6">
      <c r="A2042" s="30">
        <f t="shared" si="67"/>
        <v>45132</v>
      </c>
      <c r="B2042" s="32" t="s">
        <v>199</v>
      </c>
      <c r="C2042" t="s">
        <v>210</v>
      </c>
      <c r="D2042">
        <f>IF(B2042=$AB$2,$AC$2,$AC$3)</f>
        <v>1</v>
      </c>
      <c r="E2042">
        <f>IF(ISBLANK(C2042),0,VLOOKUP(C2042,$AE$2:$AF$7,2,0))</f>
        <v>0.5</v>
      </c>
      <c r="F2042">
        <f t="shared" si="66"/>
        <v>0.5</v>
      </c>
    </row>
    <row r="2043" spans="1:6">
      <c r="A2043" s="30">
        <f t="shared" si="67"/>
        <v>45133</v>
      </c>
      <c r="B2043" s="32" t="s">
        <v>199</v>
      </c>
      <c r="C2043" t="s">
        <v>210</v>
      </c>
      <c r="D2043">
        <f>IF(B2043=$AB$2,$AC$2,$AC$3)</f>
        <v>1</v>
      </c>
      <c r="E2043">
        <f>IF(ISBLANK(C2043),0,VLOOKUP(C2043,$AE$2:$AF$7,2,0))</f>
        <v>0.5</v>
      </c>
      <c r="F2043">
        <f t="shared" si="66"/>
        <v>0.5</v>
      </c>
    </row>
    <row r="2044" spans="1:6">
      <c r="A2044" s="30">
        <f t="shared" si="67"/>
        <v>45134</v>
      </c>
      <c r="B2044" s="32" t="s">
        <v>199</v>
      </c>
      <c r="C2044" t="s">
        <v>210</v>
      </c>
      <c r="D2044">
        <f>IF(B2044=$AB$2,$AC$2,$AC$3)</f>
        <v>1</v>
      </c>
      <c r="E2044">
        <f>IF(ISBLANK(C2044),0,VLOOKUP(C2044,$AE$2:$AF$7,2,0))</f>
        <v>0.5</v>
      </c>
      <c r="F2044">
        <f t="shared" si="66"/>
        <v>0.5</v>
      </c>
    </row>
    <row r="2045" spans="1:6">
      <c r="A2045" s="30">
        <f t="shared" si="67"/>
        <v>45135</v>
      </c>
      <c r="B2045" s="32" t="s">
        <v>199</v>
      </c>
      <c r="C2045" t="s">
        <v>210</v>
      </c>
      <c r="D2045">
        <f>IF(B2045=$AB$2,$AC$2,$AC$3)</f>
        <v>1</v>
      </c>
      <c r="E2045">
        <f>IF(ISBLANK(C2045),0,VLOOKUP(C2045,$AE$2:$AF$7,2,0))</f>
        <v>0.5</v>
      </c>
      <c r="F2045">
        <f t="shared" si="66"/>
        <v>0.5</v>
      </c>
    </row>
    <row r="2046" spans="1:6">
      <c r="A2046" s="30">
        <f t="shared" si="67"/>
        <v>45136</v>
      </c>
      <c r="B2046" s="32" t="s">
        <v>199</v>
      </c>
      <c r="C2046" t="s">
        <v>210</v>
      </c>
      <c r="D2046">
        <f>IF(B2046=$AB$2,$AC$2,$AC$3)</f>
        <v>1</v>
      </c>
      <c r="E2046">
        <f>IF(ISBLANK(C2046),0,VLOOKUP(C2046,$AE$2:$AF$7,2,0))</f>
        <v>0.5</v>
      </c>
      <c r="F2046">
        <f t="shared" si="66"/>
        <v>0.5</v>
      </c>
    </row>
    <row r="2047" spans="1:6">
      <c r="A2047" s="30">
        <f t="shared" si="67"/>
        <v>45137</v>
      </c>
      <c r="B2047" s="32" t="s">
        <v>199</v>
      </c>
      <c r="C2047" t="s">
        <v>210</v>
      </c>
      <c r="D2047">
        <f>IF(B2047=$AB$2,$AC$2,$AC$3)</f>
        <v>1</v>
      </c>
      <c r="E2047">
        <f>IF(ISBLANK(C2047),0,VLOOKUP(C2047,$AE$2:$AF$7,2,0))</f>
        <v>0.5</v>
      </c>
      <c r="F2047">
        <f t="shared" si="66"/>
        <v>0.5</v>
      </c>
    </row>
    <row r="2048" spans="1:6">
      <c r="A2048" s="30">
        <f t="shared" si="67"/>
        <v>45138</v>
      </c>
      <c r="B2048" s="32" t="s">
        <v>199</v>
      </c>
      <c r="C2048" t="s">
        <v>210</v>
      </c>
      <c r="D2048">
        <f>IF(B2048=$AB$2,$AC$2,$AC$3)</f>
        <v>1</v>
      </c>
      <c r="E2048">
        <f>IF(ISBLANK(C2048),0,VLOOKUP(C2048,$AE$2:$AF$7,2,0))</f>
        <v>0.5</v>
      </c>
      <c r="F2048">
        <f t="shared" si="66"/>
        <v>0.5</v>
      </c>
    </row>
    <row r="2049" spans="1:6">
      <c r="A2049" s="30">
        <f t="shared" si="67"/>
        <v>45139</v>
      </c>
      <c r="B2049" s="32" t="s">
        <v>199</v>
      </c>
      <c r="C2049" t="s">
        <v>207</v>
      </c>
      <c r="D2049">
        <f>IF(B2049=$AB$2,$AC$2,$AC$3)</f>
        <v>1</v>
      </c>
      <c r="E2049">
        <f>IF(ISBLANK(C2049),0,VLOOKUP(C2049,$AE$2:$AF$7,2,0))</f>
        <v>0.5</v>
      </c>
      <c r="F2049">
        <f t="shared" si="66"/>
        <v>0.5</v>
      </c>
    </row>
    <row r="2050" spans="1:6">
      <c r="A2050" s="30">
        <f t="shared" si="67"/>
        <v>45140</v>
      </c>
      <c r="B2050" s="32" t="s">
        <v>199</v>
      </c>
      <c r="C2050" t="s">
        <v>207</v>
      </c>
      <c r="D2050">
        <f>IF(B2050=$AB$2,$AC$2,$AC$3)</f>
        <v>1</v>
      </c>
      <c r="E2050">
        <f>IF(ISBLANK(C2050),0,VLOOKUP(C2050,$AE$2:$AF$7,2,0))</f>
        <v>0.5</v>
      </c>
      <c r="F2050">
        <f t="shared" si="66"/>
        <v>0.5</v>
      </c>
    </row>
    <row r="2051" spans="1:6">
      <c r="A2051" s="30">
        <f t="shared" si="67"/>
        <v>45141</v>
      </c>
      <c r="B2051" s="32" t="s">
        <v>199</v>
      </c>
      <c r="C2051" t="s">
        <v>207</v>
      </c>
      <c r="D2051">
        <f>IF(B2051=$AB$2,$AC$2,$AC$3)</f>
        <v>1</v>
      </c>
      <c r="E2051">
        <f>IF(ISBLANK(C2051),0,VLOOKUP(C2051,$AE$2:$AF$7,2,0))</f>
        <v>0.5</v>
      </c>
      <c r="F2051">
        <f t="shared" ref="F2051:F2114" si="68">D2051*E2051</f>
        <v>0.5</v>
      </c>
    </row>
    <row r="2052" spans="1:6">
      <c r="A2052" s="30">
        <f t="shared" si="67"/>
        <v>45142</v>
      </c>
      <c r="B2052" s="32" t="s">
        <v>199</v>
      </c>
      <c r="C2052" t="s">
        <v>207</v>
      </c>
      <c r="D2052">
        <f>IF(B2052=$AB$2,$AC$2,$AC$3)</f>
        <v>1</v>
      </c>
      <c r="E2052">
        <f>IF(ISBLANK(C2052),0,VLOOKUP(C2052,$AE$2:$AF$7,2,0))</f>
        <v>0.5</v>
      </c>
      <c r="F2052">
        <f t="shared" si="68"/>
        <v>0.5</v>
      </c>
    </row>
    <row r="2053" spans="1:6">
      <c r="A2053" s="30">
        <f t="shared" si="67"/>
        <v>45143</v>
      </c>
      <c r="B2053" s="32" t="s">
        <v>199</v>
      </c>
      <c r="C2053" t="s">
        <v>207</v>
      </c>
      <c r="D2053">
        <f>IF(B2053=$AB$2,$AC$2,$AC$3)</f>
        <v>1</v>
      </c>
      <c r="E2053">
        <f>IF(ISBLANK(C2053),0,VLOOKUP(C2053,$AE$2:$AF$7,2,0))</f>
        <v>0.5</v>
      </c>
      <c r="F2053">
        <f t="shared" si="68"/>
        <v>0.5</v>
      </c>
    </row>
    <row r="2054" spans="1:6">
      <c r="A2054" s="30">
        <f t="shared" si="67"/>
        <v>45144</v>
      </c>
      <c r="B2054" s="32" t="s">
        <v>199</v>
      </c>
      <c r="C2054" t="s">
        <v>207</v>
      </c>
      <c r="D2054">
        <f>IF(B2054=$AB$2,$AC$2,$AC$3)</f>
        <v>1</v>
      </c>
      <c r="E2054">
        <f>IF(ISBLANK(C2054),0,VLOOKUP(C2054,$AE$2:$AF$7,2,0))</f>
        <v>0.5</v>
      </c>
      <c r="F2054">
        <f t="shared" si="68"/>
        <v>0.5</v>
      </c>
    </row>
    <row r="2055" spans="1:6">
      <c r="A2055" s="30">
        <f>A2054+1</f>
        <v>45145</v>
      </c>
      <c r="B2055" s="32" t="s">
        <v>199</v>
      </c>
      <c r="C2055" t="s">
        <v>207</v>
      </c>
      <c r="D2055">
        <f>IF(B2055=$AB$2,$AC$2,$AC$3)</f>
        <v>1</v>
      </c>
      <c r="E2055">
        <f>IF(ISBLANK(C2055),0,VLOOKUP(C2055,$AE$2:$AF$7,2,0))</f>
        <v>0.5</v>
      </c>
      <c r="F2055">
        <f t="shared" si="68"/>
        <v>0.5</v>
      </c>
    </row>
    <row r="2056" spans="1:6">
      <c r="A2056" s="30">
        <f t="shared" ref="A2056:A2119" si="69">A2055+1</f>
        <v>45146</v>
      </c>
      <c r="B2056" s="32" t="s">
        <v>199</v>
      </c>
      <c r="C2056" t="s">
        <v>207</v>
      </c>
      <c r="D2056">
        <f>IF(B2056=$AB$2,$AC$2,$AC$3)</f>
        <v>1</v>
      </c>
      <c r="E2056">
        <f>IF(ISBLANK(C2056),0,VLOOKUP(C2056,$AE$2:$AF$7,2,0))</f>
        <v>0.5</v>
      </c>
      <c r="F2056">
        <f t="shared" si="68"/>
        <v>0.5</v>
      </c>
    </row>
    <row r="2057" spans="1:6">
      <c r="A2057" s="30">
        <f t="shared" si="69"/>
        <v>45147</v>
      </c>
      <c r="B2057" s="32" t="s">
        <v>199</v>
      </c>
      <c r="C2057" t="s">
        <v>207</v>
      </c>
      <c r="D2057">
        <f>IF(B2057=$AB$2,$AC$2,$AC$3)</f>
        <v>1</v>
      </c>
      <c r="E2057">
        <f>IF(ISBLANK(C2057),0,VLOOKUP(C2057,$AE$2:$AF$7,2,0))</f>
        <v>0.5</v>
      </c>
      <c r="F2057">
        <f t="shared" si="68"/>
        <v>0.5</v>
      </c>
    </row>
    <row r="2058" spans="1:6">
      <c r="A2058" s="30">
        <f t="shared" si="69"/>
        <v>45148</v>
      </c>
      <c r="B2058" s="32" t="s">
        <v>199</v>
      </c>
      <c r="C2058" t="s">
        <v>207</v>
      </c>
      <c r="D2058">
        <f>IF(B2058=$AB$2,$AC$2,$AC$3)</f>
        <v>1</v>
      </c>
      <c r="E2058">
        <f>IF(ISBLANK(C2058),0,VLOOKUP(C2058,$AE$2:$AF$7,2,0))</f>
        <v>0.5</v>
      </c>
      <c r="F2058">
        <f t="shared" si="68"/>
        <v>0.5</v>
      </c>
    </row>
    <row r="2059" spans="1:6">
      <c r="A2059" s="30">
        <f t="shared" si="69"/>
        <v>45149</v>
      </c>
      <c r="B2059" s="32" t="s">
        <v>199</v>
      </c>
      <c r="C2059" t="s">
        <v>207</v>
      </c>
      <c r="D2059">
        <f>IF(B2059=$AB$2,$AC$2,$AC$3)</f>
        <v>1</v>
      </c>
      <c r="E2059">
        <f>IF(ISBLANK(C2059),0,VLOOKUP(C2059,$AE$2:$AF$7,2,0))</f>
        <v>0.5</v>
      </c>
      <c r="F2059">
        <f t="shared" si="68"/>
        <v>0.5</v>
      </c>
    </row>
    <row r="2060" spans="1:6">
      <c r="A2060" s="30">
        <f t="shared" si="69"/>
        <v>45150</v>
      </c>
      <c r="B2060" s="32" t="s">
        <v>199</v>
      </c>
      <c r="C2060" t="s">
        <v>207</v>
      </c>
      <c r="D2060">
        <f>IF(B2060=$AB$2,$AC$2,$AC$3)</f>
        <v>1</v>
      </c>
      <c r="E2060">
        <f>IF(ISBLANK(C2060),0,VLOOKUP(C2060,$AE$2:$AF$7,2,0))</f>
        <v>0.5</v>
      </c>
      <c r="F2060">
        <f t="shared" si="68"/>
        <v>0.5</v>
      </c>
    </row>
    <row r="2061" spans="1:6">
      <c r="A2061" s="30">
        <f t="shared" si="69"/>
        <v>45151</v>
      </c>
      <c r="B2061" s="32" t="s">
        <v>199</v>
      </c>
      <c r="C2061" t="s">
        <v>207</v>
      </c>
      <c r="D2061">
        <f>IF(B2061=$AB$2,$AC$2,$AC$3)</f>
        <v>1</v>
      </c>
      <c r="E2061">
        <f>IF(ISBLANK(C2061),0,VLOOKUP(C2061,$AE$2:$AF$7,2,0))</f>
        <v>0.5</v>
      </c>
      <c r="F2061">
        <f t="shared" si="68"/>
        <v>0.5</v>
      </c>
    </row>
    <row r="2062" spans="1:6">
      <c r="A2062" s="30">
        <f t="shared" si="69"/>
        <v>45152</v>
      </c>
      <c r="B2062" s="32" t="s">
        <v>199</v>
      </c>
      <c r="C2062" t="s">
        <v>207</v>
      </c>
      <c r="D2062">
        <f>IF(B2062=$AB$2,$AC$2,$AC$3)</f>
        <v>1</v>
      </c>
      <c r="E2062">
        <f>IF(ISBLANK(C2062),0,VLOOKUP(C2062,$AE$2:$AF$7,2,0))</f>
        <v>0.5</v>
      </c>
      <c r="F2062">
        <f t="shared" si="68"/>
        <v>0.5</v>
      </c>
    </row>
    <row r="2063" spans="1:6">
      <c r="A2063" s="30">
        <f t="shared" si="69"/>
        <v>45153</v>
      </c>
      <c r="B2063" s="32" t="s">
        <v>199</v>
      </c>
      <c r="C2063" t="s">
        <v>207</v>
      </c>
      <c r="D2063">
        <f>IF(B2063=$AB$2,$AC$2,$AC$3)</f>
        <v>1</v>
      </c>
      <c r="E2063">
        <f>IF(ISBLANK(C2063),0,VLOOKUP(C2063,$AE$2:$AF$7,2,0))</f>
        <v>0.5</v>
      </c>
      <c r="F2063">
        <f t="shared" si="68"/>
        <v>0.5</v>
      </c>
    </row>
    <row r="2064" spans="1:6">
      <c r="A2064" s="30">
        <f t="shared" si="69"/>
        <v>45154</v>
      </c>
      <c r="B2064" s="32" t="s">
        <v>199</v>
      </c>
      <c r="C2064" t="s">
        <v>207</v>
      </c>
      <c r="D2064">
        <f>IF(B2064=$AB$2,$AC$2,$AC$3)</f>
        <v>1</v>
      </c>
      <c r="E2064">
        <f>IF(ISBLANK(C2064),0,VLOOKUP(C2064,$AE$2:$AF$7,2,0))</f>
        <v>0.5</v>
      </c>
      <c r="F2064">
        <f t="shared" si="68"/>
        <v>0.5</v>
      </c>
    </row>
    <row r="2065" spans="1:6">
      <c r="A2065" s="30">
        <f t="shared" si="69"/>
        <v>45155</v>
      </c>
      <c r="B2065" s="32" t="s">
        <v>199</v>
      </c>
      <c r="C2065" t="s">
        <v>207</v>
      </c>
      <c r="D2065">
        <f>IF(B2065=$AB$2,$AC$2,$AC$3)</f>
        <v>1</v>
      </c>
      <c r="E2065">
        <f>IF(ISBLANK(C2065),0,VLOOKUP(C2065,$AE$2:$AF$7,2,0))</f>
        <v>0.5</v>
      </c>
      <c r="F2065">
        <f t="shared" si="68"/>
        <v>0.5</v>
      </c>
    </row>
    <row r="2066" spans="1:6">
      <c r="A2066" s="30">
        <f t="shared" si="69"/>
        <v>45156</v>
      </c>
      <c r="B2066" s="32" t="s">
        <v>199</v>
      </c>
      <c r="C2066" t="s">
        <v>207</v>
      </c>
      <c r="D2066">
        <f>IF(B2066=$AB$2,$AC$2,$AC$3)</f>
        <v>1</v>
      </c>
      <c r="E2066">
        <f>IF(ISBLANK(C2066),0,VLOOKUP(C2066,$AE$2:$AF$7,2,0))</f>
        <v>0.5</v>
      </c>
      <c r="F2066">
        <f t="shared" si="68"/>
        <v>0.5</v>
      </c>
    </row>
    <row r="2067" spans="1:6">
      <c r="A2067" s="30">
        <f t="shared" si="69"/>
        <v>45157</v>
      </c>
      <c r="B2067" s="32" t="s">
        <v>199</v>
      </c>
      <c r="C2067" t="s">
        <v>207</v>
      </c>
      <c r="D2067">
        <f>IF(B2067=$AB$2,$AC$2,$AC$3)</f>
        <v>1</v>
      </c>
      <c r="E2067">
        <f>IF(ISBLANK(C2067),0,VLOOKUP(C2067,$AE$2:$AF$7,2,0))</f>
        <v>0.5</v>
      </c>
      <c r="F2067">
        <f t="shared" si="68"/>
        <v>0.5</v>
      </c>
    </row>
    <row r="2068" spans="1:6">
      <c r="A2068" s="30">
        <f t="shared" si="69"/>
        <v>45158</v>
      </c>
      <c r="B2068" s="32" t="s">
        <v>199</v>
      </c>
      <c r="C2068" t="s">
        <v>207</v>
      </c>
      <c r="D2068">
        <f>IF(B2068=$AB$2,$AC$2,$AC$3)</f>
        <v>1</v>
      </c>
      <c r="E2068">
        <f>IF(ISBLANK(C2068),0,VLOOKUP(C2068,$AE$2:$AF$7,2,0))</f>
        <v>0.5</v>
      </c>
      <c r="F2068">
        <f t="shared" si="68"/>
        <v>0.5</v>
      </c>
    </row>
    <row r="2069" spans="1:6">
      <c r="A2069" s="30">
        <f t="shared" si="69"/>
        <v>45159</v>
      </c>
      <c r="B2069" s="32" t="s">
        <v>199</v>
      </c>
      <c r="C2069" t="s">
        <v>207</v>
      </c>
      <c r="D2069">
        <f>IF(B2069=$AB$2,$AC$2,$AC$3)</f>
        <v>1</v>
      </c>
      <c r="E2069">
        <f>IF(ISBLANK(C2069),0,VLOOKUP(C2069,$AE$2:$AF$7,2,0))</f>
        <v>0.5</v>
      </c>
      <c r="F2069">
        <f t="shared" si="68"/>
        <v>0.5</v>
      </c>
    </row>
    <row r="2070" spans="1:6">
      <c r="A2070" s="30">
        <f t="shared" si="69"/>
        <v>45160</v>
      </c>
      <c r="B2070" s="32" t="s">
        <v>199</v>
      </c>
      <c r="C2070" t="s">
        <v>207</v>
      </c>
      <c r="D2070">
        <f>IF(B2070=$AB$2,$AC$2,$AC$3)</f>
        <v>1</v>
      </c>
      <c r="E2070">
        <f>IF(ISBLANK(C2070),0,VLOOKUP(C2070,$AE$2:$AF$7,2,0))</f>
        <v>0.5</v>
      </c>
      <c r="F2070">
        <f t="shared" si="68"/>
        <v>0.5</v>
      </c>
    </row>
    <row r="2071" spans="1:6">
      <c r="A2071" s="30">
        <f t="shared" si="69"/>
        <v>45161</v>
      </c>
      <c r="B2071" s="32" t="s">
        <v>199</v>
      </c>
      <c r="C2071" t="s">
        <v>207</v>
      </c>
      <c r="D2071">
        <f>IF(B2071=$AB$2,$AC$2,$AC$3)</f>
        <v>1</v>
      </c>
      <c r="E2071">
        <f>IF(ISBLANK(C2071),0,VLOOKUP(C2071,$AE$2:$AF$7,2,0))</f>
        <v>0.5</v>
      </c>
      <c r="F2071">
        <f t="shared" si="68"/>
        <v>0.5</v>
      </c>
    </row>
    <row r="2072" spans="1:6">
      <c r="A2072" s="30">
        <f t="shared" si="69"/>
        <v>45162</v>
      </c>
      <c r="B2072" s="32" t="s">
        <v>199</v>
      </c>
      <c r="C2072" t="s">
        <v>207</v>
      </c>
      <c r="D2072">
        <f>IF(B2072=$AB$2,$AC$2,$AC$3)</f>
        <v>1</v>
      </c>
      <c r="E2072">
        <f>IF(ISBLANK(C2072),0,VLOOKUP(C2072,$AE$2:$AF$7,2,0))</f>
        <v>0.5</v>
      </c>
      <c r="F2072">
        <f t="shared" si="68"/>
        <v>0.5</v>
      </c>
    </row>
    <row r="2073" spans="1:6">
      <c r="A2073" s="30">
        <f t="shared" si="69"/>
        <v>45163</v>
      </c>
      <c r="B2073" s="32" t="s">
        <v>199</v>
      </c>
      <c r="C2073" t="s">
        <v>207</v>
      </c>
      <c r="D2073">
        <f>IF(B2073=$AB$2,$AC$2,$AC$3)</f>
        <v>1</v>
      </c>
      <c r="E2073">
        <f>IF(ISBLANK(C2073),0,VLOOKUP(C2073,$AE$2:$AF$7,2,0))</f>
        <v>0.5</v>
      </c>
      <c r="F2073">
        <f t="shared" si="68"/>
        <v>0.5</v>
      </c>
    </row>
    <row r="2074" spans="1:6">
      <c r="A2074" s="30">
        <f t="shared" si="69"/>
        <v>45164</v>
      </c>
      <c r="B2074" s="32" t="s">
        <v>199</v>
      </c>
      <c r="C2074" t="s">
        <v>207</v>
      </c>
      <c r="D2074">
        <f>IF(B2074=$AB$2,$AC$2,$AC$3)</f>
        <v>1</v>
      </c>
      <c r="E2074">
        <f>IF(ISBLANK(C2074),0,VLOOKUP(C2074,$AE$2:$AF$7,2,0))</f>
        <v>0.5</v>
      </c>
      <c r="F2074">
        <f t="shared" si="68"/>
        <v>0.5</v>
      </c>
    </row>
    <row r="2075" spans="1:6">
      <c r="A2075" s="30">
        <f t="shared" si="69"/>
        <v>45165</v>
      </c>
      <c r="B2075" s="32" t="s">
        <v>199</v>
      </c>
      <c r="C2075" t="s">
        <v>207</v>
      </c>
      <c r="D2075">
        <f>IF(B2075=$AB$2,$AC$2,$AC$3)</f>
        <v>1</v>
      </c>
      <c r="E2075">
        <f>IF(ISBLANK(C2075),0,VLOOKUP(C2075,$AE$2:$AF$7,2,0))</f>
        <v>0.5</v>
      </c>
      <c r="F2075">
        <f t="shared" si="68"/>
        <v>0.5</v>
      </c>
    </row>
    <row r="2076" spans="1:6">
      <c r="A2076" s="30">
        <f t="shared" si="69"/>
        <v>45166</v>
      </c>
      <c r="B2076" s="32" t="s">
        <v>199</v>
      </c>
      <c r="C2076" t="s">
        <v>207</v>
      </c>
      <c r="D2076">
        <f>IF(B2076=$AB$2,$AC$2,$AC$3)</f>
        <v>1</v>
      </c>
      <c r="E2076">
        <f>IF(ISBLANK(C2076),0,VLOOKUP(C2076,$AE$2:$AF$7,2,0))</f>
        <v>0.5</v>
      </c>
      <c r="F2076">
        <f t="shared" si="68"/>
        <v>0.5</v>
      </c>
    </row>
    <row r="2077" spans="1:6">
      <c r="A2077" s="30">
        <f t="shared" si="69"/>
        <v>45167</v>
      </c>
      <c r="B2077" s="32" t="s">
        <v>199</v>
      </c>
      <c r="C2077" t="s">
        <v>207</v>
      </c>
      <c r="D2077">
        <f>IF(B2077=$AB$2,$AC$2,$AC$3)</f>
        <v>1</v>
      </c>
      <c r="E2077">
        <f>IF(ISBLANK(C2077),0,VLOOKUP(C2077,$AE$2:$AF$7,2,0))</f>
        <v>0.5</v>
      </c>
      <c r="F2077">
        <f t="shared" si="68"/>
        <v>0.5</v>
      </c>
    </row>
    <row r="2078" spans="1:6">
      <c r="A2078" s="30">
        <f t="shared" si="69"/>
        <v>45168</v>
      </c>
      <c r="B2078" s="32" t="s">
        <v>199</v>
      </c>
      <c r="C2078" t="s">
        <v>207</v>
      </c>
      <c r="D2078">
        <f>IF(B2078=$AB$2,$AC$2,$AC$3)</f>
        <v>1</v>
      </c>
      <c r="E2078">
        <f>IF(ISBLANK(C2078),0,VLOOKUP(C2078,$AE$2:$AF$7,2,0))</f>
        <v>0.5</v>
      </c>
      <c r="F2078">
        <f t="shared" si="68"/>
        <v>0.5</v>
      </c>
    </row>
    <row r="2079" spans="1:6">
      <c r="A2079" s="30">
        <f t="shared" si="69"/>
        <v>45169</v>
      </c>
      <c r="B2079" s="32" t="s">
        <v>199</v>
      </c>
      <c r="C2079" t="s">
        <v>207</v>
      </c>
      <c r="D2079">
        <f>IF(B2079=$AB$2,$AC$2,$AC$3)</f>
        <v>1</v>
      </c>
      <c r="E2079">
        <f>IF(ISBLANK(C2079),0,VLOOKUP(C2079,$AE$2:$AF$7,2,0))</f>
        <v>0.5</v>
      </c>
      <c r="F2079">
        <f t="shared" si="68"/>
        <v>0.5</v>
      </c>
    </row>
    <row r="2080" spans="1:6">
      <c r="A2080" s="30">
        <f t="shared" si="69"/>
        <v>45170</v>
      </c>
      <c r="B2080" s="32" t="s">
        <v>199</v>
      </c>
      <c r="C2080" t="s">
        <v>207</v>
      </c>
      <c r="D2080">
        <f>IF(B2080=$AB$2,$AC$2,$AC$3)</f>
        <v>1</v>
      </c>
      <c r="E2080">
        <f>IF(ISBLANK(C2080),0,VLOOKUP(C2080,$AE$2:$AF$7,2,0))</f>
        <v>0.5</v>
      </c>
      <c r="F2080">
        <f t="shared" si="68"/>
        <v>0.5</v>
      </c>
    </row>
    <row r="2081" spans="1:6">
      <c r="A2081" s="30">
        <f t="shared" si="69"/>
        <v>45171</v>
      </c>
      <c r="B2081" s="32" t="s">
        <v>199</v>
      </c>
      <c r="C2081" t="s">
        <v>207</v>
      </c>
      <c r="D2081">
        <f>IF(B2081=$AB$2,$AC$2,$AC$3)</f>
        <v>1</v>
      </c>
      <c r="E2081">
        <f>IF(ISBLANK(C2081),0,VLOOKUP(C2081,$AE$2:$AF$7,2,0))</f>
        <v>0.5</v>
      </c>
      <c r="F2081">
        <f t="shared" si="68"/>
        <v>0.5</v>
      </c>
    </row>
    <row r="2082" spans="1:6">
      <c r="A2082" s="30">
        <f t="shared" si="69"/>
        <v>45172</v>
      </c>
      <c r="B2082" s="32" t="s">
        <v>199</v>
      </c>
      <c r="C2082" t="s">
        <v>207</v>
      </c>
      <c r="D2082">
        <f>IF(B2082=$AB$2,$AC$2,$AC$3)</f>
        <v>1</v>
      </c>
      <c r="E2082">
        <f>IF(ISBLANK(C2082),0,VLOOKUP(C2082,$AE$2:$AF$7,2,0))</f>
        <v>0.5</v>
      </c>
      <c r="F2082">
        <f t="shared" si="68"/>
        <v>0.5</v>
      </c>
    </row>
    <row r="2083" spans="1:6">
      <c r="A2083" s="30">
        <f t="shared" si="69"/>
        <v>45173</v>
      </c>
      <c r="B2083" s="32" t="s">
        <v>199</v>
      </c>
      <c r="C2083" t="s">
        <v>207</v>
      </c>
      <c r="D2083">
        <f>IF(B2083=$AB$2,$AC$2,$AC$3)</f>
        <v>1</v>
      </c>
      <c r="E2083">
        <f>IF(ISBLANK(C2083),0,VLOOKUP(C2083,$AE$2:$AF$7,2,0))</f>
        <v>0.5</v>
      </c>
      <c r="F2083">
        <f t="shared" si="68"/>
        <v>0.5</v>
      </c>
    </row>
    <row r="2084" spans="1:6">
      <c r="A2084" s="30">
        <f t="shared" si="69"/>
        <v>45174</v>
      </c>
      <c r="B2084" s="32" t="s">
        <v>199</v>
      </c>
      <c r="C2084" t="s">
        <v>207</v>
      </c>
      <c r="D2084">
        <f>IF(B2084=$AB$2,$AC$2,$AC$3)</f>
        <v>1</v>
      </c>
      <c r="E2084">
        <f>IF(ISBLANK(C2084),0,VLOOKUP(C2084,$AE$2:$AF$7,2,0))</f>
        <v>0.5</v>
      </c>
      <c r="F2084">
        <f t="shared" si="68"/>
        <v>0.5</v>
      </c>
    </row>
    <row r="2085" spans="1:6">
      <c r="A2085" s="30">
        <f t="shared" si="69"/>
        <v>45175</v>
      </c>
      <c r="B2085" s="32" t="s">
        <v>199</v>
      </c>
      <c r="C2085" t="s">
        <v>207</v>
      </c>
      <c r="D2085">
        <f>IF(B2085=$AB$2,$AC$2,$AC$3)</f>
        <v>1</v>
      </c>
      <c r="E2085">
        <f>IF(ISBLANK(C2085),0,VLOOKUP(C2085,$AE$2:$AF$7,2,0))</f>
        <v>0.5</v>
      </c>
      <c r="F2085">
        <f t="shared" si="68"/>
        <v>0.5</v>
      </c>
    </row>
    <row r="2086" spans="1:6">
      <c r="A2086" s="30">
        <f t="shared" si="69"/>
        <v>45176</v>
      </c>
      <c r="B2086" s="32" t="s">
        <v>199</v>
      </c>
      <c r="C2086" t="s">
        <v>207</v>
      </c>
      <c r="D2086">
        <f>IF(B2086=$AB$2,$AC$2,$AC$3)</f>
        <v>1</v>
      </c>
      <c r="E2086">
        <f>IF(ISBLANK(C2086),0,VLOOKUP(C2086,$AE$2:$AF$7,2,0))</f>
        <v>0.5</v>
      </c>
      <c r="F2086">
        <f t="shared" si="68"/>
        <v>0.5</v>
      </c>
    </row>
    <row r="2087" spans="1:6">
      <c r="A2087" s="30">
        <f t="shared" si="69"/>
        <v>45177</v>
      </c>
      <c r="B2087" s="32" t="s">
        <v>199</v>
      </c>
      <c r="C2087" t="s">
        <v>207</v>
      </c>
      <c r="D2087">
        <f>IF(B2087=$AB$2,$AC$2,$AC$3)</f>
        <v>1</v>
      </c>
      <c r="E2087">
        <f>IF(ISBLANK(C2087),0,VLOOKUP(C2087,$AE$2:$AF$7,2,0))</f>
        <v>0.5</v>
      </c>
      <c r="F2087">
        <f t="shared" si="68"/>
        <v>0.5</v>
      </c>
    </row>
    <row r="2088" spans="1:6">
      <c r="A2088" s="30">
        <f t="shared" si="69"/>
        <v>45178</v>
      </c>
      <c r="B2088" s="32" t="s">
        <v>199</v>
      </c>
      <c r="C2088" t="s">
        <v>207</v>
      </c>
      <c r="D2088">
        <f>IF(B2088=$AB$2,$AC$2,$AC$3)</f>
        <v>1</v>
      </c>
      <c r="E2088">
        <f>IF(ISBLANK(C2088),0,VLOOKUP(C2088,$AE$2:$AF$7,2,0))</f>
        <v>0.5</v>
      </c>
      <c r="F2088">
        <f t="shared" si="68"/>
        <v>0.5</v>
      </c>
    </row>
    <row r="2089" spans="1:6">
      <c r="A2089" s="30">
        <f t="shared" si="69"/>
        <v>45179</v>
      </c>
      <c r="B2089" s="32" t="s">
        <v>199</v>
      </c>
      <c r="C2089" t="s">
        <v>207</v>
      </c>
      <c r="D2089">
        <f>IF(B2089=$AB$2,$AC$2,$AC$3)</f>
        <v>1</v>
      </c>
      <c r="E2089">
        <f>IF(ISBLANK(C2089),0,VLOOKUP(C2089,$AE$2:$AF$7,2,0))</f>
        <v>0.5</v>
      </c>
      <c r="F2089">
        <f t="shared" si="68"/>
        <v>0.5</v>
      </c>
    </row>
    <row r="2090" spans="1:6">
      <c r="A2090" s="30">
        <f t="shared" si="69"/>
        <v>45180</v>
      </c>
      <c r="B2090" s="32" t="s">
        <v>199</v>
      </c>
      <c r="C2090" t="s">
        <v>207</v>
      </c>
      <c r="D2090">
        <f>IF(B2090=$AB$2,$AC$2,$AC$3)</f>
        <v>1</v>
      </c>
      <c r="E2090">
        <f>IF(ISBLANK(C2090),0,VLOOKUP(C2090,$AE$2:$AF$7,2,0))</f>
        <v>0.5</v>
      </c>
      <c r="F2090">
        <f t="shared" si="68"/>
        <v>0.5</v>
      </c>
    </row>
    <row r="2091" spans="1:6">
      <c r="A2091" s="30">
        <f t="shared" si="69"/>
        <v>45181</v>
      </c>
      <c r="B2091" s="32" t="s">
        <v>199</v>
      </c>
      <c r="C2091" t="s">
        <v>207</v>
      </c>
      <c r="D2091">
        <f>IF(B2091=$AB$2,$AC$2,$AC$3)</f>
        <v>1</v>
      </c>
      <c r="E2091">
        <f>IF(ISBLANK(C2091),0,VLOOKUP(C2091,$AE$2:$AF$7,2,0))</f>
        <v>0.5</v>
      </c>
      <c r="F2091">
        <f t="shared" si="68"/>
        <v>0.5</v>
      </c>
    </row>
    <row r="2092" spans="1:6">
      <c r="A2092" s="30">
        <f t="shared" si="69"/>
        <v>45182</v>
      </c>
      <c r="B2092" s="32" t="s">
        <v>199</v>
      </c>
      <c r="C2092" t="s">
        <v>207</v>
      </c>
      <c r="D2092">
        <f>IF(B2092=$AB$2,$AC$2,$AC$3)</f>
        <v>1</v>
      </c>
      <c r="E2092">
        <f>IF(ISBLANK(C2092),0,VLOOKUP(C2092,$AE$2:$AF$7,2,0))</f>
        <v>0.5</v>
      </c>
      <c r="F2092">
        <f t="shared" si="68"/>
        <v>0.5</v>
      </c>
    </row>
    <row r="2093" spans="1:6">
      <c r="A2093" s="30">
        <f t="shared" si="69"/>
        <v>45183</v>
      </c>
      <c r="B2093" s="32" t="s">
        <v>199</v>
      </c>
      <c r="C2093" t="s">
        <v>207</v>
      </c>
      <c r="D2093">
        <f>IF(B2093=$AB$2,$AC$2,$AC$3)</f>
        <v>1</v>
      </c>
      <c r="E2093">
        <f>IF(ISBLANK(C2093),0,VLOOKUP(C2093,$AE$2:$AF$7,2,0))</f>
        <v>0.5</v>
      </c>
      <c r="F2093">
        <f t="shared" si="68"/>
        <v>0.5</v>
      </c>
    </row>
    <row r="2094" spans="1:6">
      <c r="A2094" s="30">
        <f t="shared" si="69"/>
        <v>45184</v>
      </c>
      <c r="B2094" s="32" t="s">
        <v>199</v>
      </c>
      <c r="C2094" t="s">
        <v>207</v>
      </c>
      <c r="D2094">
        <f>IF(B2094=$AB$2,$AC$2,$AC$3)</f>
        <v>1</v>
      </c>
      <c r="E2094">
        <f>IF(ISBLANK(C2094),0,VLOOKUP(C2094,$AE$2:$AF$7,2,0))</f>
        <v>0.5</v>
      </c>
      <c r="F2094">
        <f t="shared" si="68"/>
        <v>0.5</v>
      </c>
    </row>
    <row r="2095" spans="1:6">
      <c r="A2095" s="30">
        <f t="shared" si="69"/>
        <v>45185</v>
      </c>
      <c r="B2095" s="32" t="s">
        <v>199</v>
      </c>
      <c r="C2095" t="s">
        <v>207</v>
      </c>
      <c r="D2095">
        <f>IF(B2095=$AB$2,$AC$2,$AC$3)</f>
        <v>1</v>
      </c>
      <c r="E2095">
        <f>IF(ISBLANK(C2095),0,VLOOKUP(C2095,$AE$2:$AF$7,2,0))</f>
        <v>0.5</v>
      </c>
      <c r="F2095">
        <f t="shared" si="68"/>
        <v>0.5</v>
      </c>
    </row>
    <row r="2096" spans="1:6">
      <c r="A2096" s="30">
        <f t="shared" si="69"/>
        <v>45186</v>
      </c>
      <c r="B2096" s="32" t="s">
        <v>199</v>
      </c>
      <c r="C2096" t="s">
        <v>207</v>
      </c>
      <c r="D2096">
        <f>IF(B2096=$AB$2,$AC$2,$AC$3)</f>
        <v>1</v>
      </c>
      <c r="E2096">
        <f>IF(ISBLANK(C2096),0,VLOOKUP(C2096,$AE$2:$AF$7,2,0))</f>
        <v>0.5</v>
      </c>
      <c r="F2096">
        <f t="shared" si="68"/>
        <v>0.5</v>
      </c>
    </row>
    <row r="2097" spans="1:6">
      <c r="A2097" s="30">
        <f t="shared" si="69"/>
        <v>45187</v>
      </c>
      <c r="B2097" s="32" t="s">
        <v>199</v>
      </c>
      <c r="C2097" t="s">
        <v>207</v>
      </c>
      <c r="D2097">
        <f>IF(B2097=$AB$2,$AC$2,$AC$3)</f>
        <v>1</v>
      </c>
      <c r="E2097">
        <f>IF(ISBLANK(C2097),0,VLOOKUP(C2097,$AE$2:$AF$7,2,0))</f>
        <v>0.5</v>
      </c>
      <c r="F2097">
        <f t="shared" si="68"/>
        <v>0.5</v>
      </c>
    </row>
    <row r="2098" spans="1:6">
      <c r="A2098" s="30">
        <f t="shared" si="69"/>
        <v>45188</v>
      </c>
      <c r="B2098" s="32" t="s">
        <v>199</v>
      </c>
      <c r="C2098" t="s">
        <v>207</v>
      </c>
      <c r="D2098">
        <f>IF(B2098=$AB$2,$AC$2,$AC$3)</f>
        <v>1</v>
      </c>
      <c r="E2098">
        <f>IF(ISBLANK(C2098),0,VLOOKUP(C2098,$AE$2:$AF$7,2,0))</f>
        <v>0.5</v>
      </c>
      <c r="F2098">
        <f t="shared" si="68"/>
        <v>0.5</v>
      </c>
    </row>
    <row r="2099" spans="1:6">
      <c r="A2099" s="30">
        <f t="shared" si="69"/>
        <v>45189</v>
      </c>
      <c r="B2099" s="32" t="s">
        <v>199</v>
      </c>
      <c r="C2099" t="s">
        <v>207</v>
      </c>
      <c r="D2099">
        <f>IF(B2099=$AB$2,$AC$2,$AC$3)</f>
        <v>1</v>
      </c>
      <c r="E2099">
        <f>IF(ISBLANK(C2099),0,VLOOKUP(C2099,$AE$2:$AF$7,2,0))</f>
        <v>0.5</v>
      </c>
      <c r="F2099">
        <f t="shared" si="68"/>
        <v>0.5</v>
      </c>
    </row>
    <row r="2100" spans="1:6">
      <c r="A2100" s="30">
        <f t="shared" si="69"/>
        <v>45190</v>
      </c>
      <c r="B2100" s="32" t="s">
        <v>199</v>
      </c>
      <c r="C2100" t="s">
        <v>207</v>
      </c>
      <c r="D2100">
        <f>IF(B2100=$AB$2,$AC$2,$AC$3)</f>
        <v>1</v>
      </c>
      <c r="E2100">
        <f>IF(ISBLANK(C2100),0,VLOOKUP(C2100,$AE$2:$AF$7,2,0))</f>
        <v>0.5</v>
      </c>
      <c r="F2100">
        <f t="shared" si="68"/>
        <v>0.5</v>
      </c>
    </row>
    <row r="2101" spans="1:6">
      <c r="A2101" s="30">
        <f t="shared" si="69"/>
        <v>45191</v>
      </c>
      <c r="B2101" s="32" t="s">
        <v>199</v>
      </c>
      <c r="C2101" t="s">
        <v>207</v>
      </c>
      <c r="D2101">
        <f>IF(B2101=$AB$2,$AC$2,$AC$3)</f>
        <v>1</v>
      </c>
      <c r="E2101">
        <f>IF(ISBLANK(C2101),0,VLOOKUP(C2101,$AE$2:$AF$7,2,0))</f>
        <v>0.5</v>
      </c>
      <c r="F2101">
        <f t="shared" si="68"/>
        <v>0.5</v>
      </c>
    </row>
    <row r="2102" spans="1:6">
      <c r="A2102" s="30">
        <f t="shared" si="69"/>
        <v>45192</v>
      </c>
      <c r="B2102" s="32" t="s">
        <v>199</v>
      </c>
      <c r="C2102" t="s">
        <v>207</v>
      </c>
      <c r="D2102">
        <f>IF(B2102=$AB$2,$AC$2,$AC$3)</f>
        <v>1</v>
      </c>
      <c r="E2102">
        <f>IF(ISBLANK(C2102),0,VLOOKUP(C2102,$AE$2:$AF$7,2,0))</f>
        <v>0.5</v>
      </c>
      <c r="F2102">
        <f t="shared" si="68"/>
        <v>0.5</v>
      </c>
    </row>
    <row r="2103" spans="1:6">
      <c r="A2103" s="30">
        <f t="shared" si="69"/>
        <v>45193</v>
      </c>
      <c r="B2103" s="32" t="s">
        <v>199</v>
      </c>
      <c r="C2103" t="s">
        <v>207</v>
      </c>
      <c r="D2103">
        <f>IF(B2103=$AB$2,$AC$2,$AC$3)</f>
        <v>1</v>
      </c>
      <c r="E2103">
        <f>IF(ISBLANK(C2103),0,VLOOKUP(C2103,$AE$2:$AF$7,2,0))</f>
        <v>0.5</v>
      </c>
      <c r="F2103">
        <f t="shared" si="68"/>
        <v>0.5</v>
      </c>
    </row>
    <row r="2104" spans="1:6">
      <c r="A2104" s="30">
        <f t="shared" si="69"/>
        <v>45194</v>
      </c>
      <c r="B2104" s="32" t="s">
        <v>199</v>
      </c>
      <c r="C2104" t="s">
        <v>207</v>
      </c>
      <c r="D2104">
        <f>IF(B2104=$AB$2,$AC$2,$AC$3)</f>
        <v>1</v>
      </c>
      <c r="E2104">
        <f>IF(ISBLANK(C2104),0,VLOOKUP(C2104,$AE$2:$AF$7,2,0))</f>
        <v>0.5</v>
      </c>
      <c r="F2104">
        <f t="shared" si="68"/>
        <v>0.5</v>
      </c>
    </row>
    <row r="2105" spans="1:6">
      <c r="A2105" s="30">
        <f t="shared" si="69"/>
        <v>45195</v>
      </c>
      <c r="B2105" s="32" t="s">
        <v>199</v>
      </c>
      <c r="C2105" t="s">
        <v>207</v>
      </c>
      <c r="D2105">
        <f>IF(B2105=$AB$2,$AC$2,$AC$3)</f>
        <v>1</v>
      </c>
      <c r="E2105">
        <f>IF(ISBLANK(C2105),0,VLOOKUP(C2105,$AE$2:$AF$7,2,0))</f>
        <v>0.5</v>
      </c>
      <c r="F2105">
        <f t="shared" si="68"/>
        <v>0.5</v>
      </c>
    </row>
    <row r="2106" spans="1:6">
      <c r="A2106" s="30">
        <f t="shared" si="69"/>
        <v>45196</v>
      </c>
      <c r="B2106" s="32" t="s">
        <v>199</v>
      </c>
      <c r="C2106" t="s">
        <v>207</v>
      </c>
      <c r="D2106">
        <f>IF(B2106=$AB$2,$AC$2,$AC$3)</f>
        <v>1</v>
      </c>
      <c r="E2106">
        <f>IF(ISBLANK(C2106),0,VLOOKUP(C2106,$AE$2:$AF$7,2,0))</f>
        <v>0.5</v>
      </c>
      <c r="F2106">
        <f t="shared" si="68"/>
        <v>0.5</v>
      </c>
    </row>
    <row r="2107" spans="1:6">
      <c r="A2107" s="30">
        <f t="shared" si="69"/>
        <v>45197</v>
      </c>
      <c r="B2107" s="32" t="s">
        <v>199</v>
      </c>
      <c r="C2107" t="s">
        <v>207</v>
      </c>
      <c r="D2107">
        <f>IF(B2107=$AB$2,$AC$2,$AC$3)</f>
        <v>1</v>
      </c>
      <c r="E2107">
        <f>IF(ISBLANK(C2107),0,VLOOKUP(C2107,$AE$2:$AF$7,2,0))</f>
        <v>0.5</v>
      </c>
      <c r="F2107">
        <f t="shared" si="68"/>
        <v>0.5</v>
      </c>
    </row>
    <row r="2108" spans="1:6">
      <c r="A2108" s="30">
        <f t="shared" si="69"/>
        <v>45198</v>
      </c>
      <c r="B2108" s="32" t="s">
        <v>199</v>
      </c>
      <c r="C2108" t="s">
        <v>207</v>
      </c>
      <c r="D2108">
        <f>IF(B2108=$AB$2,$AC$2,$AC$3)</f>
        <v>1</v>
      </c>
      <c r="E2108">
        <f>IF(ISBLANK(C2108),0,VLOOKUP(C2108,$AE$2:$AF$7,2,0))</f>
        <v>0.5</v>
      </c>
      <c r="F2108">
        <f t="shared" si="68"/>
        <v>0.5</v>
      </c>
    </row>
    <row r="2109" spans="1:6">
      <c r="A2109" s="30">
        <f t="shared" si="69"/>
        <v>45199</v>
      </c>
      <c r="B2109" s="32" t="s">
        <v>199</v>
      </c>
      <c r="C2109" t="s">
        <v>207</v>
      </c>
      <c r="D2109">
        <f>IF(B2109=$AB$2,$AC$2,$AC$3)</f>
        <v>1</v>
      </c>
      <c r="E2109">
        <f>IF(ISBLANK(C2109),0,VLOOKUP(C2109,$AE$2:$AF$7,2,0))</f>
        <v>0.5</v>
      </c>
      <c r="F2109">
        <f t="shared" si="68"/>
        <v>0.5</v>
      </c>
    </row>
    <row r="2110" spans="1:6">
      <c r="A2110" s="30">
        <f t="shared" si="69"/>
        <v>45200</v>
      </c>
      <c r="B2110" s="32" t="s">
        <v>199</v>
      </c>
      <c r="C2110" t="s">
        <v>207</v>
      </c>
      <c r="D2110">
        <f>IF(B2110=$AB$2,$AC$2,$AC$3)</f>
        <v>1</v>
      </c>
      <c r="E2110">
        <f>IF(ISBLANK(C2110),0,VLOOKUP(C2110,$AE$2:$AF$7,2,0))</f>
        <v>0.5</v>
      </c>
      <c r="F2110">
        <f t="shared" si="68"/>
        <v>0.5</v>
      </c>
    </row>
    <row r="2111" spans="1:6">
      <c r="A2111" s="30">
        <f t="shared" si="69"/>
        <v>45201</v>
      </c>
      <c r="B2111" s="32" t="s">
        <v>199</v>
      </c>
      <c r="C2111" t="s">
        <v>207</v>
      </c>
      <c r="D2111">
        <f>IF(B2111=$AB$2,$AC$2,$AC$3)</f>
        <v>1</v>
      </c>
      <c r="E2111">
        <f>IF(ISBLANK(C2111),0,VLOOKUP(C2111,$AE$2:$AF$7,2,0))</f>
        <v>0.5</v>
      </c>
      <c r="F2111">
        <f t="shared" si="68"/>
        <v>0.5</v>
      </c>
    </row>
    <row r="2112" spans="1:6">
      <c r="A2112" s="30">
        <f t="shared" si="69"/>
        <v>45202</v>
      </c>
      <c r="B2112" s="32" t="s">
        <v>199</v>
      </c>
      <c r="C2112" t="s">
        <v>207</v>
      </c>
      <c r="D2112">
        <f>IF(B2112=$AB$2,$AC$2,$AC$3)</f>
        <v>1</v>
      </c>
      <c r="E2112">
        <f>IF(ISBLANK(C2112),0,VLOOKUP(C2112,$AE$2:$AF$7,2,0))</f>
        <v>0.5</v>
      </c>
      <c r="F2112">
        <f t="shared" si="68"/>
        <v>0.5</v>
      </c>
    </row>
    <row r="2113" spans="1:6">
      <c r="A2113" s="30">
        <f t="shared" si="69"/>
        <v>45203</v>
      </c>
      <c r="B2113" s="32" t="s">
        <v>199</v>
      </c>
      <c r="C2113" t="s">
        <v>207</v>
      </c>
      <c r="D2113">
        <f>IF(B2113=$AB$2,$AC$2,$AC$3)</f>
        <v>1</v>
      </c>
      <c r="E2113">
        <f>IF(ISBLANK(C2113),0,VLOOKUP(C2113,$AE$2:$AF$7,2,0))</f>
        <v>0.5</v>
      </c>
      <c r="F2113">
        <f t="shared" si="68"/>
        <v>0.5</v>
      </c>
    </row>
    <row r="2114" spans="1:6">
      <c r="A2114" s="30">
        <f t="shared" si="69"/>
        <v>45204</v>
      </c>
      <c r="B2114" s="32" t="s">
        <v>199</v>
      </c>
      <c r="C2114" t="s">
        <v>207</v>
      </c>
      <c r="D2114">
        <f>IF(B2114=$AB$2,$AC$2,$AC$3)</f>
        <v>1</v>
      </c>
      <c r="E2114">
        <f>IF(ISBLANK(C2114),0,VLOOKUP(C2114,$AE$2:$AF$7,2,0))</f>
        <v>0.5</v>
      </c>
      <c r="F2114">
        <f t="shared" si="68"/>
        <v>0.5</v>
      </c>
    </row>
    <row r="2115" spans="1:6">
      <c r="A2115" s="30">
        <f t="shared" si="69"/>
        <v>45205</v>
      </c>
      <c r="B2115" s="32" t="s">
        <v>199</v>
      </c>
      <c r="C2115" t="s">
        <v>207</v>
      </c>
      <c r="D2115">
        <f>IF(B2115=$AB$2,$AC$2,$AC$3)</f>
        <v>1</v>
      </c>
      <c r="E2115">
        <f>IF(ISBLANK(C2115),0,VLOOKUP(C2115,$AE$2:$AF$7,2,0))</f>
        <v>0.5</v>
      </c>
      <c r="F2115">
        <f t="shared" ref="F2115:F2178" si="70">D2115*E2115</f>
        <v>0.5</v>
      </c>
    </row>
    <row r="2116" spans="1:6">
      <c r="A2116" s="30">
        <f t="shared" si="69"/>
        <v>45206</v>
      </c>
      <c r="B2116" s="32" t="s">
        <v>199</v>
      </c>
      <c r="C2116" t="s">
        <v>207</v>
      </c>
      <c r="D2116">
        <f>IF(B2116=$AB$2,$AC$2,$AC$3)</f>
        <v>1</v>
      </c>
      <c r="E2116">
        <f>IF(ISBLANK(C2116),0,VLOOKUP(C2116,$AE$2:$AF$7,2,0))</f>
        <v>0.5</v>
      </c>
      <c r="F2116">
        <f t="shared" si="70"/>
        <v>0.5</v>
      </c>
    </row>
    <row r="2117" spans="1:6">
      <c r="A2117" s="30">
        <f t="shared" si="69"/>
        <v>45207</v>
      </c>
      <c r="B2117" s="32" t="s">
        <v>199</v>
      </c>
      <c r="C2117" t="s">
        <v>207</v>
      </c>
      <c r="D2117">
        <f>IF(B2117=$AB$2,$AC$2,$AC$3)</f>
        <v>1</v>
      </c>
      <c r="E2117">
        <f>IF(ISBLANK(C2117),0,VLOOKUP(C2117,$AE$2:$AF$7,2,0))</f>
        <v>0.5</v>
      </c>
      <c r="F2117">
        <f t="shared" si="70"/>
        <v>0.5</v>
      </c>
    </row>
    <row r="2118" spans="1:6">
      <c r="A2118" s="30">
        <f t="shared" si="69"/>
        <v>45208</v>
      </c>
      <c r="B2118" s="32" t="s">
        <v>199</v>
      </c>
      <c r="C2118" t="s">
        <v>207</v>
      </c>
      <c r="D2118">
        <f>IF(B2118=$AB$2,$AC$2,$AC$3)</f>
        <v>1</v>
      </c>
      <c r="E2118">
        <f>IF(ISBLANK(C2118),0,VLOOKUP(C2118,$AE$2:$AF$7,2,0))</f>
        <v>0.5</v>
      </c>
      <c r="F2118">
        <f t="shared" si="70"/>
        <v>0.5</v>
      </c>
    </row>
    <row r="2119" spans="1:6">
      <c r="A2119" s="30">
        <f t="shared" si="69"/>
        <v>45209</v>
      </c>
      <c r="B2119" s="32" t="s">
        <v>199</v>
      </c>
      <c r="C2119" t="s">
        <v>207</v>
      </c>
      <c r="D2119">
        <f>IF(B2119=$AB$2,$AC$2,$AC$3)</f>
        <v>1</v>
      </c>
      <c r="E2119">
        <f>IF(ISBLANK(C2119),0,VLOOKUP(C2119,$AE$2:$AF$7,2,0))</f>
        <v>0.5</v>
      </c>
      <c r="F2119">
        <f t="shared" si="70"/>
        <v>0.5</v>
      </c>
    </row>
    <row r="2120" spans="1:6">
      <c r="A2120" s="30">
        <f t="shared" ref="A2120:A2168" si="71">A2119+1</f>
        <v>45210</v>
      </c>
      <c r="B2120" s="32" t="s">
        <v>199</v>
      </c>
      <c r="C2120" t="s">
        <v>207</v>
      </c>
      <c r="D2120">
        <f>IF(B2120=$AB$2,$AC$2,$AC$3)</f>
        <v>1</v>
      </c>
      <c r="E2120">
        <f>IF(ISBLANK(C2120),0,VLOOKUP(C2120,$AE$2:$AF$7,2,0))</f>
        <v>0.5</v>
      </c>
      <c r="F2120">
        <f t="shared" si="70"/>
        <v>0.5</v>
      </c>
    </row>
    <row r="2121" spans="1:6">
      <c r="A2121" s="30">
        <f t="shared" si="71"/>
        <v>45211</v>
      </c>
      <c r="B2121" s="32" t="s">
        <v>199</v>
      </c>
      <c r="C2121" t="s">
        <v>207</v>
      </c>
      <c r="D2121">
        <f>IF(B2121=$AB$2,$AC$2,$AC$3)</f>
        <v>1</v>
      </c>
      <c r="E2121">
        <f>IF(ISBLANK(C2121),0,VLOOKUP(C2121,$AE$2:$AF$7,2,0))</f>
        <v>0.5</v>
      </c>
      <c r="F2121">
        <f t="shared" si="70"/>
        <v>0.5</v>
      </c>
    </row>
    <row r="2122" spans="1:6">
      <c r="A2122" s="30">
        <f t="shared" si="71"/>
        <v>45212</v>
      </c>
      <c r="B2122" s="32" t="s">
        <v>199</v>
      </c>
      <c r="C2122" t="s">
        <v>207</v>
      </c>
      <c r="D2122">
        <f>IF(B2122=$AB$2,$AC$2,$AC$3)</f>
        <v>1</v>
      </c>
      <c r="E2122">
        <f>IF(ISBLANK(C2122),0,VLOOKUP(C2122,$AE$2:$AF$7,2,0))</f>
        <v>0.5</v>
      </c>
      <c r="F2122">
        <f t="shared" si="70"/>
        <v>0.5</v>
      </c>
    </row>
    <row r="2123" spans="1:6">
      <c r="A2123" s="30">
        <f t="shared" si="71"/>
        <v>45213</v>
      </c>
      <c r="B2123" s="32" t="s">
        <v>199</v>
      </c>
      <c r="C2123" t="s">
        <v>207</v>
      </c>
      <c r="D2123">
        <f>IF(B2123=$AB$2,$AC$2,$AC$3)</f>
        <v>1</v>
      </c>
      <c r="E2123">
        <f>IF(ISBLANK(C2123),0,VLOOKUP(C2123,$AE$2:$AF$7,2,0))</f>
        <v>0.5</v>
      </c>
      <c r="F2123">
        <f t="shared" si="70"/>
        <v>0.5</v>
      </c>
    </row>
    <row r="2124" spans="1:6">
      <c r="A2124" s="30">
        <f t="shared" si="71"/>
        <v>45214</v>
      </c>
      <c r="B2124" s="32" t="s">
        <v>199</v>
      </c>
      <c r="C2124" t="s">
        <v>207</v>
      </c>
      <c r="D2124">
        <f>IF(B2124=$AB$2,$AC$2,$AC$3)</f>
        <v>1</v>
      </c>
      <c r="E2124">
        <f>IF(ISBLANK(C2124),0,VLOOKUP(C2124,$AE$2:$AF$7,2,0))</f>
        <v>0.5</v>
      </c>
      <c r="F2124">
        <f t="shared" si="70"/>
        <v>0.5</v>
      </c>
    </row>
    <row r="2125" spans="1:6">
      <c r="A2125" s="30">
        <f t="shared" si="71"/>
        <v>45215</v>
      </c>
      <c r="B2125" s="32" t="s">
        <v>199</v>
      </c>
      <c r="C2125" t="s">
        <v>207</v>
      </c>
      <c r="D2125">
        <f>IF(B2125=$AB$2,$AC$2,$AC$3)</f>
        <v>1</v>
      </c>
      <c r="E2125">
        <f>IF(ISBLANK(C2125),0,VLOOKUP(C2125,$AE$2:$AF$7,2,0))</f>
        <v>0.5</v>
      </c>
      <c r="F2125">
        <f t="shared" si="70"/>
        <v>0.5</v>
      </c>
    </row>
    <row r="2126" spans="1:6">
      <c r="A2126" s="30">
        <f t="shared" si="71"/>
        <v>45216</v>
      </c>
      <c r="B2126" s="32" t="s">
        <v>199</v>
      </c>
      <c r="C2126" t="s">
        <v>207</v>
      </c>
      <c r="D2126">
        <f>IF(B2126=$AB$2,$AC$2,$AC$3)</f>
        <v>1</v>
      </c>
      <c r="E2126">
        <f>IF(ISBLANK(C2126),0,VLOOKUP(C2126,$AE$2:$AF$7,2,0))</f>
        <v>0.5</v>
      </c>
      <c r="F2126">
        <f t="shared" si="70"/>
        <v>0.5</v>
      </c>
    </row>
    <row r="2127" spans="1:6">
      <c r="A2127" s="30">
        <f t="shared" si="71"/>
        <v>45217</v>
      </c>
      <c r="B2127" s="32" t="s">
        <v>199</v>
      </c>
      <c r="C2127" t="s">
        <v>207</v>
      </c>
      <c r="D2127">
        <f>IF(B2127=$AB$2,$AC$2,$AC$3)</f>
        <v>1</v>
      </c>
      <c r="E2127">
        <f>IF(ISBLANK(C2127),0,VLOOKUP(C2127,$AE$2:$AF$7,2,0))</f>
        <v>0.5</v>
      </c>
      <c r="F2127">
        <f t="shared" si="70"/>
        <v>0.5</v>
      </c>
    </row>
    <row r="2128" spans="1:6">
      <c r="A2128" s="30">
        <f t="shared" si="71"/>
        <v>45218</v>
      </c>
      <c r="B2128" s="32" t="s">
        <v>199</v>
      </c>
      <c r="C2128" t="s">
        <v>207</v>
      </c>
      <c r="D2128">
        <f>IF(B2128=$AB$2,$AC$2,$AC$3)</f>
        <v>1</v>
      </c>
      <c r="E2128">
        <f>IF(ISBLANK(C2128),0,VLOOKUP(C2128,$AE$2:$AF$7,2,0))</f>
        <v>0.5</v>
      </c>
      <c r="F2128">
        <f t="shared" si="70"/>
        <v>0.5</v>
      </c>
    </row>
    <row r="2129" spans="1:6">
      <c r="A2129" s="30">
        <f t="shared" si="71"/>
        <v>45219</v>
      </c>
      <c r="B2129" s="32" t="s">
        <v>199</v>
      </c>
      <c r="C2129" t="s">
        <v>207</v>
      </c>
      <c r="D2129">
        <f>IF(B2129=$AB$2,$AC$2,$AC$3)</f>
        <v>1</v>
      </c>
      <c r="E2129">
        <f>IF(ISBLANK(C2129),0,VLOOKUP(C2129,$AE$2:$AF$7,2,0))</f>
        <v>0.5</v>
      </c>
      <c r="F2129">
        <f t="shared" si="70"/>
        <v>0.5</v>
      </c>
    </row>
    <row r="2130" spans="1:6">
      <c r="A2130" s="30">
        <f t="shared" si="71"/>
        <v>45220</v>
      </c>
      <c r="B2130" s="32" t="s">
        <v>199</v>
      </c>
      <c r="C2130" t="s">
        <v>207</v>
      </c>
      <c r="D2130">
        <f>IF(B2130=$AB$2,$AC$2,$AC$3)</f>
        <v>1</v>
      </c>
      <c r="E2130">
        <f>IF(ISBLANK(C2130),0,VLOOKUP(C2130,$AE$2:$AF$7,2,0))</f>
        <v>0.5</v>
      </c>
      <c r="F2130">
        <f t="shared" si="70"/>
        <v>0.5</v>
      </c>
    </row>
    <row r="2131" spans="1:6">
      <c r="A2131" s="30">
        <f t="shared" si="71"/>
        <v>45221</v>
      </c>
      <c r="B2131" s="32" t="s">
        <v>199</v>
      </c>
      <c r="C2131" t="s">
        <v>207</v>
      </c>
      <c r="D2131">
        <f>IF(B2131=$AB$2,$AC$2,$AC$3)</f>
        <v>1</v>
      </c>
      <c r="E2131">
        <f>IF(ISBLANK(C2131),0,VLOOKUP(C2131,$AE$2:$AF$7,2,0))</f>
        <v>0.5</v>
      </c>
      <c r="F2131">
        <f t="shared" si="70"/>
        <v>0.5</v>
      </c>
    </row>
    <row r="2132" spans="1:6">
      <c r="A2132" s="30">
        <f t="shared" si="71"/>
        <v>45222</v>
      </c>
      <c r="B2132" s="32" t="s">
        <v>199</v>
      </c>
      <c r="C2132" t="s">
        <v>207</v>
      </c>
      <c r="D2132">
        <f>IF(B2132=$AB$2,$AC$2,$AC$3)</f>
        <v>1</v>
      </c>
      <c r="E2132">
        <f>IF(ISBLANK(C2132),0,VLOOKUP(C2132,$AE$2:$AF$7,2,0))</f>
        <v>0.5</v>
      </c>
      <c r="F2132">
        <f t="shared" si="70"/>
        <v>0.5</v>
      </c>
    </row>
    <row r="2133" spans="1:6">
      <c r="A2133" s="30">
        <f t="shared" si="71"/>
        <v>45223</v>
      </c>
      <c r="B2133" s="32" t="s">
        <v>199</v>
      </c>
      <c r="C2133" t="s">
        <v>207</v>
      </c>
      <c r="D2133">
        <f>IF(B2133=$AB$2,$AC$2,$AC$3)</f>
        <v>1</v>
      </c>
      <c r="E2133">
        <f>IF(ISBLANK(C2133),0,VLOOKUP(C2133,$AE$2:$AF$7,2,0))</f>
        <v>0.5</v>
      </c>
      <c r="F2133">
        <f t="shared" si="70"/>
        <v>0.5</v>
      </c>
    </row>
    <row r="2134" spans="1:6">
      <c r="A2134" s="30">
        <f t="shared" si="71"/>
        <v>45224</v>
      </c>
      <c r="B2134" s="32" t="s">
        <v>199</v>
      </c>
      <c r="C2134" t="s">
        <v>207</v>
      </c>
      <c r="D2134">
        <f>IF(B2134=$AB$2,$AC$2,$AC$3)</f>
        <v>1</v>
      </c>
      <c r="E2134">
        <f>IF(ISBLANK(C2134),0,VLOOKUP(C2134,$AE$2:$AF$7,2,0))</f>
        <v>0.5</v>
      </c>
      <c r="F2134">
        <f t="shared" si="70"/>
        <v>0.5</v>
      </c>
    </row>
    <row r="2135" spans="1:6">
      <c r="A2135" s="30">
        <f t="shared" si="71"/>
        <v>45225</v>
      </c>
      <c r="B2135" s="32" t="s">
        <v>199</v>
      </c>
      <c r="C2135" t="s">
        <v>207</v>
      </c>
      <c r="D2135">
        <f>IF(B2135=$AB$2,$AC$2,$AC$3)</f>
        <v>1</v>
      </c>
      <c r="E2135">
        <f>IF(ISBLANK(C2135),0,VLOOKUP(C2135,$AE$2:$AF$7,2,0))</f>
        <v>0.5</v>
      </c>
      <c r="F2135">
        <f t="shared" si="70"/>
        <v>0.5</v>
      </c>
    </row>
    <row r="2136" spans="1:6">
      <c r="A2136" s="30">
        <f t="shared" si="71"/>
        <v>45226</v>
      </c>
      <c r="B2136" s="32" t="s">
        <v>199</v>
      </c>
      <c r="C2136" t="s">
        <v>207</v>
      </c>
      <c r="D2136">
        <f>IF(B2136=$AB$2,$AC$2,$AC$3)</f>
        <v>1</v>
      </c>
      <c r="E2136">
        <f>IF(ISBLANK(C2136),0,VLOOKUP(C2136,$AE$2:$AF$7,2,0))</f>
        <v>0.5</v>
      </c>
      <c r="F2136">
        <f t="shared" si="70"/>
        <v>0.5</v>
      </c>
    </row>
    <row r="2137" spans="1:6">
      <c r="A2137" s="30">
        <f t="shared" si="71"/>
        <v>45227</v>
      </c>
      <c r="B2137" s="32" t="s">
        <v>199</v>
      </c>
      <c r="C2137" t="s">
        <v>207</v>
      </c>
      <c r="D2137">
        <f>IF(B2137=$AB$2,$AC$2,$AC$3)</f>
        <v>1</v>
      </c>
      <c r="E2137">
        <f>IF(ISBLANK(C2137),0,VLOOKUP(C2137,$AE$2:$AF$7,2,0))</f>
        <v>0.5</v>
      </c>
      <c r="F2137">
        <f t="shared" si="70"/>
        <v>0.5</v>
      </c>
    </row>
    <row r="2138" spans="1:6">
      <c r="A2138" s="30">
        <f t="shared" si="71"/>
        <v>45228</v>
      </c>
      <c r="B2138" s="32" t="s">
        <v>199</v>
      </c>
      <c r="C2138" t="s">
        <v>207</v>
      </c>
      <c r="D2138">
        <f>IF(B2138=$AB$2,$AC$2,$AC$3)</f>
        <v>1</v>
      </c>
      <c r="E2138">
        <f>IF(ISBLANK(C2138),0,VLOOKUP(C2138,$AE$2:$AF$7,2,0))</f>
        <v>0.5</v>
      </c>
      <c r="F2138">
        <f t="shared" si="70"/>
        <v>0.5</v>
      </c>
    </row>
    <row r="2139" spans="1:6">
      <c r="A2139" s="30">
        <f t="shared" si="71"/>
        <v>45229</v>
      </c>
      <c r="B2139" s="32" t="s">
        <v>199</v>
      </c>
      <c r="C2139" t="s">
        <v>207</v>
      </c>
      <c r="D2139">
        <f>IF(B2139=$AB$2,$AC$2,$AC$3)</f>
        <v>1</v>
      </c>
      <c r="E2139">
        <f>IF(ISBLANK(C2139),0,VLOOKUP(C2139,$AE$2:$AF$7,2,0))</f>
        <v>0.5</v>
      </c>
      <c r="F2139">
        <f t="shared" si="70"/>
        <v>0.5</v>
      </c>
    </row>
    <row r="2140" spans="1:6">
      <c r="A2140" s="30">
        <f t="shared" si="71"/>
        <v>45230</v>
      </c>
      <c r="B2140" s="32" t="s">
        <v>199</v>
      </c>
      <c r="C2140" t="s">
        <v>207</v>
      </c>
      <c r="D2140">
        <f>IF(B2140=$AB$2,$AC$2,$AC$3)</f>
        <v>1</v>
      </c>
      <c r="E2140">
        <f>IF(ISBLANK(C2140),0,VLOOKUP(C2140,$AE$2:$AF$7,2,0))</f>
        <v>0.5</v>
      </c>
      <c r="F2140">
        <f t="shared" si="70"/>
        <v>0.5</v>
      </c>
    </row>
    <row r="2141" spans="1:6">
      <c r="A2141" s="30">
        <f t="shared" si="71"/>
        <v>45231</v>
      </c>
      <c r="B2141" s="32" t="s">
        <v>199</v>
      </c>
      <c r="C2141" t="s">
        <v>207</v>
      </c>
      <c r="D2141">
        <f>IF(B2141=$AB$2,$AC$2,$AC$3)</f>
        <v>1</v>
      </c>
      <c r="E2141">
        <f>IF(ISBLANK(C2141),0,VLOOKUP(C2141,$AE$2:$AF$7,2,0))</f>
        <v>0.5</v>
      </c>
      <c r="F2141">
        <f t="shared" si="70"/>
        <v>0.5</v>
      </c>
    </row>
    <row r="2142" spans="1:6">
      <c r="A2142" s="30">
        <f t="shared" si="71"/>
        <v>45232</v>
      </c>
      <c r="B2142" s="32" t="s">
        <v>199</v>
      </c>
      <c r="C2142" t="s">
        <v>207</v>
      </c>
      <c r="D2142">
        <f>IF(B2142=$AB$2,$AC$2,$AC$3)</f>
        <v>1</v>
      </c>
      <c r="E2142">
        <f>IF(ISBLANK(C2142),0,VLOOKUP(C2142,$AE$2:$AF$7,2,0))</f>
        <v>0.5</v>
      </c>
      <c r="F2142">
        <f t="shared" si="70"/>
        <v>0.5</v>
      </c>
    </row>
    <row r="2143" spans="1:6">
      <c r="A2143" s="30">
        <f t="shared" si="71"/>
        <v>45233</v>
      </c>
      <c r="B2143" s="32" t="s">
        <v>199</v>
      </c>
      <c r="C2143" t="s">
        <v>207</v>
      </c>
      <c r="D2143">
        <f>IF(B2143=$AB$2,$AC$2,$AC$3)</f>
        <v>1</v>
      </c>
      <c r="E2143">
        <f>IF(ISBLANK(C2143),0,VLOOKUP(C2143,$AE$2:$AF$7,2,0))</f>
        <v>0.5</v>
      </c>
      <c r="F2143">
        <f t="shared" si="70"/>
        <v>0.5</v>
      </c>
    </row>
    <row r="2144" spans="1:6">
      <c r="A2144" s="30">
        <f t="shared" si="71"/>
        <v>45234</v>
      </c>
      <c r="B2144" s="32" t="s">
        <v>199</v>
      </c>
      <c r="C2144" t="s">
        <v>207</v>
      </c>
      <c r="D2144">
        <f>IF(B2144=$AB$2,$AC$2,$AC$3)</f>
        <v>1</v>
      </c>
      <c r="E2144">
        <f>IF(ISBLANK(C2144),0,VLOOKUP(C2144,$AE$2:$AF$7,2,0))</f>
        <v>0.5</v>
      </c>
      <c r="F2144">
        <f t="shared" si="70"/>
        <v>0.5</v>
      </c>
    </row>
    <row r="2145" spans="1:6">
      <c r="A2145" s="30">
        <f t="shared" si="71"/>
        <v>45235</v>
      </c>
      <c r="B2145" s="32" t="s">
        <v>199</v>
      </c>
      <c r="C2145" t="s">
        <v>207</v>
      </c>
      <c r="D2145">
        <f>IF(B2145=$AB$2,$AC$2,$AC$3)</f>
        <v>1</v>
      </c>
      <c r="E2145">
        <f>IF(ISBLANK(C2145),0,VLOOKUP(C2145,$AE$2:$AF$7,2,0))</f>
        <v>0.5</v>
      </c>
      <c r="F2145">
        <f t="shared" si="70"/>
        <v>0.5</v>
      </c>
    </row>
    <row r="2146" spans="1:6">
      <c r="A2146" s="30">
        <f t="shared" si="71"/>
        <v>45236</v>
      </c>
      <c r="B2146" s="32" t="s">
        <v>199</v>
      </c>
      <c r="C2146" t="s">
        <v>207</v>
      </c>
      <c r="D2146">
        <f>IF(B2146=$AB$2,$AC$2,$AC$3)</f>
        <v>1</v>
      </c>
      <c r="E2146">
        <f>IF(ISBLANK(C2146),0,VLOOKUP(C2146,$AE$2:$AF$7,2,0))</f>
        <v>0.5</v>
      </c>
      <c r="F2146">
        <f t="shared" si="70"/>
        <v>0.5</v>
      </c>
    </row>
    <row r="2147" spans="1:6">
      <c r="A2147" s="30">
        <f t="shared" si="71"/>
        <v>45237</v>
      </c>
      <c r="B2147" s="32" t="s">
        <v>199</v>
      </c>
      <c r="C2147" t="s">
        <v>207</v>
      </c>
      <c r="D2147">
        <f>IF(B2147=$AB$2,$AC$2,$AC$3)</f>
        <v>1</v>
      </c>
      <c r="E2147">
        <f>IF(ISBLANK(C2147),0,VLOOKUP(C2147,$AE$2:$AF$7,2,0))</f>
        <v>0.5</v>
      </c>
      <c r="F2147">
        <f t="shared" si="70"/>
        <v>0.5</v>
      </c>
    </row>
    <row r="2148" spans="1:6">
      <c r="A2148" s="30">
        <f t="shared" si="71"/>
        <v>45238</v>
      </c>
      <c r="B2148" s="32" t="s">
        <v>199</v>
      </c>
      <c r="C2148" t="s">
        <v>207</v>
      </c>
      <c r="D2148">
        <f>IF(B2148=$AB$2,$AC$2,$AC$3)</f>
        <v>1</v>
      </c>
      <c r="E2148">
        <f>IF(ISBLANK(C2148),0,VLOOKUP(C2148,$AE$2:$AF$7,2,0))</f>
        <v>0.5</v>
      </c>
      <c r="F2148">
        <f t="shared" si="70"/>
        <v>0.5</v>
      </c>
    </row>
    <row r="2149" spans="1:6">
      <c r="A2149" s="30">
        <f t="shared" si="71"/>
        <v>45239</v>
      </c>
      <c r="B2149" s="32" t="s">
        <v>199</v>
      </c>
      <c r="C2149" t="s">
        <v>207</v>
      </c>
      <c r="D2149">
        <f>IF(B2149=$AB$2,$AC$2,$AC$3)</f>
        <v>1</v>
      </c>
      <c r="E2149">
        <f>IF(ISBLANK(C2149),0,VLOOKUP(C2149,$AE$2:$AF$7,2,0))</f>
        <v>0.5</v>
      </c>
      <c r="F2149">
        <f t="shared" si="70"/>
        <v>0.5</v>
      </c>
    </row>
    <row r="2150" spans="1:6">
      <c r="A2150" s="30">
        <f t="shared" si="71"/>
        <v>45240</v>
      </c>
      <c r="B2150" s="32" t="s">
        <v>199</v>
      </c>
      <c r="C2150" t="s">
        <v>207</v>
      </c>
      <c r="D2150">
        <f>IF(B2150=$AB$2,$AC$2,$AC$3)</f>
        <v>1</v>
      </c>
      <c r="E2150">
        <f>IF(ISBLANK(C2150),0,VLOOKUP(C2150,$AE$2:$AF$7,2,0))</f>
        <v>0.5</v>
      </c>
      <c r="F2150">
        <f t="shared" si="70"/>
        <v>0.5</v>
      </c>
    </row>
    <row r="2151" spans="1:6">
      <c r="A2151" s="30">
        <f t="shared" si="71"/>
        <v>45241</v>
      </c>
      <c r="B2151" s="32" t="s">
        <v>199</v>
      </c>
      <c r="C2151" t="s">
        <v>207</v>
      </c>
      <c r="D2151">
        <f>IF(B2151=$AB$2,$AC$2,$AC$3)</f>
        <v>1</v>
      </c>
      <c r="E2151">
        <f>IF(ISBLANK(C2151),0,VLOOKUP(C2151,$AE$2:$AF$7,2,0))</f>
        <v>0.5</v>
      </c>
      <c r="F2151">
        <f t="shared" si="70"/>
        <v>0.5</v>
      </c>
    </row>
    <row r="2152" spans="1:6">
      <c r="A2152" s="30">
        <f t="shared" si="71"/>
        <v>45242</v>
      </c>
      <c r="B2152" s="32" t="s">
        <v>199</v>
      </c>
      <c r="C2152" t="s">
        <v>207</v>
      </c>
      <c r="D2152">
        <f>IF(B2152=$AB$2,$AC$2,$AC$3)</f>
        <v>1</v>
      </c>
      <c r="E2152">
        <f>IF(ISBLANK(C2152),0,VLOOKUP(C2152,$AE$2:$AF$7,2,0))</f>
        <v>0.5</v>
      </c>
      <c r="F2152">
        <f t="shared" si="70"/>
        <v>0.5</v>
      </c>
    </row>
    <row r="2153" spans="1:6">
      <c r="A2153" s="30">
        <f t="shared" si="71"/>
        <v>45243</v>
      </c>
      <c r="B2153" s="32" t="s">
        <v>199</v>
      </c>
      <c r="C2153" t="s">
        <v>207</v>
      </c>
      <c r="D2153">
        <f>IF(B2153=$AB$2,$AC$2,$AC$3)</f>
        <v>1</v>
      </c>
      <c r="E2153">
        <f>IF(ISBLANK(C2153),0,VLOOKUP(C2153,$AE$2:$AF$7,2,0))</f>
        <v>0.5</v>
      </c>
      <c r="F2153">
        <f t="shared" si="70"/>
        <v>0.5</v>
      </c>
    </row>
    <row r="2154" spans="1:6">
      <c r="A2154" s="30">
        <f t="shared" si="71"/>
        <v>45244</v>
      </c>
      <c r="B2154" s="32" t="s">
        <v>199</v>
      </c>
      <c r="C2154" t="s">
        <v>207</v>
      </c>
      <c r="D2154">
        <f>IF(B2154=$AB$2,$AC$2,$AC$3)</f>
        <v>1</v>
      </c>
      <c r="E2154">
        <f>IF(ISBLANK(C2154),0,VLOOKUP(C2154,$AE$2:$AF$7,2,0))</f>
        <v>0.5</v>
      </c>
      <c r="F2154">
        <f t="shared" si="70"/>
        <v>0.5</v>
      </c>
    </row>
    <row r="2155" spans="1:6">
      <c r="A2155" s="30">
        <f t="shared" si="71"/>
        <v>45245</v>
      </c>
      <c r="B2155" s="32" t="s">
        <v>199</v>
      </c>
      <c r="C2155" t="s">
        <v>207</v>
      </c>
      <c r="D2155">
        <f>IF(B2155=$AB$2,$AC$2,$AC$3)</f>
        <v>1</v>
      </c>
      <c r="E2155">
        <f>IF(ISBLANK(C2155),0,VLOOKUP(C2155,$AE$2:$AF$7,2,0))</f>
        <v>0.5</v>
      </c>
      <c r="F2155">
        <f t="shared" si="70"/>
        <v>0.5</v>
      </c>
    </row>
    <row r="2156" spans="1:6">
      <c r="A2156" s="30">
        <f t="shared" si="71"/>
        <v>45246</v>
      </c>
      <c r="B2156" s="32" t="s">
        <v>199</v>
      </c>
      <c r="C2156" t="s">
        <v>207</v>
      </c>
      <c r="D2156">
        <f>IF(B2156=$AB$2,$AC$2,$AC$3)</f>
        <v>1</v>
      </c>
      <c r="E2156">
        <f>IF(ISBLANK(C2156),0,VLOOKUP(C2156,$AE$2:$AF$7,2,0))</f>
        <v>0.5</v>
      </c>
      <c r="F2156">
        <f t="shared" si="70"/>
        <v>0.5</v>
      </c>
    </row>
    <row r="2157" spans="1:6">
      <c r="A2157" s="30">
        <f t="shared" si="71"/>
        <v>45247</v>
      </c>
      <c r="B2157" s="32" t="s">
        <v>199</v>
      </c>
      <c r="C2157" t="s">
        <v>207</v>
      </c>
      <c r="D2157">
        <f>IF(B2157=$AB$2,$AC$2,$AC$3)</f>
        <v>1</v>
      </c>
      <c r="E2157">
        <f>IF(ISBLANK(C2157),0,VLOOKUP(C2157,$AE$2:$AF$7,2,0))</f>
        <v>0.5</v>
      </c>
      <c r="F2157">
        <f t="shared" si="70"/>
        <v>0.5</v>
      </c>
    </row>
    <row r="2158" spans="1:6">
      <c r="A2158" s="30">
        <f t="shared" si="71"/>
        <v>45248</v>
      </c>
      <c r="B2158" s="32" t="s">
        <v>199</v>
      </c>
      <c r="C2158" t="s">
        <v>207</v>
      </c>
      <c r="D2158">
        <f>IF(B2158=$AB$2,$AC$2,$AC$3)</f>
        <v>1</v>
      </c>
      <c r="E2158">
        <f>IF(ISBLANK(C2158),0,VLOOKUP(C2158,$AE$2:$AF$7,2,0))</f>
        <v>0.5</v>
      </c>
      <c r="F2158">
        <f t="shared" si="70"/>
        <v>0.5</v>
      </c>
    </row>
    <row r="2159" spans="1:6">
      <c r="A2159" s="30">
        <f t="shared" si="71"/>
        <v>45249</v>
      </c>
      <c r="B2159" s="32" t="s">
        <v>199</v>
      </c>
      <c r="C2159" t="s">
        <v>207</v>
      </c>
      <c r="D2159">
        <f>IF(B2159=$AB$2,$AC$2,$AC$3)</f>
        <v>1</v>
      </c>
      <c r="E2159">
        <f>IF(ISBLANK(C2159),0,VLOOKUP(C2159,$AE$2:$AF$7,2,0))</f>
        <v>0.5</v>
      </c>
      <c r="F2159">
        <f t="shared" si="70"/>
        <v>0.5</v>
      </c>
    </row>
    <row r="2160" spans="1:6">
      <c r="A2160" s="30">
        <f t="shared" si="71"/>
        <v>45250</v>
      </c>
      <c r="B2160" s="32" t="s">
        <v>199</v>
      </c>
      <c r="C2160" t="s">
        <v>207</v>
      </c>
      <c r="D2160">
        <f>IF(B2160=$AB$2,$AC$2,$AC$3)</f>
        <v>1</v>
      </c>
      <c r="E2160">
        <f>IF(ISBLANK(C2160),0,VLOOKUP(C2160,$AE$2:$AF$7,2,0))</f>
        <v>0.5</v>
      </c>
      <c r="F2160">
        <f t="shared" si="70"/>
        <v>0.5</v>
      </c>
    </row>
    <row r="2161" spans="1:6">
      <c r="A2161" s="30">
        <f t="shared" si="71"/>
        <v>45251</v>
      </c>
      <c r="B2161" s="32" t="s">
        <v>199</v>
      </c>
      <c r="C2161" t="s">
        <v>207</v>
      </c>
      <c r="D2161">
        <f>IF(B2161=$AB$2,$AC$2,$AC$3)</f>
        <v>1</v>
      </c>
      <c r="E2161">
        <f>IF(ISBLANK(C2161),0,VLOOKUP(C2161,$AE$2:$AF$7,2,0))</f>
        <v>0.5</v>
      </c>
      <c r="F2161">
        <f t="shared" si="70"/>
        <v>0.5</v>
      </c>
    </row>
    <row r="2162" spans="1:6">
      <c r="A2162" s="30">
        <f t="shared" si="71"/>
        <v>45252</v>
      </c>
      <c r="B2162" s="32" t="s">
        <v>199</v>
      </c>
      <c r="C2162" t="s">
        <v>207</v>
      </c>
      <c r="D2162">
        <f>IF(B2162=$AB$2,$AC$2,$AC$3)</f>
        <v>1</v>
      </c>
      <c r="E2162">
        <f>IF(ISBLANK(C2162),0,VLOOKUP(C2162,$AE$2:$AF$7,2,0))</f>
        <v>0.5</v>
      </c>
      <c r="F2162">
        <f t="shared" si="70"/>
        <v>0.5</v>
      </c>
    </row>
    <row r="2163" spans="1:6">
      <c r="A2163" s="30">
        <f t="shared" si="71"/>
        <v>45253</v>
      </c>
      <c r="B2163" s="32" t="s">
        <v>199</v>
      </c>
      <c r="C2163" t="s">
        <v>207</v>
      </c>
      <c r="D2163">
        <f>IF(B2163=$AB$2,$AC$2,$AC$3)</f>
        <v>1</v>
      </c>
      <c r="E2163">
        <f>IF(ISBLANK(C2163),0,VLOOKUP(C2163,$AE$2:$AF$7,2,0))</f>
        <v>0.5</v>
      </c>
      <c r="F2163">
        <f t="shared" si="70"/>
        <v>0.5</v>
      </c>
    </row>
    <row r="2164" spans="1:6">
      <c r="A2164" s="30">
        <f t="shared" si="71"/>
        <v>45254</v>
      </c>
      <c r="B2164" s="32" t="s">
        <v>199</v>
      </c>
      <c r="C2164" t="s">
        <v>207</v>
      </c>
      <c r="D2164">
        <f>IF(B2164=$AB$2,$AC$2,$AC$3)</f>
        <v>1</v>
      </c>
      <c r="E2164">
        <f>IF(ISBLANK(C2164),0,VLOOKUP(C2164,$AE$2:$AF$7,2,0))</f>
        <v>0.5</v>
      </c>
      <c r="F2164">
        <f t="shared" si="70"/>
        <v>0.5</v>
      </c>
    </row>
    <row r="2165" spans="1:6">
      <c r="A2165" s="30">
        <f t="shared" si="71"/>
        <v>45255</v>
      </c>
      <c r="B2165" s="32" t="s">
        <v>199</v>
      </c>
      <c r="C2165" t="s">
        <v>207</v>
      </c>
      <c r="D2165">
        <f>IF(B2165=$AB$2,$AC$2,$AC$3)</f>
        <v>1</v>
      </c>
      <c r="E2165">
        <f>IF(ISBLANK(C2165),0,VLOOKUP(C2165,$AE$2:$AF$7,2,0))</f>
        <v>0.5</v>
      </c>
      <c r="F2165">
        <f t="shared" si="70"/>
        <v>0.5</v>
      </c>
    </row>
    <row r="2166" spans="1:6">
      <c r="A2166" s="30">
        <f t="shared" si="71"/>
        <v>45256</v>
      </c>
      <c r="B2166" s="32" t="s">
        <v>199</v>
      </c>
      <c r="C2166" t="s">
        <v>207</v>
      </c>
      <c r="D2166">
        <f>IF(B2166=$AB$2,$AC$2,$AC$3)</f>
        <v>1</v>
      </c>
      <c r="E2166">
        <f>IF(ISBLANK(C2166),0,VLOOKUP(C2166,$AE$2:$AF$7,2,0))</f>
        <v>0.5</v>
      </c>
      <c r="F2166">
        <f t="shared" si="70"/>
        <v>0.5</v>
      </c>
    </row>
    <row r="2167" spans="1:6">
      <c r="A2167" s="30">
        <f t="shared" si="71"/>
        <v>45257</v>
      </c>
      <c r="B2167" s="32" t="s">
        <v>199</v>
      </c>
      <c r="C2167" t="s">
        <v>207</v>
      </c>
      <c r="D2167">
        <f>IF(B2167=$AB$2,$AC$2,$AC$3)</f>
        <v>1</v>
      </c>
      <c r="E2167">
        <f>IF(ISBLANK(C2167),0,VLOOKUP(C2167,$AE$2:$AF$7,2,0))</f>
        <v>0.5</v>
      </c>
      <c r="F2167">
        <f t="shared" si="70"/>
        <v>0.5</v>
      </c>
    </row>
    <row r="2168" spans="1:6">
      <c r="A2168" s="30">
        <f t="shared" si="71"/>
        <v>45258</v>
      </c>
      <c r="B2168" s="32" t="s">
        <v>199</v>
      </c>
      <c r="C2168" t="s">
        <v>207</v>
      </c>
      <c r="D2168">
        <f>IF(B2168=$AB$2,$AC$2,$AC$3)</f>
        <v>1</v>
      </c>
      <c r="E2168">
        <f>IF(ISBLANK(C2168),0,VLOOKUP(C2168,$AE$2:$AF$7,2,0))</f>
        <v>0.5</v>
      </c>
      <c r="F2168">
        <f t="shared" si="70"/>
        <v>0.5</v>
      </c>
    </row>
    <row r="2169" spans="1:6">
      <c r="A2169" s="30">
        <f>A2168+1</f>
        <v>45259</v>
      </c>
      <c r="B2169" s="32" t="s">
        <v>199</v>
      </c>
      <c r="C2169" t="s">
        <v>207</v>
      </c>
      <c r="D2169">
        <f>IF(B2169=$AB$2,$AC$2,$AC$3)</f>
        <v>1</v>
      </c>
      <c r="E2169">
        <f>IF(ISBLANK(C2169),0,VLOOKUP(C2169,$AE$2:$AF$7,2,0))</f>
        <v>0.5</v>
      </c>
      <c r="F2169">
        <f t="shared" si="70"/>
        <v>0.5</v>
      </c>
    </row>
    <row r="2170" spans="1:6">
      <c r="A2170" s="30">
        <f t="shared" ref="A2170:A2233" si="72">A2169+1</f>
        <v>45260</v>
      </c>
      <c r="B2170" s="32" t="s">
        <v>199</v>
      </c>
      <c r="C2170" t="s">
        <v>207</v>
      </c>
      <c r="D2170">
        <f>IF(B2170=$AB$2,$AC$2,$AC$3)</f>
        <v>1</v>
      </c>
      <c r="E2170">
        <f>IF(ISBLANK(C2170),0,VLOOKUP(C2170,$AE$2:$AF$7,2,0))</f>
        <v>0.5</v>
      </c>
      <c r="F2170">
        <f t="shared" si="70"/>
        <v>0.5</v>
      </c>
    </row>
    <row r="2171" spans="1:6">
      <c r="A2171" s="30">
        <f t="shared" si="72"/>
        <v>45261</v>
      </c>
      <c r="B2171" s="32" t="s">
        <v>199</v>
      </c>
      <c r="C2171" t="s">
        <v>207</v>
      </c>
      <c r="D2171">
        <f>IF(B2171=$AB$2,$AC$2,$AC$3)</f>
        <v>1</v>
      </c>
      <c r="E2171">
        <f>IF(ISBLANK(C2171),0,VLOOKUP(C2171,$AE$2:$AF$7,2,0))</f>
        <v>0.5</v>
      </c>
      <c r="F2171">
        <f t="shared" si="70"/>
        <v>0.5</v>
      </c>
    </row>
    <row r="2172" spans="1:6">
      <c r="A2172" s="30">
        <f t="shared" si="72"/>
        <v>45262</v>
      </c>
      <c r="B2172" s="32" t="s">
        <v>199</v>
      </c>
      <c r="C2172" t="s">
        <v>207</v>
      </c>
      <c r="D2172">
        <f>IF(B2172=$AB$2,$AC$2,$AC$3)</f>
        <v>1</v>
      </c>
      <c r="E2172">
        <f>IF(ISBLANK(C2172),0,VLOOKUP(C2172,$AE$2:$AF$7,2,0))</f>
        <v>0.5</v>
      </c>
      <c r="F2172">
        <f t="shared" si="70"/>
        <v>0.5</v>
      </c>
    </row>
    <row r="2173" spans="1:6">
      <c r="A2173" s="30">
        <f t="shared" si="72"/>
        <v>45263</v>
      </c>
      <c r="B2173" s="32" t="s">
        <v>199</v>
      </c>
      <c r="C2173" t="s">
        <v>207</v>
      </c>
      <c r="D2173">
        <f>IF(B2173=$AB$2,$AC$2,$AC$3)</f>
        <v>1</v>
      </c>
      <c r="E2173">
        <f>IF(ISBLANK(C2173),0,VLOOKUP(C2173,$AE$2:$AF$7,2,0))</f>
        <v>0.5</v>
      </c>
      <c r="F2173">
        <f t="shared" si="70"/>
        <v>0.5</v>
      </c>
    </row>
    <row r="2174" spans="1:6">
      <c r="A2174" s="30">
        <f t="shared" si="72"/>
        <v>45264</v>
      </c>
      <c r="B2174" s="32" t="s">
        <v>199</v>
      </c>
      <c r="C2174" t="s">
        <v>207</v>
      </c>
      <c r="D2174">
        <f>IF(B2174=$AB$2,$AC$2,$AC$3)</f>
        <v>1</v>
      </c>
      <c r="E2174">
        <f>IF(ISBLANK(C2174),0,VLOOKUP(C2174,$AE$2:$AF$7,2,0))</f>
        <v>0.5</v>
      </c>
      <c r="F2174">
        <f t="shared" si="70"/>
        <v>0.5</v>
      </c>
    </row>
    <row r="2175" spans="1:6">
      <c r="A2175" s="30">
        <f t="shared" si="72"/>
        <v>45265</v>
      </c>
      <c r="B2175" s="32" t="s">
        <v>199</v>
      </c>
      <c r="C2175" t="s">
        <v>207</v>
      </c>
      <c r="D2175">
        <f>IF(B2175=$AB$2,$AC$2,$AC$3)</f>
        <v>1</v>
      </c>
      <c r="E2175">
        <f>IF(ISBLANK(C2175),0,VLOOKUP(C2175,$AE$2:$AF$7,2,0))</f>
        <v>0.5</v>
      </c>
      <c r="F2175">
        <f t="shared" si="70"/>
        <v>0.5</v>
      </c>
    </row>
    <row r="2176" spans="1:6">
      <c r="A2176" s="30">
        <f t="shared" si="72"/>
        <v>45266</v>
      </c>
      <c r="B2176" s="32" t="s">
        <v>199</v>
      </c>
      <c r="C2176" t="s">
        <v>207</v>
      </c>
      <c r="D2176">
        <f>IF(B2176=$AB$2,$AC$2,$AC$3)</f>
        <v>1</v>
      </c>
      <c r="E2176">
        <f>IF(ISBLANK(C2176),0,VLOOKUP(C2176,$AE$2:$AF$7,2,0))</f>
        <v>0.5</v>
      </c>
      <c r="F2176">
        <f t="shared" si="70"/>
        <v>0.5</v>
      </c>
    </row>
    <row r="2177" spans="1:6">
      <c r="A2177" s="30">
        <f t="shared" si="72"/>
        <v>45267</v>
      </c>
      <c r="B2177" s="32" t="s">
        <v>199</v>
      </c>
      <c r="C2177" t="s">
        <v>207</v>
      </c>
      <c r="D2177">
        <f>IF(B2177=$AB$2,$AC$2,$AC$3)</f>
        <v>1</v>
      </c>
      <c r="E2177">
        <f>IF(ISBLANK(C2177),0,VLOOKUP(C2177,$AE$2:$AF$7,2,0))</f>
        <v>0.5</v>
      </c>
      <c r="F2177">
        <f t="shared" si="70"/>
        <v>0.5</v>
      </c>
    </row>
    <row r="2178" spans="1:6">
      <c r="A2178" s="30">
        <f t="shared" si="72"/>
        <v>45268</v>
      </c>
      <c r="B2178" s="32" t="s">
        <v>199</v>
      </c>
      <c r="C2178" t="s">
        <v>207</v>
      </c>
      <c r="D2178">
        <f>IF(B2178=$AB$2,$AC$2,$AC$3)</f>
        <v>1</v>
      </c>
      <c r="E2178">
        <f>IF(ISBLANK(C2178),0,VLOOKUP(C2178,$AE$2:$AF$7,2,0))</f>
        <v>0.5</v>
      </c>
      <c r="F2178">
        <f t="shared" si="70"/>
        <v>0.5</v>
      </c>
    </row>
    <row r="2179" spans="1:6">
      <c r="A2179" s="30">
        <f t="shared" si="72"/>
        <v>45269</v>
      </c>
      <c r="B2179" s="32" t="s">
        <v>199</v>
      </c>
      <c r="C2179" t="s">
        <v>207</v>
      </c>
      <c r="D2179">
        <f>IF(B2179=$AB$2,$AC$2,$AC$3)</f>
        <v>1</v>
      </c>
      <c r="E2179">
        <f>IF(ISBLANK(C2179),0,VLOOKUP(C2179,$AE$2:$AF$7,2,0))</f>
        <v>0.5</v>
      </c>
      <c r="F2179">
        <f t="shared" ref="F2179:F2242" si="73">D2179*E2179</f>
        <v>0.5</v>
      </c>
    </row>
    <row r="2180" spans="1:6">
      <c r="A2180" s="30">
        <f t="shared" si="72"/>
        <v>45270</v>
      </c>
      <c r="B2180" s="32" t="s">
        <v>199</v>
      </c>
      <c r="C2180" t="s">
        <v>207</v>
      </c>
      <c r="D2180">
        <f>IF(B2180=$AB$2,$AC$2,$AC$3)</f>
        <v>1</v>
      </c>
      <c r="E2180">
        <f>IF(ISBLANK(C2180),0,VLOOKUP(C2180,$AE$2:$AF$7,2,0))</f>
        <v>0.5</v>
      </c>
      <c r="F2180">
        <f t="shared" si="73"/>
        <v>0.5</v>
      </c>
    </row>
    <row r="2181" spans="1:6">
      <c r="A2181" s="30">
        <f t="shared" si="72"/>
        <v>45271</v>
      </c>
      <c r="B2181" s="32" t="s">
        <v>199</v>
      </c>
      <c r="C2181" t="s">
        <v>207</v>
      </c>
      <c r="D2181">
        <f>IF(B2181=$AB$2,$AC$2,$AC$3)</f>
        <v>1</v>
      </c>
      <c r="E2181">
        <f>IF(ISBLANK(C2181),0,VLOOKUP(C2181,$AE$2:$AF$7,2,0))</f>
        <v>0.5</v>
      </c>
      <c r="F2181">
        <f t="shared" si="73"/>
        <v>0.5</v>
      </c>
    </row>
    <row r="2182" spans="1:6">
      <c r="A2182" s="30">
        <f t="shared" si="72"/>
        <v>45272</v>
      </c>
      <c r="B2182" s="32" t="s">
        <v>199</v>
      </c>
      <c r="C2182" t="s">
        <v>207</v>
      </c>
      <c r="D2182">
        <f>IF(B2182=$AB$2,$AC$2,$AC$3)</f>
        <v>1</v>
      </c>
      <c r="E2182">
        <f>IF(ISBLANK(C2182),0,VLOOKUP(C2182,$AE$2:$AF$7,2,0))</f>
        <v>0.5</v>
      </c>
      <c r="F2182">
        <f t="shared" si="73"/>
        <v>0.5</v>
      </c>
    </row>
    <row r="2183" spans="1:6">
      <c r="A2183" s="30">
        <f t="shared" si="72"/>
        <v>45273</v>
      </c>
      <c r="B2183" s="32" t="s">
        <v>199</v>
      </c>
      <c r="C2183" t="s">
        <v>207</v>
      </c>
      <c r="D2183">
        <f>IF(B2183=$AB$2,$AC$2,$AC$3)</f>
        <v>1</v>
      </c>
      <c r="E2183">
        <f>IF(ISBLANK(C2183),0,VLOOKUP(C2183,$AE$2:$AF$7,2,0))</f>
        <v>0.5</v>
      </c>
      <c r="F2183">
        <f t="shared" si="73"/>
        <v>0.5</v>
      </c>
    </row>
    <row r="2184" spans="1:6">
      <c r="A2184" s="30">
        <f t="shared" si="72"/>
        <v>45274</v>
      </c>
      <c r="B2184" s="32" t="s">
        <v>199</v>
      </c>
      <c r="C2184" t="s">
        <v>207</v>
      </c>
      <c r="D2184">
        <f>IF(B2184=$AB$2,$AC$2,$AC$3)</f>
        <v>1</v>
      </c>
      <c r="E2184">
        <f>IF(ISBLANK(C2184),0,VLOOKUP(C2184,$AE$2:$AF$7,2,0))</f>
        <v>0.5</v>
      </c>
      <c r="F2184">
        <f t="shared" si="73"/>
        <v>0.5</v>
      </c>
    </row>
    <row r="2185" spans="1:6">
      <c r="A2185" s="30">
        <f t="shared" si="72"/>
        <v>45275</v>
      </c>
      <c r="B2185" s="32" t="s">
        <v>199</v>
      </c>
      <c r="C2185" t="s">
        <v>207</v>
      </c>
      <c r="D2185">
        <f>IF(B2185=$AB$2,$AC$2,$AC$3)</f>
        <v>1</v>
      </c>
      <c r="E2185">
        <f>IF(ISBLANK(C2185),0,VLOOKUP(C2185,$AE$2:$AF$7,2,0))</f>
        <v>0.5</v>
      </c>
      <c r="F2185">
        <f t="shared" si="73"/>
        <v>0.5</v>
      </c>
    </row>
    <row r="2186" spans="1:6">
      <c r="A2186" s="30">
        <f t="shared" si="72"/>
        <v>45276</v>
      </c>
      <c r="B2186" s="32" t="s">
        <v>199</v>
      </c>
      <c r="C2186" t="s">
        <v>207</v>
      </c>
      <c r="D2186">
        <f>IF(B2186=$AB$2,$AC$2,$AC$3)</f>
        <v>1</v>
      </c>
      <c r="E2186">
        <f>IF(ISBLANK(C2186),0,VLOOKUP(C2186,$AE$2:$AF$7,2,0))</f>
        <v>0.5</v>
      </c>
      <c r="F2186">
        <f t="shared" si="73"/>
        <v>0.5</v>
      </c>
    </row>
    <row r="2187" spans="1:6">
      <c r="A2187" s="30">
        <f t="shared" si="72"/>
        <v>45277</v>
      </c>
      <c r="B2187" s="32" t="s">
        <v>199</v>
      </c>
      <c r="C2187" t="s">
        <v>207</v>
      </c>
      <c r="D2187">
        <f>IF(B2187=$AB$2,$AC$2,$AC$3)</f>
        <v>1</v>
      </c>
      <c r="E2187">
        <f>IF(ISBLANK(C2187),0,VLOOKUP(C2187,$AE$2:$AF$7,2,0))</f>
        <v>0.5</v>
      </c>
      <c r="F2187">
        <f t="shared" si="73"/>
        <v>0.5</v>
      </c>
    </row>
    <row r="2188" spans="1:6">
      <c r="A2188" s="30">
        <f t="shared" si="72"/>
        <v>45278</v>
      </c>
      <c r="B2188" s="32" t="s">
        <v>199</v>
      </c>
      <c r="C2188" t="s">
        <v>207</v>
      </c>
      <c r="D2188">
        <f>IF(B2188=$AB$2,$AC$2,$AC$3)</f>
        <v>1</v>
      </c>
      <c r="E2188">
        <f>IF(ISBLANK(C2188),0,VLOOKUP(C2188,$AE$2:$AF$7,2,0))</f>
        <v>0.5</v>
      </c>
      <c r="F2188">
        <f t="shared" si="73"/>
        <v>0.5</v>
      </c>
    </row>
    <row r="2189" spans="1:6">
      <c r="A2189" s="30">
        <f t="shared" si="72"/>
        <v>45279</v>
      </c>
      <c r="B2189" s="32" t="s">
        <v>199</v>
      </c>
      <c r="C2189" t="s">
        <v>207</v>
      </c>
      <c r="D2189">
        <f>IF(B2189=$AB$2,$AC$2,$AC$3)</f>
        <v>1</v>
      </c>
      <c r="E2189">
        <f>IF(ISBLANK(C2189),0,VLOOKUP(C2189,$AE$2:$AF$7,2,0))</f>
        <v>0.5</v>
      </c>
      <c r="F2189">
        <f t="shared" si="73"/>
        <v>0.5</v>
      </c>
    </row>
    <row r="2190" spans="1:6">
      <c r="A2190" s="30">
        <f t="shared" si="72"/>
        <v>45280</v>
      </c>
      <c r="B2190" s="32" t="s">
        <v>199</v>
      </c>
      <c r="C2190" t="s">
        <v>207</v>
      </c>
      <c r="D2190">
        <f>IF(B2190=$AB$2,$AC$2,$AC$3)</f>
        <v>1</v>
      </c>
      <c r="E2190">
        <f>IF(ISBLANK(C2190),0,VLOOKUP(C2190,$AE$2:$AF$7,2,0))</f>
        <v>0.5</v>
      </c>
      <c r="F2190">
        <f t="shared" si="73"/>
        <v>0.5</v>
      </c>
    </row>
    <row r="2191" spans="1:6">
      <c r="A2191" s="30">
        <f t="shared" si="72"/>
        <v>45281</v>
      </c>
      <c r="B2191" s="32" t="s">
        <v>199</v>
      </c>
      <c r="C2191" t="s">
        <v>207</v>
      </c>
      <c r="D2191">
        <f>IF(B2191=$AB$2,$AC$2,$AC$3)</f>
        <v>1</v>
      </c>
      <c r="E2191">
        <f>IF(ISBLANK(C2191),0,VLOOKUP(C2191,$AE$2:$AF$7,2,0))</f>
        <v>0.5</v>
      </c>
      <c r="F2191">
        <f t="shared" si="73"/>
        <v>0.5</v>
      </c>
    </row>
    <row r="2192" spans="1:6">
      <c r="A2192" s="30">
        <f t="shared" si="72"/>
        <v>45282</v>
      </c>
      <c r="B2192" s="32" t="s">
        <v>199</v>
      </c>
      <c r="C2192" t="s">
        <v>207</v>
      </c>
      <c r="D2192">
        <f>IF(B2192=$AB$2,$AC$2,$AC$3)</f>
        <v>1</v>
      </c>
      <c r="E2192">
        <f>IF(ISBLANK(C2192),0,VLOOKUP(C2192,$AE$2:$AF$7,2,0))</f>
        <v>0.5</v>
      </c>
      <c r="F2192">
        <f t="shared" si="73"/>
        <v>0.5</v>
      </c>
    </row>
    <row r="2193" spans="1:6">
      <c r="A2193" s="30">
        <f t="shared" si="72"/>
        <v>45283</v>
      </c>
      <c r="B2193" s="32" t="s">
        <v>199</v>
      </c>
      <c r="C2193" t="s">
        <v>207</v>
      </c>
      <c r="D2193">
        <f>IF(B2193=$AB$2,$AC$2,$AC$3)</f>
        <v>1</v>
      </c>
      <c r="E2193">
        <f>IF(ISBLANK(C2193),0,VLOOKUP(C2193,$AE$2:$AF$7,2,0))</f>
        <v>0.5</v>
      </c>
      <c r="F2193">
        <f t="shared" si="73"/>
        <v>0.5</v>
      </c>
    </row>
    <row r="2194" spans="1:6">
      <c r="A2194" s="30">
        <f t="shared" si="72"/>
        <v>45284</v>
      </c>
      <c r="B2194" s="32" t="s">
        <v>199</v>
      </c>
      <c r="C2194" t="s">
        <v>207</v>
      </c>
      <c r="D2194">
        <f>IF(B2194=$AB$2,$AC$2,$AC$3)</f>
        <v>1</v>
      </c>
      <c r="E2194">
        <f>IF(ISBLANK(C2194),0,VLOOKUP(C2194,$AE$2:$AF$7,2,0))</f>
        <v>0.5</v>
      </c>
      <c r="F2194">
        <f t="shared" si="73"/>
        <v>0.5</v>
      </c>
    </row>
    <row r="2195" spans="1:6">
      <c r="A2195" s="30">
        <f t="shared" si="72"/>
        <v>45285</v>
      </c>
      <c r="B2195" s="32" t="s">
        <v>199</v>
      </c>
      <c r="C2195" t="s">
        <v>207</v>
      </c>
      <c r="D2195">
        <f>IF(B2195=$AB$2,$AC$2,$AC$3)</f>
        <v>1</v>
      </c>
      <c r="E2195">
        <f>IF(ISBLANK(C2195),0,VLOOKUP(C2195,$AE$2:$AF$7,2,0))</f>
        <v>0.5</v>
      </c>
      <c r="F2195">
        <f t="shared" si="73"/>
        <v>0.5</v>
      </c>
    </row>
    <row r="2196" spans="1:6">
      <c r="A2196" s="30">
        <f t="shared" si="72"/>
        <v>45286</v>
      </c>
      <c r="B2196" s="32" t="s">
        <v>199</v>
      </c>
      <c r="C2196" t="s">
        <v>207</v>
      </c>
      <c r="D2196">
        <f>IF(B2196=$AB$2,$AC$2,$AC$3)</f>
        <v>1</v>
      </c>
      <c r="E2196">
        <f>IF(ISBLANK(C2196),0,VLOOKUP(C2196,$AE$2:$AF$7,2,0))</f>
        <v>0.5</v>
      </c>
      <c r="F2196">
        <f t="shared" si="73"/>
        <v>0.5</v>
      </c>
    </row>
    <row r="2197" spans="1:6">
      <c r="A2197" s="30">
        <f t="shared" si="72"/>
        <v>45287</v>
      </c>
      <c r="B2197" s="32" t="s">
        <v>199</v>
      </c>
      <c r="C2197" t="s">
        <v>207</v>
      </c>
      <c r="D2197">
        <f>IF(B2197=$AB$2,$AC$2,$AC$3)</f>
        <v>1</v>
      </c>
      <c r="E2197">
        <f>IF(ISBLANK(C2197),0,VLOOKUP(C2197,$AE$2:$AF$7,2,0))</f>
        <v>0.5</v>
      </c>
      <c r="F2197">
        <f t="shared" si="73"/>
        <v>0.5</v>
      </c>
    </row>
    <row r="2198" spans="1:6">
      <c r="A2198" s="30">
        <f t="shared" si="72"/>
        <v>45288</v>
      </c>
      <c r="B2198" s="32" t="s">
        <v>199</v>
      </c>
      <c r="C2198" t="s">
        <v>207</v>
      </c>
      <c r="D2198">
        <f>IF(B2198=$AB$2,$AC$2,$AC$3)</f>
        <v>1</v>
      </c>
      <c r="E2198">
        <f>IF(ISBLANK(C2198),0,VLOOKUP(C2198,$AE$2:$AF$7,2,0))</f>
        <v>0.5</v>
      </c>
      <c r="F2198">
        <f t="shared" si="73"/>
        <v>0.5</v>
      </c>
    </row>
    <row r="2199" spans="1:6">
      <c r="A2199" s="30">
        <f t="shared" si="72"/>
        <v>45289</v>
      </c>
      <c r="B2199" s="32" t="s">
        <v>199</v>
      </c>
      <c r="C2199" t="s">
        <v>207</v>
      </c>
      <c r="D2199">
        <f>IF(B2199=$AB$2,$AC$2,$AC$3)</f>
        <v>1</v>
      </c>
      <c r="E2199">
        <f>IF(ISBLANK(C2199),0,VLOOKUP(C2199,$AE$2:$AF$7,2,0))</f>
        <v>0.5</v>
      </c>
      <c r="F2199">
        <f t="shared" si="73"/>
        <v>0.5</v>
      </c>
    </row>
    <row r="2200" spans="1:6">
      <c r="A2200" s="30">
        <f t="shared" si="72"/>
        <v>45290</v>
      </c>
      <c r="B2200" s="32" t="s">
        <v>199</v>
      </c>
      <c r="C2200" t="s">
        <v>207</v>
      </c>
      <c r="D2200">
        <f>IF(B2200=$AB$2,$AC$2,$AC$3)</f>
        <v>1</v>
      </c>
      <c r="E2200">
        <f>IF(ISBLANK(C2200),0,VLOOKUP(C2200,$AE$2:$AF$7,2,0))</f>
        <v>0.5</v>
      </c>
      <c r="F2200">
        <f t="shared" si="73"/>
        <v>0.5</v>
      </c>
    </row>
    <row r="2201" spans="1:6">
      <c r="A2201" s="30">
        <f t="shared" si="72"/>
        <v>45291</v>
      </c>
      <c r="B2201" s="32" t="s">
        <v>199</v>
      </c>
      <c r="C2201" t="s">
        <v>207</v>
      </c>
      <c r="D2201">
        <f>IF(B2201=$AB$2,$AC$2,$AC$3)</f>
        <v>1</v>
      </c>
      <c r="E2201">
        <f>IF(ISBLANK(C2201),0,VLOOKUP(C2201,$AE$2:$AF$7,2,0))</f>
        <v>0.5</v>
      </c>
      <c r="F2201">
        <f t="shared" si="73"/>
        <v>0.5</v>
      </c>
    </row>
    <row r="2202" spans="1:6">
      <c r="A2202" s="30">
        <f t="shared" si="72"/>
        <v>45292</v>
      </c>
      <c r="B2202" s="32" t="s">
        <v>199</v>
      </c>
      <c r="C2202" t="s">
        <v>207</v>
      </c>
      <c r="D2202">
        <f>IF(B2202=$AB$2,$AC$2,$AC$3)</f>
        <v>1</v>
      </c>
      <c r="E2202">
        <f>IF(ISBLANK(C2202),0,VLOOKUP(C2202,$AE$2:$AF$7,2,0))</f>
        <v>0.5</v>
      </c>
      <c r="F2202">
        <f t="shared" si="73"/>
        <v>0.5</v>
      </c>
    </row>
    <row r="2203" spans="1:6">
      <c r="A2203" s="30">
        <f t="shared" si="72"/>
        <v>45293</v>
      </c>
      <c r="B2203" s="32" t="s">
        <v>199</v>
      </c>
      <c r="C2203" t="s">
        <v>207</v>
      </c>
      <c r="D2203">
        <f>IF(B2203=$AB$2,$AC$2,$AC$3)</f>
        <v>1</v>
      </c>
      <c r="E2203">
        <f>IF(ISBLANK(C2203),0,VLOOKUP(C2203,$AE$2:$AF$7,2,0))</f>
        <v>0.5</v>
      </c>
      <c r="F2203">
        <f t="shared" si="73"/>
        <v>0.5</v>
      </c>
    </row>
    <row r="2204" spans="1:6">
      <c r="A2204" s="30">
        <f t="shared" si="72"/>
        <v>45294</v>
      </c>
      <c r="B2204" s="32" t="s">
        <v>199</v>
      </c>
      <c r="C2204" t="s">
        <v>207</v>
      </c>
      <c r="D2204">
        <f>IF(B2204=$AB$2,$AC$2,$AC$3)</f>
        <v>1</v>
      </c>
      <c r="E2204">
        <f>IF(ISBLANK(C2204),0,VLOOKUP(C2204,$AE$2:$AF$7,2,0))</f>
        <v>0.5</v>
      </c>
      <c r="F2204">
        <f t="shared" si="73"/>
        <v>0.5</v>
      </c>
    </row>
    <row r="2205" spans="1:6">
      <c r="A2205" s="30">
        <f t="shared" si="72"/>
        <v>45295</v>
      </c>
      <c r="B2205" s="32" t="s">
        <v>199</v>
      </c>
      <c r="C2205" t="s">
        <v>207</v>
      </c>
      <c r="D2205">
        <f>IF(B2205=$AB$2,$AC$2,$AC$3)</f>
        <v>1</v>
      </c>
      <c r="E2205">
        <f>IF(ISBLANK(C2205),0,VLOOKUP(C2205,$AE$2:$AF$7,2,0))</f>
        <v>0.5</v>
      </c>
      <c r="F2205">
        <f t="shared" si="73"/>
        <v>0.5</v>
      </c>
    </row>
    <row r="2206" spans="1:6">
      <c r="A2206" s="30">
        <f t="shared" si="72"/>
        <v>45296</v>
      </c>
      <c r="B2206" s="32" t="s">
        <v>199</v>
      </c>
      <c r="C2206" t="s">
        <v>207</v>
      </c>
      <c r="D2206">
        <f>IF(B2206=$AB$2,$AC$2,$AC$3)</f>
        <v>1</v>
      </c>
      <c r="E2206">
        <f>IF(ISBLANK(C2206),0,VLOOKUP(C2206,$AE$2:$AF$7,2,0))</f>
        <v>0.5</v>
      </c>
      <c r="F2206">
        <f t="shared" si="73"/>
        <v>0.5</v>
      </c>
    </row>
    <row r="2207" spans="1:6">
      <c r="A2207" s="30">
        <f t="shared" si="72"/>
        <v>45297</v>
      </c>
      <c r="B2207" s="32" t="s">
        <v>199</v>
      </c>
      <c r="C2207" t="s">
        <v>207</v>
      </c>
      <c r="D2207">
        <f>IF(B2207=$AB$2,$AC$2,$AC$3)</f>
        <v>1</v>
      </c>
      <c r="E2207">
        <f>IF(ISBLANK(C2207),0,VLOOKUP(C2207,$AE$2:$AF$7,2,0))</f>
        <v>0.5</v>
      </c>
      <c r="F2207">
        <f t="shared" si="73"/>
        <v>0.5</v>
      </c>
    </row>
    <row r="2208" spans="1:6">
      <c r="A2208" s="30">
        <f t="shared" si="72"/>
        <v>45298</v>
      </c>
      <c r="B2208" s="32" t="s">
        <v>199</v>
      </c>
      <c r="C2208" t="s">
        <v>207</v>
      </c>
      <c r="D2208">
        <f>IF(B2208=$AB$2,$AC$2,$AC$3)</f>
        <v>1</v>
      </c>
      <c r="E2208">
        <f>IF(ISBLANK(C2208),0,VLOOKUP(C2208,$AE$2:$AF$7,2,0))</f>
        <v>0.5</v>
      </c>
      <c r="F2208">
        <f t="shared" si="73"/>
        <v>0.5</v>
      </c>
    </row>
    <row r="2209" spans="1:6">
      <c r="A2209" s="30">
        <f t="shared" si="72"/>
        <v>45299</v>
      </c>
      <c r="B2209" s="32" t="s">
        <v>199</v>
      </c>
      <c r="C2209" t="s">
        <v>207</v>
      </c>
      <c r="D2209">
        <f>IF(B2209=$AB$2,$AC$2,$AC$3)</f>
        <v>1</v>
      </c>
      <c r="E2209">
        <f>IF(ISBLANK(C2209),0,VLOOKUP(C2209,$AE$2:$AF$7,2,0))</f>
        <v>0.5</v>
      </c>
      <c r="F2209">
        <f t="shared" si="73"/>
        <v>0.5</v>
      </c>
    </row>
    <row r="2210" spans="1:6">
      <c r="A2210" s="30">
        <f t="shared" si="72"/>
        <v>45300</v>
      </c>
      <c r="B2210" s="32" t="s">
        <v>199</v>
      </c>
      <c r="C2210" t="s">
        <v>207</v>
      </c>
      <c r="D2210">
        <f>IF(B2210=$AB$2,$AC$2,$AC$3)</f>
        <v>1</v>
      </c>
      <c r="E2210">
        <f>IF(ISBLANK(C2210),0,VLOOKUP(C2210,$AE$2:$AF$7,2,0))</f>
        <v>0.5</v>
      </c>
      <c r="F2210">
        <f t="shared" si="73"/>
        <v>0.5</v>
      </c>
    </row>
    <row r="2211" spans="1:6">
      <c r="A2211" s="30">
        <f t="shared" si="72"/>
        <v>45301</v>
      </c>
      <c r="B2211" s="32" t="s">
        <v>199</v>
      </c>
      <c r="C2211" t="s">
        <v>207</v>
      </c>
      <c r="D2211">
        <f>IF(B2211=$AB$2,$AC$2,$AC$3)</f>
        <v>1</v>
      </c>
      <c r="E2211">
        <f>IF(ISBLANK(C2211),0,VLOOKUP(C2211,$AE$2:$AF$7,2,0))</f>
        <v>0.5</v>
      </c>
      <c r="F2211">
        <f t="shared" si="73"/>
        <v>0.5</v>
      </c>
    </row>
    <row r="2212" spans="1:6">
      <c r="A2212" s="30">
        <f t="shared" si="72"/>
        <v>45302</v>
      </c>
      <c r="B2212" s="32" t="s">
        <v>199</v>
      </c>
      <c r="C2212" t="s">
        <v>207</v>
      </c>
      <c r="D2212">
        <f>IF(B2212=$AB$2,$AC$2,$AC$3)</f>
        <v>1</v>
      </c>
      <c r="E2212">
        <f>IF(ISBLANK(C2212),0,VLOOKUP(C2212,$AE$2:$AF$7,2,0))</f>
        <v>0.5</v>
      </c>
      <c r="F2212">
        <f t="shared" si="73"/>
        <v>0.5</v>
      </c>
    </row>
    <row r="2213" spans="1:6">
      <c r="A2213" s="30">
        <f t="shared" si="72"/>
        <v>45303</v>
      </c>
      <c r="B2213" s="32" t="s">
        <v>199</v>
      </c>
      <c r="C2213" t="s">
        <v>207</v>
      </c>
      <c r="D2213">
        <f>IF(B2213=$AB$2,$AC$2,$AC$3)</f>
        <v>1</v>
      </c>
      <c r="E2213">
        <f>IF(ISBLANK(C2213),0,VLOOKUP(C2213,$AE$2:$AF$7,2,0))</f>
        <v>0.5</v>
      </c>
      <c r="F2213">
        <f t="shared" si="73"/>
        <v>0.5</v>
      </c>
    </row>
    <row r="2214" spans="1:6">
      <c r="A2214" s="30">
        <f t="shared" si="72"/>
        <v>45304</v>
      </c>
      <c r="B2214" s="32" t="s">
        <v>199</v>
      </c>
      <c r="C2214" t="s">
        <v>207</v>
      </c>
      <c r="D2214">
        <f>IF(B2214=$AB$2,$AC$2,$AC$3)</f>
        <v>1</v>
      </c>
      <c r="E2214">
        <f>IF(ISBLANK(C2214),0,VLOOKUP(C2214,$AE$2:$AF$7,2,0))</f>
        <v>0.5</v>
      </c>
      <c r="F2214">
        <f t="shared" si="73"/>
        <v>0.5</v>
      </c>
    </row>
    <row r="2215" spans="1:6">
      <c r="A2215" s="30">
        <f t="shared" si="72"/>
        <v>45305</v>
      </c>
      <c r="B2215" s="32" t="s">
        <v>199</v>
      </c>
      <c r="C2215" t="s">
        <v>207</v>
      </c>
      <c r="D2215">
        <f>IF(B2215=$AB$2,$AC$2,$AC$3)</f>
        <v>1</v>
      </c>
      <c r="E2215">
        <f>IF(ISBLANK(C2215),0,VLOOKUP(C2215,$AE$2:$AF$7,2,0))</f>
        <v>0.5</v>
      </c>
      <c r="F2215">
        <f t="shared" si="73"/>
        <v>0.5</v>
      </c>
    </row>
    <row r="2216" spans="1:6">
      <c r="A2216" s="30">
        <f t="shared" si="72"/>
        <v>45306</v>
      </c>
      <c r="B2216" s="32" t="s">
        <v>199</v>
      </c>
      <c r="C2216" t="s">
        <v>207</v>
      </c>
      <c r="D2216">
        <f>IF(B2216=$AB$2,$AC$2,$AC$3)</f>
        <v>1</v>
      </c>
      <c r="E2216">
        <f>IF(ISBLANK(C2216),0,VLOOKUP(C2216,$AE$2:$AF$7,2,0))</f>
        <v>0.5</v>
      </c>
      <c r="F2216">
        <f t="shared" si="73"/>
        <v>0.5</v>
      </c>
    </row>
    <row r="2217" spans="1:6">
      <c r="A2217" s="30">
        <f t="shared" si="72"/>
        <v>45307</v>
      </c>
      <c r="B2217" s="32" t="s">
        <v>199</v>
      </c>
      <c r="C2217" t="s">
        <v>207</v>
      </c>
      <c r="D2217">
        <f>IF(B2217=$AB$2,$AC$2,$AC$3)</f>
        <v>1</v>
      </c>
      <c r="E2217">
        <f>IF(ISBLANK(C2217),0,VLOOKUP(C2217,$AE$2:$AF$7,2,0))</f>
        <v>0.5</v>
      </c>
      <c r="F2217">
        <f t="shared" si="73"/>
        <v>0.5</v>
      </c>
    </row>
    <row r="2218" spans="1:6">
      <c r="A2218" s="30">
        <f t="shared" si="72"/>
        <v>45308</v>
      </c>
      <c r="B2218" s="32" t="s">
        <v>199</v>
      </c>
      <c r="C2218" t="s">
        <v>207</v>
      </c>
      <c r="D2218">
        <f>IF(B2218=$AB$2,$AC$2,$AC$3)</f>
        <v>1</v>
      </c>
      <c r="E2218">
        <f>IF(ISBLANK(C2218),0,VLOOKUP(C2218,$AE$2:$AF$7,2,0))</f>
        <v>0.5</v>
      </c>
      <c r="F2218">
        <f t="shared" si="73"/>
        <v>0.5</v>
      </c>
    </row>
    <row r="2219" spans="1:6">
      <c r="A2219" s="30">
        <f t="shared" si="72"/>
        <v>45309</v>
      </c>
      <c r="B2219" s="32" t="s">
        <v>199</v>
      </c>
      <c r="C2219" t="s">
        <v>207</v>
      </c>
      <c r="D2219">
        <f>IF(B2219=$AB$2,$AC$2,$AC$3)</f>
        <v>1</v>
      </c>
      <c r="E2219">
        <f>IF(ISBLANK(C2219),0,VLOOKUP(C2219,$AE$2:$AF$7,2,0))</f>
        <v>0.5</v>
      </c>
      <c r="F2219">
        <f t="shared" si="73"/>
        <v>0.5</v>
      </c>
    </row>
    <row r="2220" spans="1:6">
      <c r="A2220" s="30">
        <f t="shared" si="72"/>
        <v>45310</v>
      </c>
      <c r="B2220" s="32" t="s">
        <v>199</v>
      </c>
      <c r="C2220" t="s">
        <v>207</v>
      </c>
      <c r="D2220">
        <f>IF(B2220=$AB$2,$AC$2,$AC$3)</f>
        <v>1</v>
      </c>
      <c r="E2220">
        <f>IF(ISBLANK(C2220),0,VLOOKUP(C2220,$AE$2:$AF$7,2,0))</f>
        <v>0.5</v>
      </c>
      <c r="F2220">
        <f t="shared" si="73"/>
        <v>0.5</v>
      </c>
    </row>
    <row r="2221" spans="1:6">
      <c r="A2221" s="30">
        <f t="shared" si="72"/>
        <v>45311</v>
      </c>
      <c r="B2221" s="32" t="s">
        <v>199</v>
      </c>
      <c r="C2221" t="s">
        <v>207</v>
      </c>
      <c r="D2221">
        <f>IF(B2221=$AB$2,$AC$2,$AC$3)</f>
        <v>1</v>
      </c>
      <c r="E2221">
        <f>IF(ISBLANK(C2221),0,VLOOKUP(C2221,$AE$2:$AF$7,2,0))</f>
        <v>0.5</v>
      </c>
      <c r="F2221">
        <f t="shared" si="73"/>
        <v>0.5</v>
      </c>
    </row>
    <row r="2222" spans="1:6">
      <c r="A2222" s="30">
        <f t="shared" si="72"/>
        <v>45312</v>
      </c>
      <c r="B2222" s="32" t="s">
        <v>199</v>
      </c>
      <c r="C2222" t="s">
        <v>207</v>
      </c>
      <c r="D2222">
        <f>IF(B2222=$AB$2,$AC$2,$AC$3)</f>
        <v>1</v>
      </c>
      <c r="E2222">
        <f>IF(ISBLANK(C2222),0,VLOOKUP(C2222,$AE$2:$AF$7,2,0))</f>
        <v>0.5</v>
      </c>
      <c r="F2222">
        <f t="shared" si="73"/>
        <v>0.5</v>
      </c>
    </row>
    <row r="2223" spans="1:6">
      <c r="A2223" s="30">
        <f t="shared" si="72"/>
        <v>45313</v>
      </c>
      <c r="B2223" s="32" t="s">
        <v>199</v>
      </c>
      <c r="C2223" t="s">
        <v>207</v>
      </c>
      <c r="D2223">
        <f>IF(B2223=$AB$2,$AC$2,$AC$3)</f>
        <v>1</v>
      </c>
      <c r="E2223">
        <f>IF(ISBLANK(C2223),0,VLOOKUP(C2223,$AE$2:$AF$7,2,0))</f>
        <v>0.5</v>
      </c>
      <c r="F2223">
        <f t="shared" si="73"/>
        <v>0.5</v>
      </c>
    </row>
    <row r="2224" spans="1:6">
      <c r="A2224" s="30">
        <f t="shared" si="72"/>
        <v>45314</v>
      </c>
      <c r="B2224" s="32" t="s">
        <v>199</v>
      </c>
      <c r="C2224" t="s">
        <v>207</v>
      </c>
      <c r="D2224">
        <f>IF(B2224=$AB$2,$AC$2,$AC$3)</f>
        <v>1</v>
      </c>
      <c r="E2224">
        <f>IF(ISBLANK(C2224),0,VLOOKUP(C2224,$AE$2:$AF$7,2,0))</f>
        <v>0.5</v>
      </c>
      <c r="F2224">
        <f t="shared" si="73"/>
        <v>0.5</v>
      </c>
    </row>
    <row r="2225" spans="1:6">
      <c r="A2225" s="30">
        <f t="shared" si="72"/>
        <v>45315</v>
      </c>
      <c r="B2225" s="32" t="s">
        <v>199</v>
      </c>
      <c r="C2225" t="s">
        <v>207</v>
      </c>
      <c r="D2225">
        <f>IF(B2225=$AB$2,$AC$2,$AC$3)</f>
        <v>1</v>
      </c>
      <c r="E2225">
        <f>IF(ISBLANK(C2225),0,VLOOKUP(C2225,$AE$2:$AF$7,2,0))</f>
        <v>0.5</v>
      </c>
      <c r="F2225">
        <f t="shared" si="73"/>
        <v>0.5</v>
      </c>
    </row>
    <row r="2226" spans="1:6">
      <c r="A2226" s="30">
        <f t="shared" si="72"/>
        <v>45316</v>
      </c>
      <c r="B2226" s="32" t="s">
        <v>199</v>
      </c>
      <c r="C2226" t="s">
        <v>207</v>
      </c>
      <c r="D2226">
        <f>IF(B2226=$AB$2,$AC$2,$AC$3)</f>
        <v>1</v>
      </c>
      <c r="E2226">
        <f>IF(ISBLANK(C2226),0,VLOOKUP(C2226,$AE$2:$AF$7,2,0))</f>
        <v>0.5</v>
      </c>
      <c r="F2226">
        <f t="shared" si="73"/>
        <v>0.5</v>
      </c>
    </row>
    <row r="2227" spans="1:6">
      <c r="A2227" s="30">
        <f t="shared" si="72"/>
        <v>45317</v>
      </c>
      <c r="B2227" s="32" t="s">
        <v>199</v>
      </c>
      <c r="C2227" t="s">
        <v>207</v>
      </c>
      <c r="D2227">
        <f>IF(B2227=$AB$2,$AC$2,$AC$3)</f>
        <v>1</v>
      </c>
      <c r="E2227">
        <f>IF(ISBLANK(C2227),0,VLOOKUP(C2227,$AE$2:$AF$7,2,0))</f>
        <v>0.5</v>
      </c>
      <c r="F2227">
        <f t="shared" si="73"/>
        <v>0.5</v>
      </c>
    </row>
    <row r="2228" spans="1:6">
      <c r="A2228" s="30">
        <f t="shared" si="72"/>
        <v>45318</v>
      </c>
      <c r="B2228" s="32" t="s">
        <v>199</v>
      </c>
      <c r="C2228" t="s">
        <v>207</v>
      </c>
      <c r="D2228">
        <f>IF(B2228=$AB$2,$AC$2,$AC$3)</f>
        <v>1</v>
      </c>
      <c r="E2228">
        <f>IF(ISBLANK(C2228),0,VLOOKUP(C2228,$AE$2:$AF$7,2,0))</f>
        <v>0.5</v>
      </c>
      <c r="F2228">
        <f t="shared" si="73"/>
        <v>0.5</v>
      </c>
    </row>
    <row r="2229" spans="1:6">
      <c r="A2229" s="30">
        <f t="shared" si="72"/>
        <v>45319</v>
      </c>
      <c r="B2229" s="32" t="s">
        <v>199</v>
      </c>
      <c r="C2229" t="s">
        <v>207</v>
      </c>
      <c r="D2229">
        <f>IF(B2229=$AB$2,$AC$2,$AC$3)</f>
        <v>1</v>
      </c>
      <c r="E2229">
        <f>IF(ISBLANK(C2229),0,VLOOKUP(C2229,$AE$2:$AF$7,2,0))</f>
        <v>0.5</v>
      </c>
      <c r="F2229">
        <f t="shared" si="73"/>
        <v>0.5</v>
      </c>
    </row>
    <row r="2230" spans="1:6">
      <c r="A2230" s="30">
        <f t="shared" si="72"/>
        <v>45320</v>
      </c>
      <c r="B2230" s="32" t="s">
        <v>199</v>
      </c>
      <c r="C2230" t="s">
        <v>207</v>
      </c>
      <c r="D2230">
        <f>IF(B2230=$AB$2,$AC$2,$AC$3)</f>
        <v>1</v>
      </c>
      <c r="E2230">
        <f>IF(ISBLANK(C2230),0,VLOOKUP(C2230,$AE$2:$AF$7,2,0))</f>
        <v>0.5</v>
      </c>
      <c r="F2230">
        <f t="shared" si="73"/>
        <v>0.5</v>
      </c>
    </row>
    <row r="2231" spans="1:6">
      <c r="A2231" s="30">
        <f t="shared" si="72"/>
        <v>45321</v>
      </c>
      <c r="B2231" s="32" t="s">
        <v>199</v>
      </c>
      <c r="C2231" t="s">
        <v>207</v>
      </c>
      <c r="D2231">
        <f>IF(B2231=$AB$2,$AC$2,$AC$3)</f>
        <v>1</v>
      </c>
      <c r="E2231">
        <f>IF(ISBLANK(C2231),0,VLOOKUP(C2231,$AE$2:$AF$7,2,0))</f>
        <v>0.5</v>
      </c>
      <c r="F2231">
        <f t="shared" si="73"/>
        <v>0.5</v>
      </c>
    </row>
    <row r="2232" spans="1:6">
      <c r="A2232" s="30">
        <f t="shared" si="72"/>
        <v>45322</v>
      </c>
      <c r="B2232" s="32" t="s">
        <v>199</v>
      </c>
      <c r="C2232" t="s">
        <v>207</v>
      </c>
      <c r="D2232">
        <f>IF(B2232=$AB$2,$AC$2,$AC$3)</f>
        <v>1</v>
      </c>
      <c r="E2232">
        <f>IF(ISBLANK(C2232),0,VLOOKUP(C2232,$AE$2:$AF$7,2,0))</f>
        <v>0.5</v>
      </c>
      <c r="F2232">
        <f t="shared" si="73"/>
        <v>0.5</v>
      </c>
    </row>
    <row r="2233" spans="1:6">
      <c r="A2233" s="30">
        <f t="shared" si="72"/>
        <v>45323</v>
      </c>
      <c r="B2233" s="32" t="s">
        <v>199</v>
      </c>
      <c r="C2233" t="s">
        <v>207</v>
      </c>
      <c r="D2233">
        <f>IF(B2233=$AB$2,$AC$2,$AC$3)</f>
        <v>1</v>
      </c>
      <c r="E2233">
        <f>IF(ISBLANK(C2233),0,VLOOKUP(C2233,$AE$2:$AF$7,2,0))</f>
        <v>0.5</v>
      </c>
      <c r="F2233">
        <f t="shared" si="73"/>
        <v>0.5</v>
      </c>
    </row>
    <row r="2234" spans="1:6">
      <c r="A2234" s="30">
        <f t="shared" ref="A2234:A2282" si="74">A2233+1</f>
        <v>45324</v>
      </c>
      <c r="B2234" s="32" t="s">
        <v>199</v>
      </c>
      <c r="C2234" t="s">
        <v>207</v>
      </c>
      <c r="D2234">
        <f>IF(B2234=$AB$2,$AC$2,$AC$3)</f>
        <v>1</v>
      </c>
      <c r="E2234">
        <f>IF(ISBLANK(C2234),0,VLOOKUP(C2234,$AE$2:$AF$7,2,0))</f>
        <v>0.5</v>
      </c>
      <c r="F2234">
        <f t="shared" si="73"/>
        <v>0.5</v>
      </c>
    </row>
    <row r="2235" spans="1:6">
      <c r="A2235" s="30">
        <f t="shared" si="74"/>
        <v>45325</v>
      </c>
      <c r="B2235" s="32" t="s">
        <v>199</v>
      </c>
      <c r="C2235" t="s">
        <v>207</v>
      </c>
      <c r="D2235">
        <f>IF(B2235=$AB$2,$AC$2,$AC$3)</f>
        <v>1</v>
      </c>
      <c r="E2235">
        <f>IF(ISBLANK(C2235),0,VLOOKUP(C2235,$AE$2:$AF$7,2,0))</f>
        <v>0.5</v>
      </c>
      <c r="F2235">
        <f t="shared" si="73"/>
        <v>0.5</v>
      </c>
    </row>
    <row r="2236" spans="1:6">
      <c r="A2236" s="30">
        <f t="shared" si="74"/>
        <v>45326</v>
      </c>
      <c r="B2236" s="32" t="s">
        <v>199</v>
      </c>
      <c r="C2236" t="s">
        <v>207</v>
      </c>
      <c r="D2236">
        <f>IF(B2236=$AB$2,$AC$2,$AC$3)</f>
        <v>1</v>
      </c>
      <c r="E2236">
        <f>IF(ISBLANK(C2236),0,VLOOKUP(C2236,$AE$2:$AF$7,2,0))</f>
        <v>0.5</v>
      </c>
      <c r="F2236">
        <f t="shared" si="73"/>
        <v>0.5</v>
      </c>
    </row>
    <row r="2237" spans="1:6">
      <c r="A2237" s="30">
        <f t="shared" si="74"/>
        <v>45327</v>
      </c>
      <c r="B2237" s="32" t="s">
        <v>199</v>
      </c>
      <c r="C2237" t="s">
        <v>207</v>
      </c>
      <c r="D2237">
        <f>IF(B2237=$AB$2,$AC$2,$AC$3)</f>
        <v>1</v>
      </c>
      <c r="E2237">
        <f>IF(ISBLANK(C2237),0,VLOOKUP(C2237,$AE$2:$AF$7,2,0))</f>
        <v>0.5</v>
      </c>
      <c r="F2237">
        <f t="shared" si="73"/>
        <v>0.5</v>
      </c>
    </row>
    <row r="2238" spans="1:6">
      <c r="A2238" s="30">
        <f t="shared" si="74"/>
        <v>45328</v>
      </c>
      <c r="B2238" s="32" t="s">
        <v>199</v>
      </c>
      <c r="C2238" t="s">
        <v>207</v>
      </c>
      <c r="D2238">
        <f>IF(B2238=$AB$2,$AC$2,$AC$3)</f>
        <v>1</v>
      </c>
      <c r="E2238">
        <f>IF(ISBLANK(C2238),0,VLOOKUP(C2238,$AE$2:$AF$7,2,0))</f>
        <v>0.5</v>
      </c>
      <c r="F2238">
        <f t="shared" si="73"/>
        <v>0.5</v>
      </c>
    </row>
    <row r="2239" spans="1:6">
      <c r="A2239" s="30">
        <f t="shared" si="74"/>
        <v>45329</v>
      </c>
      <c r="B2239" s="32" t="s">
        <v>199</v>
      </c>
      <c r="C2239" t="s">
        <v>207</v>
      </c>
      <c r="D2239">
        <f>IF(B2239=$AB$2,$AC$2,$AC$3)</f>
        <v>1</v>
      </c>
      <c r="E2239">
        <f>IF(ISBLANK(C2239),0,VLOOKUP(C2239,$AE$2:$AF$7,2,0))</f>
        <v>0.5</v>
      </c>
      <c r="F2239">
        <f t="shared" si="73"/>
        <v>0.5</v>
      </c>
    </row>
    <row r="2240" spans="1:6">
      <c r="A2240" s="30">
        <f t="shared" si="74"/>
        <v>45330</v>
      </c>
      <c r="B2240" s="32" t="s">
        <v>199</v>
      </c>
      <c r="C2240" t="s">
        <v>207</v>
      </c>
      <c r="D2240">
        <f>IF(B2240=$AB$2,$AC$2,$AC$3)</f>
        <v>1</v>
      </c>
      <c r="E2240">
        <f>IF(ISBLANK(C2240),0,VLOOKUP(C2240,$AE$2:$AF$7,2,0))</f>
        <v>0.5</v>
      </c>
      <c r="F2240">
        <f t="shared" si="73"/>
        <v>0.5</v>
      </c>
    </row>
    <row r="2241" spans="1:6">
      <c r="A2241" s="30">
        <f t="shared" si="74"/>
        <v>45331</v>
      </c>
      <c r="B2241" s="32" t="s">
        <v>199</v>
      </c>
      <c r="C2241" t="s">
        <v>207</v>
      </c>
      <c r="D2241">
        <f>IF(B2241=$AB$2,$AC$2,$AC$3)</f>
        <v>1</v>
      </c>
      <c r="E2241">
        <f>IF(ISBLANK(C2241),0,VLOOKUP(C2241,$AE$2:$AF$7,2,0))</f>
        <v>0.5</v>
      </c>
      <c r="F2241">
        <f t="shared" si="73"/>
        <v>0.5</v>
      </c>
    </row>
    <row r="2242" spans="1:6">
      <c r="A2242" s="30">
        <f t="shared" si="74"/>
        <v>45332</v>
      </c>
      <c r="B2242" s="32" t="s">
        <v>199</v>
      </c>
      <c r="C2242" t="s">
        <v>207</v>
      </c>
      <c r="D2242">
        <f>IF(B2242=$AB$2,$AC$2,$AC$3)</f>
        <v>1</v>
      </c>
      <c r="E2242">
        <f>IF(ISBLANK(C2242),0,VLOOKUP(C2242,$AE$2:$AF$7,2,0))</f>
        <v>0.5</v>
      </c>
      <c r="F2242">
        <f t="shared" si="73"/>
        <v>0.5</v>
      </c>
    </row>
    <row r="2243" spans="1:6">
      <c r="A2243" s="30">
        <f t="shared" si="74"/>
        <v>45333</v>
      </c>
      <c r="B2243" s="32" t="s">
        <v>199</v>
      </c>
      <c r="C2243" t="s">
        <v>207</v>
      </c>
      <c r="D2243">
        <f>IF(B2243=$AB$2,$AC$2,$AC$3)</f>
        <v>1</v>
      </c>
      <c r="E2243">
        <f>IF(ISBLANK(C2243),0,VLOOKUP(C2243,$AE$2:$AF$7,2,0))</f>
        <v>0.5</v>
      </c>
      <c r="F2243">
        <f t="shared" ref="F2243:F2306" si="75">D2243*E2243</f>
        <v>0.5</v>
      </c>
    </row>
    <row r="2244" spans="1:6">
      <c r="A2244" s="30">
        <f t="shared" si="74"/>
        <v>45334</v>
      </c>
      <c r="B2244" s="32" t="s">
        <v>199</v>
      </c>
      <c r="C2244" t="s">
        <v>207</v>
      </c>
      <c r="D2244">
        <f>IF(B2244=$AB$2,$AC$2,$AC$3)</f>
        <v>1</v>
      </c>
      <c r="E2244">
        <f>IF(ISBLANK(C2244),0,VLOOKUP(C2244,$AE$2:$AF$7,2,0))</f>
        <v>0.5</v>
      </c>
      <c r="F2244">
        <f t="shared" si="75"/>
        <v>0.5</v>
      </c>
    </row>
    <row r="2245" spans="1:6">
      <c r="A2245" s="30">
        <f t="shared" si="74"/>
        <v>45335</v>
      </c>
      <c r="B2245" s="32" t="s">
        <v>199</v>
      </c>
      <c r="C2245" t="s">
        <v>207</v>
      </c>
      <c r="D2245">
        <f>IF(B2245=$AB$2,$AC$2,$AC$3)</f>
        <v>1</v>
      </c>
      <c r="E2245">
        <f>IF(ISBLANK(C2245),0,VLOOKUP(C2245,$AE$2:$AF$7,2,0))</f>
        <v>0.5</v>
      </c>
      <c r="F2245">
        <f t="shared" si="75"/>
        <v>0.5</v>
      </c>
    </row>
    <row r="2246" spans="1:6">
      <c r="A2246" s="30">
        <f t="shared" si="74"/>
        <v>45336</v>
      </c>
      <c r="B2246" s="32" t="s">
        <v>199</v>
      </c>
      <c r="C2246" t="s">
        <v>207</v>
      </c>
      <c r="D2246">
        <f>IF(B2246=$AB$2,$AC$2,$AC$3)</f>
        <v>1</v>
      </c>
      <c r="E2246">
        <f>IF(ISBLANK(C2246),0,VLOOKUP(C2246,$AE$2:$AF$7,2,0))</f>
        <v>0.5</v>
      </c>
      <c r="F2246">
        <f t="shared" si="75"/>
        <v>0.5</v>
      </c>
    </row>
    <row r="2247" spans="1:6">
      <c r="A2247" s="30">
        <f t="shared" si="74"/>
        <v>45337</v>
      </c>
      <c r="B2247" s="32" t="s">
        <v>199</v>
      </c>
      <c r="C2247" t="s">
        <v>207</v>
      </c>
      <c r="D2247">
        <f>IF(B2247=$AB$2,$AC$2,$AC$3)</f>
        <v>1</v>
      </c>
      <c r="E2247">
        <f>IF(ISBLANK(C2247),0,VLOOKUP(C2247,$AE$2:$AF$7,2,0))</f>
        <v>0.5</v>
      </c>
      <c r="F2247">
        <f t="shared" si="75"/>
        <v>0.5</v>
      </c>
    </row>
    <row r="2248" spans="1:6">
      <c r="A2248" s="30">
        <f t="shared" si="74"/>
        <v>45338</v>
      </c>
      <c r="B2248" s="32" t="s">
        <v>199</v>
      </c>
      <c r="C2248" t="s">
        <v>207</v>
      </c>
      <c r="D2248">
        <f>IF(B2248=$AB$2,$AC$2,$AC$3)</f>
        <v>1</v>
      </c>
      <c r="E2248">
        <f>IF(ISBLANK(C2248),0,VLOOKUP(C2248,$AE$2:$AF$7,2,0))</f>
        <v>0.5</v>
      </c>
      <c r="F2248">
        <f t="shared" si="75"/>
        <v>0.5</v>
      </c>
    </row>
    <row r="2249" spans="1:6">
      <c r="A2249" s="30">
        <f t="shared" si="74"/>
        <v>45339</v>
      </c>
      <c r="B2249" s="32" t="s">
        <v>199</v>
      </c>
      <c r="C2249" t="s">
        <v>207</v>
      </c>
      <c r="D2249">
        <f>IF(B2249=$AB$2,$AC$2,$AC$3)</f>
        <v>1</v>
      </c>
      <c r="E2249">
        <f>IF(ISBLANK(C2249),0,VLOOKUP(C2249,$AE$2:$AF$7,2,0))</f>
        <v>0.5</v>
      </c>
      <c r="F2249">
        <f t="shared" si="75"/>
        <v>0.5</v>
      </c>
    </row>
    <row r="2250" spans="1:6">
      <c r="A2250" s="30">
        <f t="shared" si="74"/>
        <v>45340</v>
      </c>
      <c r="B2250" s="32" t="s">
        <v>199</v>
      </c>
      <c r="C2250" t="s">
        <v>207</v>
      </c>
      <c r="D2250">
        <f>IF(B2250=$AB$2,$AC$2,$AC$3)</f>
        <v>1</v>
      </c>
      <c r="E2250">
        <f>IF(ISBLANK(C2250),0,VLOOKUP(C2250,$AE$2:$AF$7,2,0))</f>
        <v>0.5</v>
      </c>
      <c r="F2250">
        <f t="shared" si="75"/>
        <v>0.5</v>
      </c>
    </row>
    <row r="2251" spans="1:6">
      <c r="A2251" s="30">
        <f t="shared" si="74"/>
        <v>45341</v>
      </c>
      <c r="B2251" s="32" t="s">
        <v>199</v>
      </c>
      <c r="C2251" t="s">
        <v>207</v>
      </c>
      <c r="D2251">
        <f>IF(B2251=$AB$2,$AC$2,$AC$3)</f>
        <v>1</v>
      </c>
      <c r="E2251">
        <f>IF(ISBLANK(C2251),0,VLOOKUP(C2251,$AE$2:$AF$7,2,0))</f>
        <v>0.5</v>
      </c>
      <c r="F2251">
        <f t="shared" si="75"/>
        <v>0.5</v>
      </c>
    </row>
    <row r="2252" spans="1:6">
      <c r="A2252" s="30">
        <f t="shared" si="74"/>
        <v>45342</v>
      </c>
      <c r="B2252" s="32" t="s">
        <v>199</v>
      </c>
      <c r="C2252" t="s">
        <v>207</v>
      </c>
      <c r="D2252">
        <f>IF(B2252=$AB$2,$AC$2,$AC$3)</f>
        <v>1</v>
      </c>
      <c r="E2252">
        <f>IF(ISBLANK(C2252),0,VLOOKUP(C2252,$AE$2:$AF$7,2,0))</f>
        <v>0.5</v>
      </c>
      <c r="F2252">
        <f t="shared" si="75"/>
        <v>0.5</v>
      </c>
    </row>
    <row r="2253" spans="1:6">
      <c r="A2253" s="30">
        <f t="shared" si="74"/>
        <v>45343</v>
      </c>
      <c r="B2253" s="32" t="s">
        <v>199</v>
      </c>
      <c r="C2253" t="s">
        <v>207</v>
      </c>
      <c r="D2253">
        <f>IF(B2253=$AB$2,$AC$2,$AC$3)</f>
        <v>1</v>
      </c>
      <c r="E2253">
        <f>IF(ISBLANK(C2253),0,VLOOKUP(C2253,$AE$2:$AF$7,2,0))</f>
        <v>0.5</v>
      </c>
      <c r="F2253">
        <f t="shared" si="75"/>
        <v>0.5</v>
      </c>
    </row>
    <row r="2254" spans="1:6">
      <c r="A2254" s="30">
        <f t="shared" si="74"/>
        <v>45344</v>
      </c>
      <c r="B2254" s="32" t="s">
        <v>199</v>
      </c>
      <c r="C2254" t="s">
        <v>207</v>
      </c>
      <c r="D2254">
        <f>IF(B2254=$AB$2,$AC$2,$AC$3)</f>
        <v>1</v>
      </c>
      <c r="E2254">
        <f>IF(ISBLANK(C2254),0,VLOOKUP(C2254,$AE$2:$AF$7,2,0))</f>
        <v>0.5</v>
      </c>
      <c r="F2254">
        <f t="shared" si="75"/>
        <v>0.5</v>
      </c>
    </row>
    <row r="2255" spans="1:6">
      <c r="A2255" s="30">
        <f t="shared" si="74"/>
        <v>45345</v>
      </c>
      <c r="B2255" s="32" t="s">
        <v>199</v>
      </c>
      <c r="C2255" t="s">
        <v>207</v>
      </c>
      <c r="D2255">
        <f>IF(B2255=$AB$2,$AC$2,$AC$3)</f>
        <v>1</v>
      </c>
      <c r="E2255">
        <f>IF(ISBLANK(C2255),0,VLOOKUP(C2255,$AE$2:$AF$7,2,0))</f>
        <v>0.5</v>
      </c>
      <c r="F2255">
        <f t="shared" si="75"/>
        <v>0.5</v>
      </c>
    </row>
    <row r="2256" spans="1:6">
      <c r="A2256" s="30">
        <f t="shared" si="74"/>
        <v>45346</v>
      </c>
      <c r="B2256" s="32" t="s">
        <v>199</v>
      </c>
      <c r="C2256" t="s">
        <v>207</v>
      </c>
      <c r="D2256">
        <f>IF(B2256=$AB$2,$AC$2,$AC$3)</f>
        <v>1</v>
      </c>
      <c r="E2256">
        <f>IF(ISBLANK(C2256),0,VLOOKUP(C2256,$AE$2:$AF$7,2,0))</f>
        <v>0.5</v>
      </c>
      <c r="F2256">
        <f t="shared" si="75"/>
        <v>0.5</v>
      </c>
    </row>
    <row r="2257" spans="1:6">
      <c r="A2257" s="30">
        <f t="shared" si="74"/>
        <v>45347</v>
      </c>
      <c r="B2257" s="32" t="s">
        <v>199</v>
      </c>
      <c r="C2257" t="s">
        <v>207</v>
      </c>
      <c r="D2257">
        <f>IF(B2257=$AB$2,$AC$2,$AC$3)</f>
        <v>1</v>
      </c>
      <c r="E2257">
        <f>IF(ISBLANK(C2257),0,VLOOKUP(C2257,$AE$2:$AF$7,2,0))</f>
        <v>0.5</v>
      </c>
      <c r="F2257">
        <f t="shared" si="75"/>
        <v>0.5</v>
      </c>
    </row>
    <row r="2258" spans="1:6">
      <c r="A2258" s="30">
        <f t="shared" si="74"/>
        <v>45348</v>
      </c>
      <c r="B2258" s="32" t="s">
        <v>199</v>
      </c>
      <c r="C2258" t="s">
        <v>207</v>
      </c>
      <c r="D2258">
        <f>IF(B2258=$AB$2,$AC$2,$AC$3)</f>
        <v>1</v>
      </c>
      <c r="E2258">
        <f>IF(ISBLANK(C2258),0,VLOOKUP(C2258,$AE$2:$AF$7,2,0))</f>
        <v>0.5</v>
      </c>
      <c r="F2258">
        <f t="shared" si="75"/>
        <v>0.5</v>
      </c>
    </row>
    <row r="2259" spans="1:6">
      <c r="A2259" s="30">
        <f t="shared" si="74"/>
        <v>45349</v>
      </c>
      <c r="B2259" s="32" t="s">
        <v>199</v>
      </c>
      <c r="C2259" t="s">
        <v>207</v>
      </c>
      <c r="D2259">
        <f>IF(B2259=$AB$2,$AC$2,$AC$3)</f>
        <v>1</v>
      </c>
      <c r="E2259">
        <f>IF(ISBLANK(C2259),0,VLOOKUP(C2259,$AE$2:$AF$7,2,0))</f>
        <v>0.5</v>
      </c>
      <c r="F2259">
        <f t="shared" si="75"/>
        <v>0.5</v>
      </c>
    </row>
    <row r="2260" spans="1:6">
      <c r="A2260" s="30">
        <f t="shared" si="74"/>
        <v>45350</v>
      </c>
      <c r="B2260" s="32" t="s">
        <v>199</v>
      </c>
      <c r="C2260" t="s">
        <v>207</v>
      </c>
      <c r="D2260">
        <f>IF(B2260=$AB$2,$AC$2,$AC$3)</f>
        <v>1</v>
      </c>
      <c r="E2260">
        <f>IF(ISBLANK(C2260),0,VLOOKUP(C2260,$AE$2:$AF$7,2,0))</f>
        <v>0.5</v>
      </c>
      <c r="F2260">
        <f t="shared" si="75"/>
        <v>0.5</v>
      </c>
    </row>
    <row r="2261" spans="1:6">
      <c r="A2261" s="30">
        <f t="shared" si="74"/>
        <v>45351</v>
      </c>
      <c r="B2261" s="32" t="s">
        <v>199</v>
      </c>
      <c r="C2261" t="s">
        <v>207</v>
      </c>
      <c r="D2261">
        <f>IF(B2261=$AB$2,$AC$2,$AC$3)</f>
        <v>1</v>
      </c>
      <c r="E2261">
        <f>IF(ISBLANK(C2261),0,VLOOKUP(C2261,$AE$2:$AF$7,2,0))</f>
        <v>0.5</v>
      </c>
      <c r="F2261">
        <f t="shared" si="75"/>
        <v>0.5</v>
      </c>
    </row>
    <row r="2262" spans="1:6">
      <c r="A2262" s="30">
        <f t="shared" si="74"/>
        <v>45352</v>
      </c>
      <c r="B2262" s="32" t="s">
        <v>199</v>
      </c>
      <c r="C2262" t="s">
        <v>207</v>
      </c>
      <c r="D2262">
        <f>IF(B2262=$AB$2,$AC$2,$AC$3)</f>
        <v>1</v>
      </c>
      <c r="E2262">
        <f>IF(ISBLANK(C2262),0,VLOOKUP(C2262,$AE$2:$AF$7,2,0))</f>
        <v>0.5</v>
      </c>
      <c r="F2262">
        <f t="shared" si="75"/>
        <v>0.5</v>
      </c>
    </row>
    <row r="2263" spans="1:6">
      <c r="A2263" s="30">
        <f t="shared" si="74"/>
        <v>45353</v>
      </c>
      <c r="B2263" s="32" t="s">
        <v>199</v>
      </c>
      <c r="C2263" t="s">
        <v>207</v>
      </c>
      <c r="D2263">
        <f>IF(B2263=$AB$2,$AC$2,$AC$3)</f>
        <v>1</v>
      </c>
      <c r="E2263">
        <f>IF(ISBLANK(C2263),0,VLOOKUP(C2263,$AE$2:$AF$7,2,0))</f>
        <v>0.5</v>
      </c>
      <c r="F2263">
        <f t="shared" si="75"/>
        <v>0.5</v>
      </c>
    </row>
    <row r="2264" spans="1:6">
      <c r="A2264" s="30">
        <f t="shared" si="74"/>
        <v>45354</v>
      </c>
      <c r="B2264" s="32" t="s">
        <v>199</v>
      </c>
      <c r="C2264" t="s">
        <v>207</v>
      </c>
      <c r="D2264">
        <f>IF(B2264=$AB$2,$AC$2,$AC$3)</f>
        <v>1</v>
      </c>
      <c r="E2264">
        <f>IF(ISBLANK(C2264),0,VLOOKUP(C2264,$AE$2:$AF$7,2,0))</f>
        <v>0.5</v>
      </c>
      <c r="F2264">
        <f t="shared" si="75"/>
        <v>0.5</v>
      </c>
    </row>
    <row r="2265" spans="1:6">
      <c r="A2265" s="30">
        <f t="shared" si="74"/>
        <v>45355</v>
      </c>
      <c r="B2265" s="32" t="s">
        <v>199</v>
      </c>
      <c r="C2265" t="s">
        <v>207</v>
      </c>
      <c r="D2265">
        <f>IF(B2265=$AB$2,$AC$2,$AC$3)</f>
        <v>1</v>
      </c>
      <c r="E2265">
        <f>IF(ISBLANK(C2265),0,VLOOKUP(C2265,$AE$2:$AF$7,2,0))</f>
        <v>0.5</v>
      </c>
      <c r="F2265">
        <f t="shared" si="75"/>
        <v>0.5</v>
      </c>
    </row>
    <row r="2266" spans="1:6">
      <c r="A2266" s="30">
        <f t="shared" si="74"/>
        <v>45356</v>
      </c>
      <c r="B2266" s="32" t="s">
        <v>199</v>
      </c>
      <c r="C2266" t="s">
        <v>207</v>
      </c>
      <c r="D2266">
        <f>IF(B2266=$AB$2,$AC$2,$AC$3)</f>
        <v>1</v>
      </c>
      <c r="E2266">
        <f>IF(ISBLANK(C2266),0,VLOOKUP(C2266,$AE$2:$AF$7,2,0))</f>
        <v>0.5</v>
      </c>
      <c r="F2266">
        <f t="shared" si="75"/>
        <v>0.5</v>
      </c>
    </row>
    <row r="2267" spans="1:6">
      <c r="A2267" s="30">
        <f t="shared" si="74"/>
        <v>45357</v>
      </c>
      <c r="B2267" s="32" t="s">
        <v>199</v>
      </c>
      <c r="C2267" t="s">
        <v>207</v>
      </c>
      <c r="D2267">
        <f>IF(B2267=$AB$2,$AC$2,$AC$3)</f>
        <v>1</v>
      </c>
      <c r="E2267">
        <f>IF(ISBLANK(C2267),0,VLOOKUP(C2267,$AE$2:$AF$7,2,0))</f>
        <v>0.5</v>
      </c>
      <c r="F2267">
        <f t="shared" si="75"/>
        <v>0.5</v>
      </c>
    </row>
    <row r="2268" spans="1:6">
      <c r="A2268" s="30">
        <f t="shared" si="74"/>
        <v>45358</v>
      </c>
      <c r="B2268" s="32" t="s">
        <v>199</v>
      </c>
      <c r="C2268" t="s">
        <v>207</v>
      </c>
      <c r="D2268">
        <f>IF(B2268=$AB$2,$AC$2,$AC$3)</f>
        <v>1</v>
      </c>
      <c r="E2268">
        <f>IF(ISBLANK(C2268),0,VLOOKUP(C2268,$AE$2:$AF$7,2,0))</f>
        <v>0.5</v>
      </c>
      <c r="F2268">
        <f t="shared" si="75"/>
        <v>0.5</v>
      </c>
    </row>
    <row r="2269" spans="1:6">
      <c r="A2269" s="30">
        <f t="shared" si="74"/>
        <v>45359</v>
      </c>
      <c r="B2269" s="32" t="s">
        <v>199</v>
      </c>
      <c r="C2269" t="s">
        <v>207</v>
      </c>
      <c r="D2269">
        <f>IF(B2269=$AB$2,$AC$2,$AC$3)</f>
        <v>1</v>
      </c>
      <c r="E2269">
        <f>IF(ISBLANK(C2269),0,VLOOKUP(C2269,$AE$2:$AF$7,2,0))</f>
        <v>0.5</v>
      </c>
      <c r="F2269">
        <f t="shared" si="75"/>
        <v>0.5</v>
      </c>
    </row>
    <row r="2270" spans="1:6">
      <c r="A2270" s="30">
        <f t="shared" si="74"/>
        <v>45360</v>
      </c>
      <c r="B2270" s="32" t="s">
        <v>199</v>
      </c>
      <c r="C2270" t="s">
        <v>207</v>
      </c>
      <c r="D2270">
        <f>IF(B2270=$AB$2,$AC$2,$AC$3)</f>
        <v>1</v>
      </c>
      <c r="E2270">
        <f>IF(ISBLANK(C2270),0,VLOOKUP(C2270,$AE$2:$AF$7,2,0))</f>
        <v>0.5</v>
      </c>
      <c r="F2270">
        <f t="shared" si="75"/>
        <v>0.5</v>
      </c>
    </row>
    <row r="2271" spans="1:6">
      <c r="A2271" s="30">
        <f t="shared" si="74"/>
        <v>45361</v>
      </c>
      <c r="B2271" s="32" t="s">
        <v>199</v>
      </c>
      <c r="C2271" t="s">
        <v>207</v>
      </c>
      <c r="D2271">
        <f>IF(B2271=$AB$2,$AC$2,$AC$3)</f>
        <v>1</v>
      </c>
      <c r="E2271">
        <f>IF(ISBLANK(C2271),0,VLOOKUP(C2271,$AE$2:$AF$7,2,0))</f>
        <v>0.5</v>
      </c>
      <c r="F2271">
        <f t="shared" si="75"/>
        <v>0.5</v>
      </c>
    </row>
    <row r="2272" spans="1:6">
      <c r="A2272" s="30">
        <f t="shared" si="74"/>
        <v>45362</v>
      </c>
      <c r="B2272" s="32" t="s">
        <v>199</v>
      </c>
      <c r="C2272" t="s">
        <v>207</v>
      </c>
      <c r="D2272">
        <f>IF(B2272=$AB$2,$AC$2,$AC$3)</f>
        <v>1</v>
      </c>
      <c r="E2272">
        <f>IF(ISBLANK(C2272),0,VLOOKUP(C2272,$AE$2:$AF$7,2,0))</f>
        <v>0.5</v>
      </c>
      <c r="F2272">
        <f t="shared" si="75"/>
        <v>0.5</v>
      </c>
    </row>
    <row r="2273" spans="1:6">
      <c r="A2273" s="30">
        <f t="shared" si="74"/>
        <v>45363</v>
      </c>
      <c r="B2273" s="32" t="s">
        <v>199</v>
      </c>
      <c r="C2273" t="s">
        <v>207</v>
      </c>
      <c r="D2273">
        <f>IF(B2273=$AB$2,$AC$2,$AC$3)</f>
        <v>1</v>
      </c>
      <c r="E2273">
        <f>IF(ISBLANK(C2273),0,VLOOKUP(C2273,$AE$2:$AF$7,2,0))</f>
        <v>0.5</v>
      </c>
      <c r="F2273">
        <f t="shared" si="75"/>
        <v>0.5</v>
      </c>
    </row>
    <row r="2274" spans="1:6">
      <c r="A2274" s="30">
        <f t="shared" si="74"/>
        <v>45364</v>
      </c>
      <c r="B2274" s="32" t="s">
        <v>199</v>
      </c>
      <c r="C2274" t="s">
        <v>207</v>
      </c>
      <c r="D2274">
        <f>IF(B2274=$AB$2,$AC$2,$AC$3)</f>
        <v>1</v>
      </c>
      <c r="E2274">
        <f>IF(ISBLANK(C2274),0,VLOOKUP(C2274,$AE$2:$AF$7,2,0))</f>
        <v>0.5</v>
      </c>
      <c r="F2274">
        <f t="shared" si="75"/>
        <v>0.5</v>
      </c>
    </row>
    <row r="2275" spans="1:6">
      <c r="A2275" s="30">
        <f t="shared" si="74"/>
        <v>45365</v>
      </c>
      <c r="B2275" s="32" t="s">
        <v>199</v>
      </c>
      <c r="C2275" t="s">
        <v>207</v>
      </c>
      <c r="D2275">
        <f>IF(B2275=$AB$2,$AC$2,$AC$3)</f>
        <v>1</v>
      </c>
      <c r="E2275">
        <f>IF(ISBLANK(C2275),0,VLOOKUP(C2275,$AE$2:$AF$7,2,0))</f>
        <v>0.5</v>
      </c>
      <c r="F2275">
        <f t="shared" si="75"/>
        <v>0.5</v>
      </c>
    </row>
    <row r="2276" spans="1:6">
      <c r="A2276" s="30">
        <f t="shared" si="74"/>
        <v>45366</v>
      </c>
      <c r="B2276" s="32" t="s">
        <v>199</v>
      </c>
      <c r="C2276" t="s">
        <v>207</v>
      </c>
      <c r="D2276">
        <f>IF(B2276=$AB$2,$AC$2,$AC$3)</f>
        <v>1</v>
      </c>
      <c r="E2276">
        <f>IF(ISBLANK(C2276),0,VLOOKUP(C2276,$AE$2:$AF$7,2,0))</f>
        <v>0.5</v>
      </c>
      <c r="F2276">
        <f t="shared" si="75"/>
        <v>0.5</v>
      </c>
    </row>
    <row r="2277" spans="1:6">
      <c r="A2277" s="30">
        <f t="shared" si="74"/>
        <v>45367</v>
      </c>
      <c r="B2277" s="32" t="s">
        <v>199</v>
      </c>
      <c r="C2277" t="s">
        <v>207</v>
      </c>
      <c r="D2277">
        <f>IF(B2277=$AB$2,$AC$2,$AC$3)</f>
        <v>1</v>
      </c>
      <c r="E2277">
        <f>IF(ISBLANK(C2277),0,VLOOKUP(C2277,$AE$2:$AF$7,2,0))</f>
        <v>0.5</v>
      </c>
      <c r="F2277">
        <f t="shared" si="75"/>
        <v>0.5</v>
      </c>
    </row>
    <row r="2278" spans="1:6">
      <c r="A2278" s="30">
        <f t="shared" si="74"/>
        <v>45368</v>
      </c>
      <c r="B2278" s="32" t="s">
        <v>199</v>
      </c>
      <c r="C2278" t="s">
        <v>207</v>
      </c>
      <c r="D2278">
        <f>IF(B2278=$AB$2,$AC$2,$AC$3)</f>
        <v>1</v>
      </c>
      <c r="E2278">
        <f>IF(ISBLANK(C2278),0,VLOOKUP(C2278,$AE$2:$AF$7,2,0))</f>
        <v>0.5</v>
      </c>
      <c r="F2278">
        <f t="shared" si="75"/>
        <v>0.5</v>
      </c>
    </row>
    <row r="2279" spans="1:6">
      <c r="A2279" s="30">
        <f t="shared" si="74"/>
        <v>45369</v>
      </c>
      <c r="B2279" s="32" t="s">
        <v>199</v>
      </c>
      <c r="C2279" t="s">
        <v>207</v>
      </c>
      <c r="D2279">
        <f>IF(B2279=$AB$2,$AC$2,$AC$3)</f>
        <v>1</v>
      </c>
      <c r="E2279">
        <f>IF(ISBLANK(C2279),0,VLOOKUP(C2279,$AE$2:$AF$7,2,0))</f>
        <v>0.5</v>
      </c>
      <c r="F2279">
        <f t="shared" si="75"/>
        <v>0.5</v>
      </c>
    </row>
    <row r="2280" spans="1:6">
      <c r="A2280" s="30">
        <f t="shared" si="74"/>
        <v>45370</v>
      </c>
      <c r="B2280" s="32" t="s">
        <v>199</v>
      </c>
      <c r="C2280" t="s">
        <v>207</v>
      </c>
      <c r="D2280">
        <f>IF(B2280=$AB$2,$AC$2,$AC$3)</f>
        <v>1</v>
      </c>
      <c r="E2280">
        <f>IF(ISBLANK(C2280),0,VLOOKUP(C2280,$AE$2:$AF$7,2,0))</f>
        <v>0.5</v>
      </c>
      <c r="F2280">
        <f t="shared" si="75"/>
        <v>0.5</v>
      </c>
    </row>
    <row r="2281" spans="1:6">
      <c r="A2281" s="30">
        <f t="shared" si="74"/>
        <v>45371</v>
      </c>
      <c r="B2281" s="32" t="s">
        <v>199</v>
      </c>
      <c r="C2281" t="s">
        <v>207</v>
      </c>
      <c r="D2281">
        <f>IF(B2281=$AB$2,$AC$2,$AC$3)</f>
        <v>1</v>
      </c>
      <c r="E2281">
        <f>IF(ISBLANK(C2281),0,VLOOKUP(C2281,$AE$2:$AF$7,2,0))</f>
        <v>0.5</v>
      </c>
      <c r="F2281">
        <f t="shared" si="75"/>
        <v>0.5</v>
      </c>
    </row>
    <row r="2282" spans="1:6">
      <c r="A2282" s="30">
        <f t="shared" si="74"/>
        <v>45372</v>
      </c>
      <c r="B2282" s="32" t="s">
        <v>199</v>
      </c>
      <c r="C2282" t="s">
        <v>207</v>
      </c>
      <c r="D2282">
        <f>IF(B2282=$AB$2,$AC$2,$AC$3)</f>
        <v>1</v>
      </c>
      <c r="E2282">
        <f>IF(ISBLANK(C2282),0,VLOOKUP(C2282,$AE$2:$AF$7,2,0))</f>
        <v>0.5</v>
      </c>
      <c r="F2282">
        <f t="shared" si="75"/>
        <v>0.5</v>
      </c>
    </row>
    <row r="2283" spans="1:6">
      <c r="A2283" s="30">
        <f>A2282+1</f>
        <v>45373</v>
      </c>
      <c r="B2283" s="32" t="s">
        <v>199</v>
      </c>
      <c r="C2283" t="s">
        <v>207</v>
      </c>
      <c r="D2283">
        <f>IF(B2283=$AB$2,$AC$2,$AC$3)</f>
        <v>1</v>
      </c>
      <c r="E2283">
        <f>IF(ISBLANK(C2283),0,VLOOKUP(C2283,$AE$2:$AF$7,2,0))</f>
        <v>0.5</v>
      </c>
      <c r="F2283">
        <f t="shared" si="75"/>
        <v>0.5</v>
      </c>
    </row>
    <row r="2284" spans="1:6">
      <c r="A2284" s="30">
        <f t="shared" ref="A2284:A2347" si="76">A2283+1</f>
        <v>45374</v>
      </c>
      <c r="B2284" s="32" t="s">
        <v>199</v>
      </c>
      <c r="C2284" t="s">
        <v>207</v>
      </c>
      <c r="D2284">
        <f>IF(B2284=$AB$2,$AC$2,$AC$3)</f>
        <v>1</v>
      </c>
      <c r="E2284">
        <f>IF(ISBLANK(C2284),0,VLOOKUP(C2284,$AE$2:$AF$7,2,0))</f>
        <v>0.5</v>
      </c>
      <c r="F2284">
        <f t="shared" si="75"/>
        <v>0.5</v>
      </c>
    </row>
    <row r="2285" spans="1:6">
      <c r="A2285" s="30">
        <f t="shared" si="76"/>
        <v>45375</v>
      </c>
      <c r="B2285" s="32" t="s">
        <v>199</v>
      </c>
      <c r="C2285" t="s">
        <v>207</v>
      </c>
      <c r="D2285">
        <f>IF(B2285=$AB$2,$AC$2,$AC$3)</f>
        <v>1</v>
      </c>
      <c r="E2285">
        <f>IF(ISBLANK(C2285),0,VLOOKUP(C2285,$AE$2:$AF$7,2,0))</f>
        <v>0.5</v>
      </c>
      <c r="F2285">
        <f t="shared" si="75"/>
        <v>0.5</v>
      </c>
    </row>
    <row r="2286" spans="1:6">
      <c r="A2286" s="30">
        <f t="shared" si="76"/>
        <v>45376</v>
      </c>
      <c r="B2286" s="32" t="s">
        <v>199</v>
      </c>
      <c r="C2286" t="s">
        <v>207</v>
      </c>
      <c r="D2286">
        <f>IF(B2286=$AB$2,$AC$2,$AC$3)</f>
        <v>1</v>
      </c>
      <c r="E2286">
        <f>IF(ISBLANK(C2286),0,VLOOKUP(C2286,$AE$2:$AF$7,2,0))</f>
        <v>0.5</v>
      </c>
      <c r="F2286">
        <f t="shared" si="75"/>
        <v>0.5</v>
      </c>
    </row>
    <row r="2287" spans="1:6">
      <c r="A2287" s="30">
        <f t="shared" si="76"/>
        <v>45377</v>
      </c>
      <c r="B2287" s="32" t="s">
        <v>199</v>
      </c>
      <c r="C2287" t="s">
        <v>207</v>
      </c>
      <c r="D2287">
        <f>IF(B2287=$AB$2,$AC$2,$AC$3)</f>
        <v>1</v>
      </c>
      <c r="E2287">
        <f>IF(ISBLANK(C2287),0,VLOOKUP(C2287,$AE$2:$AF$7,2,0))</f>
        <v>0.5</v>
      </c>
      <c r="F2287">
        <f t="shared" si="75"/>
        <v>0.5</v>
      </c>
    </row>
    <row r="2288" spans="1:6">
      <c r="A2288" s="30">
        <f t="shared" si="76"/>
        <v>45378</v>
      </c>
      <c r="B2288" s="32" t="s">
        <v>199</v>
      </c>
      <c r="C2288" t="s">
        <v>207</v>
      </c>
      <c r="D2288">
        <f>IF(B2288=$AB$2,$AC$2,$AC$3)</f>
        <v>1</v>
      </c>
      <c r="E2288">
        <f>IF(ISBLANK(C2288),0,VLOOKUP(C2288,$AE$2:$AF$7,2,0))</f>
        <v>0.5</v>
      </c>
      <c r="F2288">
        <f t="shared" si="75"/>
        <v>0.5</v>
      </c>
    </row>
    <row r="2289" spans="1:6">
      <c r="A2289" s="30">
        <f t="shared" si="76"/>
        <v>45379</v>
      </c>
      <c r="B2289" s="32" t="s">
        <v>199</v>
      </c>
      <c r="C2289" t="s">
        <v>207</v>
      </c>
      <c r="D2289">
        <f>IF(B2289=$AB$2,$AC$2,$AC$3)</f>
        <v>1</v>
      </c>
      <c r="E2289">
        <f>IF(ISBLANK(C2289),0,VLOOKUP(C2289,$AE$2:$AF$7,2,0))</f>
        <v>0.5</v>
      </c>
      <c r="F2289">
        <f t="shared" si="75"/>
        <v>0.5</v>
      </c>
    </row>
    <row r="2290" spans="1:6">
      <c r="A2290" s="30">
        <f t="shared" si="76"/>
        <v>45380</v>
      </c>
      <c r="B2290" s="32" t="s">
        <v>199</v>
      </c>
      <c r="C2290" t="s">
        <v>207</v>
      </c>
      <c r="D2290">
        <f>IF(B2290=$AB$2,$AC$2,$AC$3)</f>
        <v>1</v>
      </c>
      <c r="E2290">
        <f>IF(ISBLANK(C2290),0,VLOOKUP(C2290,$AE$2:$AF$7,2,0))</f>
        <v>0.5</v>
      </c>
      <c r="F2290">
        <f t="shared" si="75"/>
        <v>0.5</v>
      </c>
    </row>
    <row r="2291" spans="1:6">
      <c r="A2291" s="30">
        <f t="shared" si="76"/>
        <v>45381</v>
      </c>
      <c r="B2291" s="32" t="s">
        <v>199</v>
      </c>
      <c r="C2291" t="s">
        <v>207</v>
      </c>
      <c r="D2291">
        <f>IF(B2291=$AB$2,$AC$2,$AC$3)</f>
        <v>1</v>
      </c>
      <c r="E2291">
        <f>IF(ISBLANK(C2291),0,VLOOKUP(C2291,$AE$2:$AF$7,2,0))</f>
        <v>0.5</v>
      </c>
      <c r="F2291">
        <f t="shared" si="75"/>
        <v>0.5</v>
      </c>
    </row>
    <row r="2292" spans="1:6">
      <c r="A2292" s="30">
        <f t="shared" si="76"/>
        <v>45382</v>
      </c>
      <c r="B2292" s="32" t="s">
        <v>199</v>
      </c>
      <c r="C2292" t="s">
        <v>207</v>
      </c>
      <c r="D2292">
        <f>IF(B2292=$AB$2,$AC$2,$AC$3)</f>
        <v>1</v>
      </c>
      <c r="E2292">
        <f>IF(ISBLANK(C2292),0,VLOOKUP(C2292,$AE$2:$AF$7,2,0))</f>
        <v>0.5</v>
      </c>
      <c r="F2292">
        <f t="shared" si="75"/>
        <v>0.5</v>
      </c>
    </row>
    <row r="2293" spans="1:6">
      <c r="A2293" s="30">
        <f t="shared" si="76"/>
        <v>45383</v>
      </c>
      <c r="B2293" s="32" t="s">
        <v>199</v>
      </c>
      <c r="C2293" t="s">
        <v>207</v>
      </c>
      <c r="D2293">
        <f>IF(B2293=$AB$2,$AC$2,$AC$3)</f>
        <v>1</v>
      </c>
      <c r="E2293">
        <f>IF(ISBLANK(C2293),0,VLOOKUP(C2293,$AE$2:$AF$7,2,0))</f>
        <v>0.5</v>
      </c>
      <c r="F2293">
        <f t="shared" si="75"/>
        <v>0.5</v>
      </c>
    </row>
    <row r="2294" spans="1:6">
      <c r="A2294" s="30">
        <f t="shared" si="76"/>
        <v>45384</v>
      </c>
      <c r="B2294" s="32" t="s">
        <v>199</v>
      </c>
      <c r="C2294" t="s">
        <v>207</v>
      </c>
      <c r="D2294">
        <f>IF(B2294=$AB$2,$AC$2,$AC$3)</f>
        <v>1</v>
      </c>
      <c r="E2294">
        <f>IF(ISBLANK(C2294),0,VLOOKUP(C2294,$AE$2:$AF$7,2,0))</f>
        <v>0.5</v>
      </c>
      <c r="F2294">
        <f t="shared" si="75"/>
        <v>0.5</v>
      </c>
    </row>
    <row r="2295" spans="1:6">
      <c r="A2295" s="30">
        <f t="shared" si="76"/>
        <v>45385</v>
      </c>
      <c r="B2295" s="32" t="s">
        <v>199</v>
      </c>
      <c r="C2295" t="s">
        <v>207</v>
      </c>
      <c r="D2295">
        <f>IF(B2295=$AB$2,$AC$2,$AC$3)</f>
        <v>1</v>
      </c>
      <c r="E2295">
        <f>IF(ISBLANK(C2295),0,VLOOKUP(C2295,$AE$2:$AF$7,2,0))</f>
        <v>0.5</v>
      </c>
      <c r="F2295">
        <f t="shared" si="75"/>
        <v>0.5</v>
      </c>
    </row>
    <row r="2296" spans="1:6">
      <c r="A2296" s="30">
        <f t="shared" si="76"/>
        <v>45386</v>
      </c>
      <c r="B2296" s="32" t="s">
        <v>199</v>
      </c>
      <c r="C2296" t="s">
        <v>207</v>
      </c>
      <c r="D2296">
        <f>IF(B2296=$AB$2,$AC$2,$AC$3)</f>
        <v>1</v>
      </c>
      <c r="E2296">
        <f>IF(ISBLANK(C2296),0,VLOOKUP(C2296,$AE$2:$AF$7,2,0))</f>
        <v>0.5</v>
      </c>
      <c r="F2296">
        <f t="shared" si="75"/>
        <v>0.5</v>
      </c>
    </row>
    <row r="2297" spans="1:6">
      <c r="A2297" s="30">
        <f t="shared" si="76"/>
        <v>45387</v>
      </c>
      <c r="B2297" s="32" t="s">
        <v>199</v>
      </c>
      <c r="C2297" t="s">
        <v>207</v>
      </c>
      <c r="D2297">
        <f>IF(B2297=$AB$2,$AC$2,$AC$3)</f>
        <v>1</v>
      </c>
      <c r="E2297">
        <f>IF(ISBLANK(C2297),0,VLOOKUP(C2297,$AE$2:$AF$7,2,0))</f>
        <v>0.5</v>
      </c>
      <c r="F2297">
        <f t="shared" si="75"/>
        <v>0.5</v>
      </c>
    </row>
    <row r="2298" spans="1:6">
      <c r="A2298" s="30">
        <f t="shared" si="76"/>
        <v>45388</v>
      </c>
      <c r="B2298" s="32" t="s">
        <v>199</v>
      </c>
      <c r="C2298" t="s">
        <v>207</v>
      </c>
      <c r="D2298">
        <f>IF(B2298=$AB$2,$AC$2,$AC$3)</f>
        <v>1</v>
      </c>
      <c r="E2298">
        <f>IF(ISBLANK(C2298),0,VLOOKUP(C2298,$AE$2:$AF$7,2,0))</f>
        <v>0.5</v>
      </c>
      <c r="F2298">
        <f t="shared" si="75"/>
        <v>0.5</v>
      </c>
    </row>
    <row r="2299" spans="1:6">
      <c r="A2299" s="30">
        <f t="shared" si="76"/>
        <v>45389</v>
      </c>
      <c r="B2299" s="32" t="s">
        <v>199</v>
      </c>
      <c r="C2299" t="s">
        <v>207</v>
      </c>
      <c r="D2299">
        <f>IF(B2299=$AB$2,$AC$2,$AC$3)</f>
        <v>1</v>
      </c>
      <c r="E2299">
        <f>IF(ISBLANK(C2299),0,VLOOKUP(C2299,$AE$2:$AF$7,2,0))</f>
        <v>0.5</v>
      </c>
      <c r="F2299">
        <f t="shared" si="75"/>
        <v>0.5</v>
      </c>
    </row>
    <row r="2300" spans="1:6">
      <c r="A2300" s="30">
        <f t="shared" si="76"/>
        <v>45390</v>
      </c>
      <c r="B2300" s="32" t="s">
        <v>199</v>
      </c>
      <c r="C2300" t="s">
        <v>207</v>
      </c>
      <c r="D2300">
        <f>IF(B2300=$AB$2,$AC$2,$AC$3)</f>
        <v>1</v>
      </c>
      <c r="E2300">
        <f>IF(ISBLANK(C2300),0,VLOOKUP(C2300,$AE$2:$AF$7,2,0))</f>
        <v>0.5</v>
      </c>
      <c r="F2300">
        <f t="shared" si="75"/>
        <v>0.5</v>
      </c>
    </row>
    <row r="2301" spans="1:6">
      <c r="A2301" s="30">
        <f t="shared" si="76"/>
        <v>45391</v>
      </c>
      <c r="B2301" s="32" t="s">
        <v>199</v>
      </c>
      <c r="C2301" t="s">
        <v>207</v>
      </c>
      <c r="D2301">
        <f>IF(B2301=$AB$2,$AC$2,$AC$3)</f>
        <v>1</v>
      </c>
      <c r="E2301">
        <f>IF(ISBLANK(C2301),0,VLOOKUP(C2301,$AE$2:$AF$7,2,0))</f>
        <v>0.5</v>
      </c>
      <c r="F2301">
        <f t="shared" si="75"/>
        <v>0.5</v>
      </c>
    </row>
    <row r="2302" spans="1:6">
      <c r="A2302" s="30">
        <f t="shared" si="76"/>
        <v>45392</v>
      </c>
      <c r="B2302" s="32" t="s">
        <v>199</v>
      </c>
      <c r="C2302" t="s">
        <v>207</v>
      </c>
      <c r="D2302">
        <f>IF(B2302=$AB$2,$AC$2,$AC$3)</f>
        <v>1</v>
      </c>
      <c r="E2302">
        <f>IF(ISBLANK(C2302),0,VLOOKUP(C2302,$AE$2:$AF$7,2,0))</f>
        <v>0.5</v>
      </c>
      <c r="F2302">
        <f t="shared" si="75"/>
        <v>0.5</v>
      </c>
    </row>
    <row r="2303" spans="1:6">
      <c r="A2303" s="30">
        <f t="shared" si="76"/>
        <v>45393</v>
      </c>
      <c r="B2303" s="32" t="s">
        <v>199</v>
      </c>
      <c r="C2303" t="s">
        <v>207</v>
      </c>
      <c r="D2303">
        <f>IF(B2303=$AB$2,$AC$2,$AC$3)</f>
        <v>1</v>
      </c>
      <c r="E2303">
        <f>IF(ISBLANK(C2303),0,VLOOKUP(C2303,$AE$2:$AF$7,2,0))</f>
        <v>0.5</v>
      </c>
      <c r="F2303">
        <f t="shared" si="75"/>
        <v>0.5</v>
      </c>
    </row>
    <row r="2304" spans="1:6">
      <c r="A2304" s="30">
        <f t="shared" si="76"/>
        <v>45394</v>
      </c>
      <c r="B2304" s="32" t="s">
        <v>199</v>
      </c>
      <c r="C2304" t="s">
        <v>207</v>
      </c>
      <c r="D2304">
        <f>IF(B2304=$AB$2,$AC$2,$AC$3)</f>
        <v>1</v>
      </c>
      <c r="E2304">
        <f>IF(ISBLANK(C2304),0,VLOOKUP(C2304,$AE$2:$AF$7,2,0))</f>
        <v>0.5</v>
      </c>
      <c r="F2304">
        <f t="shared" si="75"/>
        <v>0.5</v>
      </c>
    </row>
    <row r="2305" spans="1:6">
      <c r="A2305" s="30">
        <f t="shared" si="76"/>
        <v>45395</v>
      </c>
      <c r="B2305" s="32" t="s">
        <v>199</v>
      </c>
      <c r="C2305" t="s">
        <v>207</v>
      </c>
      <c r="D2305">
        <f>IF(B2305=$AB$2,$AC$2,$AC$3)</f>
        <v>1</v>
      </c>
      <c r="E2305">
        <f>IF(ISBLANK(C2305),0,VLOOKUP(C2305,$AE$2:$AF$7,2,0))</f>
        <v>0.5</v>
      </c>
      <c r="F2305">
        <f t="shared" si="75"/>
        <v>0.5</v>
      </c>
    </row>
    <row r="2306" spans="1:6">
      <c r="A2306" s="30">
        <f t="shared" si="76"/>
        <v>45396</v>
      </c>
      <c r="B2306" s="32" t="s">
        <v>199</v>
      </c>
      <c r="C2306" t="s">
        <v>207</v>
      </c>
      <c r="D2306">
        <f>IF(B2306=$AB$2,$AC$2,$AC$3)</f>
        <v>1</v>
      </c>
      <c r="E2306">
        <f>IF(ISBLANK(C2306),0,VLOOKUP(C2306,$AE$2:$AF$7,2,0))</f>
        <v>0.5</v>
      </c>
      <c r="F2306">
        <f t="shared" si="75"/>
        <v>0.5</v>
      </c>
    </row>
    <row r="2307" spans="1:6">
      <c r="A2307" s="30">
        <f t="shared" si="76"/>
        <v>45397</v>
      </c>
      <c r="B2307" s="32" t="s">
        <v>199</v>
      </c>
      <c r="C2307" t="s">
        <v>207</v>
      </c>
      <c r="D2307">
        <f>IF(B2307=$AB$2,$AC$2,$AC$3)</f>
        <v>1</v>
      </c>
      <c r="E2307">
        <f>IF(ISBLANK(C2307),0,VLOOKUP(C2307,$AE$2:$AF$7,2,0))</f>
        <v>0.5</v>
      </c>
      <c r="F2307">
        <f t="shared" ref="F2307:F2370" si="77">D2307*E2307</f>
        <v>0.5</v>
      </c>
    </row>
    <row r="2308" spans="1:6">
      <c r="A2308" s="30">
        <f t="shared" si="76"/>
        <v>45398</v>
      </c>
      <c r="B2308" s="32" t="s">
        <v>199</v>
      </c>
      <c r="C2308" t="s">
        <v>207</v>
      </c>
      <c r="D2308">
        <f>IF(B2308=$AB$2,$AC$2,$AC$3)</f>
        <v>1</v>
      </c>
      <c r="E2308">
        <f>IF(ISBLANK(C2308),0,VLOOKUP(C2308,$AE$2:$AF$7,2,0))</f>
        <v>0.5</v>
      </c>
      <c r="F2308">
        <f t="shared" si="77"/>
        <v>0.5</v>
      </c>
    </row>
    <row r="2309" spans="1:6">
      <c r="A2309" s="30">
        <f t="shared" si="76"/>
        <v>45399</v>
      </c>
      <c r="B2309" s="32" t="s">
        <v>199</v>
      </c>
      <c r="C2309" t="s">
        <v>207</v>
      </c>
      <c r="D2309">
        <f>IF(B2309=$AB$2,$AC$2,$AC$3)</f>
        <v>1</v>
      </c>
      <c r="E2309">
        <f>IF(ISBLANK(C2309),0,VLOOKUP(C2309,$AE$2:$AF$7,2,0))</f>
        <v>0.5</v>
      </c>
      <c r="F2309">
        <f t="shared" si="77"/>
        <v>0.5</v>
      </c>
    </row>
    <row r="2310" spans="1:6">
      <c r="A2310" s="30">
        <f t="shared" si="76"/>
        <v>45400</v>
      </c>
      <c r="B2310" s="32" t="s">
        <v>199</v>
      </c>
      <c r="C2310" t="s">
        <v>207</v>
      </c>
      <c r="D2310">
        <f>IF(B2310=$AB$2,$AC$2,$AC$3)</f>
        <v>1</v>
      </c>
      <c r="E2310">
        <f>IF(ISBLANK(C2310),0,VLOOKUP(C2310,$AE$2:$AF$7,2,0))</f>
        <v>0.5</v>
      </c>
      <c r="F2310">
        <f t="shared" si="77"/>
        <v>0.5</v>
      </c>
    </row>
    <row r="2311" spans="1:6">
      <c r="A2311" s="30">
        <f t="shared" si="76"/>
        <v>45401</v>
      </c>
      <c r="B2311" s="32" t="s">
        <v>199</v>
      </c>
      <c r="C2311" t="s">
        <v>207</v>
      </c>
      <c r="D2311">
        <f>IF(B2311=$AB$2,$AC$2,$AC$3)</f>
        <v>1</v>
      </c>
      <c r="E2311">
        <f>IF(ISBLANK(C2311),0,VLOOKUP(C2311,$AE$2:$AF$7,2,0))</f>
        <v>0.5</v>
      </c>
      <c r="F2311">
        <f t="shared" si="77"/>
        <v>0.5</v>
      </c>
    </row>
    <row r="2312" spans="1:6">
      <c r="A2312" s="30">
        <f t="shared" si="76"/>
        <v>45402</v>
      </c>
      <c r="B2312" s="32" t="s">
        <v>199</v>
      </c>
      <c r="C2312" t="s">
        <v>207</v>
      </c>
      <c r="D2312">
        <f>IF(B2312=$AB$2,$AC$2,$AC$3)</f>
        <v>1</v>
      </c>
      <c r="E2312">
        <f>IF(ISBLANK(C2312),0,VLOOKUP(C2312,$AE$2:$AF$7,2,0))</f>
        <v>0.5</v>
      </c>
      <c r="F2312">
        <f t="shared" si="77"/>
        <v>0.5</v>
      </c>
    </row>
    <row r="2313" spans="1:6">
      <c r="A2313" s="30">
        <f t="shared" si="76"/>
        <v>45403</v>
      </c>
      <c r="B2313" s="32" t="s">
        <v>199</v>
      </c>
      <c r="C2313" t="s">
        <v>207</v>
      </c>
      <c r="D2313">
        <f>IF(B2313=$AB$2,$AC$2,$AC$3)</f>
        <v>1</v>
      </c>
      <c r="E2313">
        <f>IF(ISBLANK(C2313),0,VLOOKUP(C2313,$AE$2:$AF$7,2,0))</f>
        <v>0.5</v>
      </c>
      <c r="F2313">
        <f t="shared" si="77"/>
        <v>0.5</v>
      </c>
    </row>
    <row r="2314" spans="1:6">
      <c r="A2314" s="30">
        <f t="shared" si="76"/>
        <v>45404</v>
      </c>
      <c r="B2314" s="32" t="s">
        <v>199</v>
      </c>
      <c r="C2314" t="s">
        <v>207</v>
      </c>
      <c r="D2314">
        <f>IF(B2314=$AB$2,$AC$2,$AC$3)</f>
        <v>1</v>
      </c>
      <c r="E2314">
        <f>IF(ISBLANK(C2314),0,VLOOKUP(C2314,$AE$2:$AF$7,2,0))</f>
        <v>0.5</v>
      </c>
      <c r="F2314">
        <f t="shared" si="77"/>
        <v>0.5</v>
      </c>
    </row>
    <row r="2315" spans="1:6">
      <c r="A2315" s="30">
        <f t="shared" si="76"/>
        <v>45405</v>
      </c>
      <c r="B2315" s="32" t="s">
        <v>199</v>
      </c>
      <c r="C2315" t="s">
        <v>207</v>
      </c>
      <c r="D2315">
        <f>IF(B2315=$AB$2,$AC$2,$AC$3)</f>
        <v>1</v>
      </c>
      <c r="E2315">
        <f>IF(ISBLANK(C2315),0,VLOOKUP(C2315,$AE$2:$AF$7,2,0))</f>
        <v>0.5</v>
      </c>
      <c r="F2315">
        <f t="shared" si="77"/>
        <v>0.5</v>
      </c>
    </row>
    <row r="2316" spans="1:6">
      <c r="A2316" s="30">
        <f t="shared" si="76"/>
        <v>45406</v>
      </c>
      <c r="B2316" s="32" t="s">
        <v>199</v>
      </c>
      <c r="C2316" t="s">
        <v>207</v>
      </c>
      <c r="D2316">
        <f>IF(B2316=$AB$2,$AC$2,$AC$3)</f>
        <v>1</v>
      </c>
      <c r="E2316">
        <f>IF(ISBLANK(C2316),0,VLOOKUP(C2316,$AE$2:$AF$7,2,0))</f>
        <v>0.5</v>
      </c>
      <c r="F2316">
        <f t="shared" si="77"/>
        <v>0.5</v>
      </c>
    </row>
    <row r="2317" spans="1:6">
      <c r="A2317" s="30">
        <f t="shared" si="76"/>
        <v>45407</v>
      </c>
      <c r="B2317" s="32" t="s">
        <v>199</v>
      </c>
      <c r="C2317" t="s">
        <v>207</v>
      </c>
      <c r="D2317">
        <f>IF(B2317=$AB$2,$AC$2,$AC$3)</f>
        <v>1</v>
      </c>
      <c r="E2317">
        <f>IF(ISBLANK(C2317),0,VLOOKUP(C2317,$AE$2:$AF$7,2,0))</f>
        <v>0.5</v>
      </c>
      <c r="F2317">
        <f t="shared" si="77"/>
        <v>0.5</v>
      </c>
    </row>
    <row r="2318" spans="1:6">
      <c r="A2318" s="30">
        <f t="shared" si="76"/>
        <v>45408</v>
      </c>
      <c r="B2318" s="32" t="s">
        <v>199</v>
      </c>
      <c r="C2318" t="s">
        <v>207</v>
      </c>
      <c r="D2318">
        <f>IF(B2318=$AB$2,$AC$2,$AC$3)</f>
        <v>1</v>
      </c>
      <c r="E2318">
        <f>IF(ISBLANK(C2318),0,VLOOKUP(C2318,$AE$2:$AF$7,2,0))</f>
        <v>0.5</v>
      </c>
      <c r="F2318">
        <f t="shared" si="77"/>
        <v>0.5</v>
      </c>
    </row>
    <row r="2319" spans="1:6">
      <c r="A2319" s="30">
        <f t="shared" si="76"/>
        <v>45409</v>
      </c>
      <c r="B2319" s="32" t="s">
        <v>199</v>
      </c>
      <c r="C2319" t="s">
        <v>207</v>
      </c>
      <c r="D2319">
        <f>IF(B2319=$AB$2,$AC$2,$AC$3)</f>
        <v>1</v>
      </c>
      <c r="E2319">
        <f>IF(ISBLANK(C2319),0,VLOOKUP(C2319,$AE$2:$AF$7,2,0))</f>
        <v>0.5</v>
      </c>
      <c r="F2319">
        <f t="shared" si="77"/>
        <v>0.5</v>
      </c>
    </row>
    <row r="2320" spans="1:6">
      <c r="A2320" s="30">
        <f t="shared" si="76"/>
        <v>45410</v>
      </c>
      <c r="B2320" s="32" t="s">
        <v>199</v>
      </c>
      <c r="C2320" t="s">
        <v>207</v>
      </c>
      <c r="D2320">
        <f>IF(B2320=$AB$2,$AC$2,$AC$3)</f>
        <v>1</v>
      </c>
      <c r="E2320">
        <f>IF(ISBLANK(C2320),0,VLOOKUP(C2320,$AE$2:$AF$7,2,0))</f>
        <v>0.5</v>
      </c>
      <c r="F2320">
        <f t="shared" si="77"/>
        <v>0.5</v>
      </c>
    </row>
    <row r="2321" spans="1:6">
      <c r="A2321" s="30">
        <f t="shared" si="76"/>
        <v>45411</v>
      </c>
      <c r="B2321" s="32" t="s">
        <v>199</v>
      </c>
      <c r="C2321" t="s">
        <v>207</v>
      </c>
      <c r="D2321">
        <f>IF(B2321=$AB$2,$AC$2,$AC$3)</f>
        <v>1</v>
      </c>
      <c r="E2321">
        <f>IF(ISBLANK(C2321),0,VLOOKUP(C2321,$AE$2:$AF$7,2,0))</f>
        <v>0.5</v>
      </c>
      <c r="F2321">
        <f t="shared" si="77"/>
        <v>0.5</v>
      </c>
    </row>
    <row r="2322" spans="1:6">
      <c r="A2322" s="30">
        <f t="shared" si="76"/>
        <v>45412</v>
      </c>
      <c r="B2322" s="32" t="s">
        <v>199</v>
      </c>
      <c r="C2322" t="s">
        <v>207</v>
      </c>
      <c r="D2322">
        <f>IF(B2322=$AB$2,$AC$2,$AC$3)</f>
        <v>1</v>
      </c>
      <c r="E2322">
        <f>IF(ISBLANK(C2322),0,VLOOKUP(C2322,$AE$2:$AF$7,2,0))</f>
        <v>0.5</v>
      </c>
      <c r="F2322">
        <f t="shared" si="77"/>
        <v>0.5</v>
      </c>
    </row>
    <row r="2323" spans="1:6">
      <c r="A2323" s="30">
        <f t="shared" si="76"/>
        <v>45413</v>
      </c>
      <c r="B2323" s="32" t="s">
        <v>199</v>
      </c>
      <c r="C2323" t="s">
        <v>207</v>
      </c>
      <c r="D2323">
        <f>IF(B2323=$AB$2,$AC$2,$AC$3)</f>
        <v>1</v>
      </c>
      <c r="E2323">
        <f>IF(ISBLANK(C2323),0,VLOOKUP(C2323,$AE$2:$AF$7,2,0))</f>
        <v>0.5</v>
      </c>
      <c r="F2323">
        <f t="shared" si="77"/>
        <v>0.5</v>
      </c>
    </row>
    <row r="2324" spans="1:6">
      <c r="A2324" s="30">
        <f t="shared" si="76"/>
        <v>45414</v>
      </c>
      <c r="B2324" s="32" t="s">
        <v>199</v>
      </c>
      <c r="C2324" t="s">
        <v>207</v>
      </c>
      <c r="D2324">
        <f>IF(B2324=$AB$2,$AC$2,$AC$3)</f>
        <v>1</v>
      </c>
      <c r="E2324">
        <f>IF(ISBLANK(C2324),0,VLOOKUP(C2324,$AE$2:$AF$7,2,0))</f>
        <v>0.5</v>
      </c>
      <c r="F2324">
        <f t="shared" si="77"/>
        <v>0.5</v>
      </c>
    </row>
    <row r="2325" spans="1:6">
      <c r="A2325" s="30">
        <f t="shared" si="76"/>
        <v>45415</v>
      </c>
      <c r="B2325" s="32" t="s">
        <v>199</v>
      </c>
      <c r="C2325" t="s">
        <v>207</v>
      </c>
      <c r="D2325">
        <f>IF(B2325=$AB$2,$AC$2,$AC$3)</f>
        <v>1</v>
      </c>
      <c r="E2325">
        <f>IF(ISBLANK(C2325),0,VLOOKUP(C2325,$AE$2:$AF$7,2,0))</f>
        <v>0.5</v>
      </c>
      <c r="F2325">
        <f t="shared" si="77"/>
        <v>0.5</v>
      </c>
    </row>
    <row r="2326" spans="1:6">
      <c r="A2326" s="30">
        <f t="shared" si="76"/>
        <v>45416</v>
      </c>
      <c r="B2326" s="32" t="s">
        <v>199</v>
      </c>
      <c r="C2326" t="s">
        <v>207</v>
      </c>
      <c r="D2326">
        <f>IF(B2326=$AB$2,$AC$2,$AC$3)</f>
        <v>1</v>
      </c>
      <c r="E2326">
        <f>IF(ISBLANK(C2326),0,VLOOKUP(C2326,$AE$2:$AF$7,2,0))</f>
        <v>0.5</v>
      </c>
      <c r="F2326">
        <f t="shared" si="77"/>
        <v>0.5</v>
      </c>
    </row>
    <row r="2327" spans="1:6">
      <c r="A2327" s="30">
        <f t="shared" si="76"/>
        <v>45417</v>
      </c>
      <c r="B2327" s="32" t="s">
        <v>199</v>
      </c>
      <c r="C2327" t="s">
        <v>207</v>
      </c>
      <c r="D2327">
        <f>IF(B2327=$AB$2,$AC$2,$AC$3)</f>
        <v>1</v>
      </c>
      <c r="E2327">
        <f>IF(ISBLANK(C2327),0,VLOOKUP(C2327,$AE$2:$AF$7,2,0))</f>
        <v>0.5</v>
      </c>
      <c r="F2327">
        <f t="shared" si="77"/>
        <v>0.5</v>
      </c>
    </row>
    <row r="2328" spans="1:6">
      <c r="A2328" s="30">
        <f t="shared" si="76"/>
        <v>45418</v>
      </c>
      <c r="B2328" s="32" t="s">
        <v>199</v>
      </c>
      <c r="C2328" t="s">
        <v>207</v>
      </c>
      <c r="D2328">
        <f>IF(B2328=$AB$2,$AC$2,$AC$3)</f>
        <v>1</v>
      </c>
      <c r="E2328">
        <f>IF(ISBLANK(C2328),0,VLOOKUP(C2328,$AE$2:$AF$7,2,0))</f>
        <v>0.5</v>
      </c>
      <c r="F2328">
        <f t="shared" si="77"/>
        <v>0.5</v>
      </c>
    </row>
    <row r="2329" spans="1:6">
      <c r="A2329" s="30">
        <f t="shared" si="76"/>
        <v>45419</v>
      </c>
      <c r="B2329" s="32" t="s">
        <v>199</v>
      </c>
      <c r="C2329" t="s">
        <v>207</v>
      </c>
      <c r="D2329">
        <f>IF(B2329=$AB$2,$AC$2,$AC$3)</f>
        <v>1</v>
      </c>
      <c r="E2329">
        <f>IF(ISBLANK(C2329),0,VLOOKUP(C2329,$AE$2:$AF$7,2,0))</f>
        <v>0.5</v>
      </c>
      <c r="F2329">
        <f t="shared" si="77"/>
        <v>0.5</v>
      </c>
    </row>
    <row r="2330" spans="1:6">
      <c r="A2330" s="30">
        <f t="shared" si="76"/>
        <v>45420</v>
      </c>
      <c r="B2330" s="32" t="s">
        <v>199</v>
      </c>
      <c r="C2330" t="s">
        <v>207</v>
      </c>
      <c r="D2330">
        <f>IF(B2330=$AB$2,$AC$2,$AC$3)</f>
        <v>1</v>
      </c>
      <c r="E2330">
        <f>IF(ISBLANK(C2330),0,VLOOKUP(C2330,$AE$2:$AF$7,2,0))</f>
        <v>0.5</v>
      </c>
      <c r="F2330">
        <f t="shared" si="77"/>
        <v>0.5</v>
      </c>
    </row>
    <row r="2331" spans="1:6">
      <c r="A2331" s="30">
        <f t="shared" si="76"/>
        <v>45421</v>
      </c>
      <c r="B2331" s="32" t="s">
        <v>199</v>
      </c>
      <c r="C2331" t="s">
        <v>207</v>
      </c>
      <c r="D2331">
        <f>IF(B2331=$AB$2,$AC$2,$AC$3)</f>
        <v>1</v>
      </c>
      <c r="E2331">
        <f>IF(ISBLANK(C2331),0,VLOOKUP(C2331,$AE$2:$AF$7,2,0))</f>
        <v>0.5</v>
      </c>
      <c r="F2331">
        <f t="shared" si="77"/>
        <v>0.5</v>
      </c>
    </row>
    <row r="2332" spans="1:6">
      <c r="A2332" s="30">
        <f t="shared" si="76"/>
        <v>45422</v>
      </c>
      <c r="B2332" s="32" t="s">
        <v>199</v>
      </c>
      <c r="C2332" t="s">
        <v>207</v>
      </c>
      <c r="D2332">
        <f>IF(B2332=$AB$2,$AC$2,$AC$3)</f>
        <v>1</v>
      </c>
      <c r="E2332">
        <f>IF(ISBLANK(C2332),0,VLOOKUP(C2332,$AE$2:$AF$7,2,0))</f>
        <v>0.5</v>
      </c>
      <c r="F2332">
        <f t="shared" si="77"/>
        <v>0.5</v>
      </c>
    </row>
    <row r="2333" spans="1:6">
      <c r="A2333" s="30">
        <f t="shared" si="76"/>
        <v>45423</v>
      </c>
      <c r="B2333" s="32" t="s">
        <v>199</v>
      </c>
      <c r="C2333" t="s">
        <v>207</v>
      </c>
      <c r="D2333">
        <f>IF(B2333=$AB$2,$AC$2,$AC$3)</f>
        <v>1</v>
      </c>
      <c r="E2333">
        <f>IF(ISBLANK(C2333),0,VLOOKUP(C2333,$AE$2:$AF$7,2,0))</f>
        <v>0.5</v>
      </c>
      <c r="F2333">
        <f t="shared" si="77"/>
        <v>0.5</v>
      </c>
    </row>
    <row r="2334" spans="1:6">
      <c r="A2334" s="30">
        <f t="shared" si="76"/>
        <v>45424</v>
      </c>
      <c r="B2334" s="32" t="s">
        <v>199</v>
      </c>
      <c r="C2334" t="s">
        <v>207</v>
      </c>
      <c r="D2334">
        <f>IF(B2334=$AB$2,$AC$2,$AC$3)</f>
        <v>1</v>
      </c>
      <c r="E2334">
        <f>IF(ISBLANK(C2334),0,VLOOKUP(C2334,$AE$2:$AF$7,2,0))</f>
        <v>0.5</v>
      </c>
      <c r="F2334">
        <f t="shared" si="77"/>
        <v>0.5</v>
      </c>
    </row>
    <row r="2335" spans="1:6">
      <c r="A2335" s="30">
        <f t="shared" si="76"/>
        <v>45425</v>
      </c>
      <c r="B2335" s="32" t="s">
        <v>199</v>
      </c>
      <c r="C2335" t="s">
        <v>207</v>
      </c>
      <c r="D2335">
        <f>IF(B2335=$AB$2,$AC$2,$AC$3)</f>
        <v>1</v>
      </c>
      <c r="E2335">
        <f>IF(ISBLANK(C2335),0,VLOOKUP(C2335,$AE$2:$AF$7,2,0))</f>
        <v>0.5</v>
      </c>
      <c r="F2335">
        <f t="shared" si="77"/>
        <v>0.5</v>
      </c>
    </row>
    <row r="2336" spans="1:6">
      <c r="A2336" s="30">
        <f t="shared" si="76"/>
        <v>45426</v>
      </c>
      <c r="B2336" s="32" t="s">
        <v>199</v>
      </c>
      <c r="C2336" t="s">
        <v>207</v>
      </c>
      <c r="D2336">
        <f>IF(B2336=$AB$2,$AC$2,$AC$3)</f>
        <v>1</v>
      </c>
      <c r="E2336">
        <f>IF(ISBLANK(C2336),0,VLOOKUP(C2336,$AE$2:$AF$7,2,0))</f>
        <v>0.5</v>
      </c>
      <c r="F2336">
        <f t="shared" si="77"/>
        <v>0.5</v>
      </c>
    </row>
    <row r="2337" spans="1:6">
      <c r="A2337" s="30">
        <f t="shared" si="76"/>
        <v>45427</v>
      </c>
      <c r="B2337" s="32" t="s">
        <v>199</v>
      </c>
      <c r="C2337" t="s">
        <v>207</v>
      </c>
      <c r="D2337">
        <f>IF(B2337=$AB$2,$AC$2,$AC$3)</f>
        <v>1</v>
      </c>
      <c r="E2337">
        <f>IF(ISBLANK(C2337),0,VLOOKUP(C2337,$AE$2:$AF$7,2,0))</f>
        <v>0.5</v>
      </c>
      <c r="F2337">
        <f t="shared" si="77"/>
        <v>0.5</v>
      </c>
    </row>
    <row r="2338" spans="1:6">
      <c r="A2338" s="30">
        <f t="shared" si="76"/>
        <v>45428</v>
      </c>
      <c r="B2338" s="32" t="s">
        <v>199</v>
      </c>
      <c r="C2338" t="s">
        <v>207</v>
      </c>
      <c r="D2338">
        <f>IF(B2338=$AB$2,$AC$2,$AC$3)</f>
        <v>1</v>
      </c>
      <c r="E2338">
        <f>IF(ISBLANK(C2338),0,VLOOKUP(C2338,$AE$2:$AF$7,2,0))</f>
        <v>0.5</v>
      </c>
      <c r="F2338">
        <f t="shared" si="77"/>
        <v>0.5</v>
      </c>
    </row>
    <row r="2339" spans="1:6">
      <c r="A2339" s="30">
        <f t="shared" si="76"/>
        <v>45429</v>
      </c>
      <c r="B2339" s="32" t="s">
        <v>199</v>
      </c>
      <c r="C2339" t="s">
        <v>207</v>
      </c>
      <c r="D2339">
        <f>IF(B2339=$AB$2,$AC$2,$AC$3)</f>
        <v>1</v>
      </c>
      <c r="E2339">
        <f>IF(ISBLANK(C2339),0,VLOOKUP(C2339,$AE$2:$AF$7,2,0))</f>
        <v>0.5</v>
      </c>
      <c r="F2339">
        <f t="shared" si="77"/>
        <v>0.5</v>
      </c>
    </row>
    <row r="2340" spans="1:6">
      <c r="A2340" s="30">
        <f t="shared" si="76"/>
        <v>45430</v>
      </c>
      <c r="B2340" s="32" t="s">
        <v>199</v>
      </c>
      <c r="C2340" t="s">
        <v>207</v>
      </c>
      <c r="D2340">
        <f>IF(B2340=$AB$2,$AC$2,$AC$3)</f>
        <v>1</v>
      </c>
      <c r="E2340">
        <f>IF(ISBLANK(C2340),0,VLOOKUP(C2340,$AE$2:$AF$7,2,0))</f>
        <v>0.5</v>
      </c>
      <c r="F2340">
        <f t="shared" si="77"/>
        <v>0.5</v>
      </c>
    </row>
    <row r="2341" spans="1:6">
      <c r="A2341" s="30">
        <f t="shared" si="76"/>
        <v>45431</v>
      </c>
      <c r="B2341" s="32" t="s">
        <v>199</v>
      </c>
      <c r="C2341" t="s">
        <v>207</v>
      </c>
      <c r="D2341">
        <f>IF(B2341=$AB$2,$AC$2,$AC$3)</f>
        <v>1</v>
      </c>
      <c r="E2341">
        <f>IF(ISBLANK(C2341),0,VLOOKUP(C2341,$AE$2:$AF$7,2,0))</f>
        <v>0.5</v>
      </c>
      <c r="F2341">
        <f t="shared" si="77"/>
        <v>0.5</v>
      </c>
    </row>
    <row r="2342" spans="1:6">
      <c r="A2342" s="30">
        <f t="shared" si="76"/>
        <v>45432</v>
      </c>
      <c r="B2342" s="32" t="s">
        <v>199</v>
      </c>
      <c r="C2342" t="s">
        <v>207</v>
      </c>
      <c r="D2342">
        <f>IF(B2342=$AB$2,$AC$2,$AC$3)</f>
        <v>1</v>
      </c>
      <c r="E2342">
        <f>IF(ISBLANK(C2342),0,VLOOKUP(C2342,$AE$2:$AF$7,2,0))</f>
        <v>0.5</v>
      </c>
      <c r="F2342">
        <f t="shared" si="77"/>
        <v>0.5</v>
      </c>
    </row>
    <row r="2343" spans="1:6">
      <c r="A2343" s="30">
        <f t="shared" si="76"/>
        <v>45433</v>
      </c>
      <c r="B2343" s="32" t="s">
        <v>199</v>
      </c>
      <c r="C2343" t="s">
        <v>207</v>
      </c>
      <c r="D2343">
        <f>IF(B2343=$AB$2,$AC$2,$AC$3)</f>
        <v>1</v>
      </c>
      <c r="E2343">
        <f>IF(ISBLANK(C2343),0,VLOOKUP(C2343,$AE$2:$AF$7,2,0))</f>
        <v>0.5</v>
      </c>
      <c r="F2343">
        <f t="shared" si="77"/>
        <v>0.5</v>
      </c>
    </row>
    <row r="2344" spans="1:6">
      <c r="A2344" s="30">
        <f t="shared" si="76"/>
        <v>45434</v>
      </c>
      <c r="B2344" s="32" t="s">
        <v>199</v>
      </c>
      <c r="C2344" t="s">
        <v>207</v>
      </c>
      <c r="D2344">
        <f>IF(B2344=$AB$2,$AC$2,$AC$3)</f>
        <v>1</v>
      </c>
      <c r="E2344">
        <f>IF(ISBLANK(C2344),0,VLOOKUP(C2344,$AE$2:$AF$7,2,0))</f>
        <v>0.5</v>
      </c>
      <c r="F2344">
        <f t="shared" si="77"/>
        <v>0.5</v>
      </c>
    </row>
    <row r="2345" spans="1:6">
      <c r="A2345" s="30">
        <f t="shared" si="76"/>
        <v>45435</v>
      </c>
      <c r="B2345" s="32" t="s">
        <v>199</v>
      </c>
      <c r="C2345" t="s">
        <v>207</v>
      </c>
      <c r="D2345">
        <f>IF(B2345=$AB$2,$AC$2,$AC$3)</f>
        <v>1</v>
      </c>
      <c r="E2345">
        <f>IF(ISBLANK(C2345),0,VLOOKUP(C2345,$AE$2:$AF$7,2,0))</f>
        <v>0.5</v>
      </c>
      <c r="F2345">
        <f t="shared" si="77"/>
        <v>0.5</v>
      </c>
    </row>
    <row r="2346" spans="1:6">
      <c r="A2346" s="30">
        <f t="shared" si="76"/>
        <v>45436</v>
      </c>
      <c r="B2346" s="32" t="s">
        <v>199</v>
      </c>
      <c r="C2346" t="s">
        <v>207</v>
      </c>
      <c r="D2346">
        <f>IF(B2346=$AB$2,$AC$2,$AC$3)</f>
        <v>1</v>
      </c>
      <c r="E2346">
        <f>IF(ISBLANK(C2346),0,VLOOKUP(C2346,$AE$2:$AF$7,2,0))</f>
        <v>0.5</v>
      </c>
      <c r="F2346">
        <f t="shared" si="77"/>
        <v>0.5</v>
      </c>
    </row>
    <row r="2347" spans="1:6">
      <c r="A2347" s="30">
        <f t="shared" si="76"/>
        <v>45437</v>
      </c>
      <c r="B2347" s="32" t="s">
        <v>199</v>
      </c>
      <c r="C2347" t="s">
        <v>207</v>
      </c>
      <c r="D2347">
        <f>IF(B2347=$AB$2,$AC$2,$AC$3)</f>
        <v>1</v>
      </c>
      <c r="E2347">
        <f>IF(ISBLANK(C2347),0,VLOOKUP(C2347,$AE$2:$AF$7,2,0))</f>
        <v>0.5</v>
      </c>
      <c r="F2347">
        <f t="shared" si="77"/>
        <v>0.5</v>
      </c>
    </row>
    <row r="2348" spans="1:6">
      <c r="A2348" s="30">
        <f t="shared" ref="A2348:A2396" si="78">A2347+1</f>
        <v>45438</v>
      </c>
      <c r="B2348" s="32" t="s">
        <v>199</v>
      </c>
      <c r="C2348" t="s">
        <v>207</v>
      </c>
      <c r="D2348">
        <f>IF(B2348=$AB$2,$AC$2,$AC$3)</f>
        <v>1</v>
      </c>
      <c r="E2348">
        <f>IF(ISBLANK(C2348),0,VLOOKUP(C2348,$AE$2:$AF$7,2,0))</f>
        <v>0.5</v>
      </c>
      <c r="F2348">
        <f t="shared" si="77"/>
        <v>0.5</v>
      </c>
    </row>
    <row r="2349" spans="1:6">
      <c r="A2349" s="30">
        <f t="shared" si="78"/>
        <v>45439</v>
      </c>
      <c r="B2349" s="32" t="s">
        <v>199</v>
      </c>
      <c r="C2349" t="s">
        <v>207</v>
      </c>
      <c r="D2349">
        <f>IF(B2349=$AB$2,$AC$2,$AC$3)</f>
        <v>1</v>
      </c>
      <c r="E2349">
        <f>IF(ISBLANK(C2349),0,VLOOKUP(C2349,$AE$2:$AF$7,2,0))</f>
        <v>0.5</v>
      </c>
      <c r="F2349">
        <f t="shared" si="77"/>
        <v>0.5</v>
      </c>
    </row>
    <row r="2350" spans="1:6">
      <c r="A2350" s="30">
        <f t="shared" si="78"/>
        <v>45440</v>
      </c>
      <c r="B2350" s="32" t="s">
        <v>199</v>
      </c>
      <c r="C2350" t="s">
        <v>207</v>
      </c>
      <c r="D2350">
        <f>IF(B2350=$AB$2,$AC$2,$AC$3)</f>
        <v>1</v>
      </c>
      <c r="E2350">
        <f>IF(ISBLANK(C2350),0,VLOOKUP(C2350,$AE$2:$AF$7,2,0))</f>
        <v>0.5</v>
      </c>
      <c r="F2350">
        <f t="shared" si="77"/>
        <v>0.5</v>
      </c>
    </row>
    <row r="2351" spans="1:6">
      <c r="A2351" s="30">
        <f t="shared" si="78"/>
        <v>45441</v>
      </c>
      <c r="B2351" s="32" t="s">
        <v>199</v>
      </c>
      <c r="C2351" t="s">
        <v>207</v>
      </c>
      <c r="D2351">
        <f>IF(B2351=$AB$2,$AC$2,$AC$3)</f>
        <v>1</v>
      </c>
      <c r="E2351">
        <f>IF(ISBLANK(C2351),0,VLOOKUP(C2351,$AE$2:$AF$7,2,0))</f>
        <v>0.5</v>
      </c>
      <c r="F2351">
        <f t="shared" si="77"/>
        <v>0.5</v>
      </c>
    </row>
    <row r="2352" spans="1:6">
      <c r="A2352" s="30">
        <f t="shared" si="78"/>
        <v>45442</v>
      </c>
      <c r="B2352" s="32" t="s">
        <v>199</v>
      </c>
      <c r="C2352" t="s">
        <v>207</v>
      </c>
      <c r="D2352">
        <f>IF(B2352=$AB$2,$AC$2,$AC$3)</f>
        <v>1</v>
      </c>
      <c r="E2352">
        <f>IF(ISBLANK(C2352),0,VLOOKUP(C2352,$AE$2:$AF$7,2,0))</f>
        <v>0.5</v>
      </c>
      <c r="F2352">
        <f t="shared" si="77"/>
        <v>0.5</v>
      </c>
    </row>
    <row r="2353" spans="1:6">
      <c r="A2353" s="30">
        <f t="shared" si="78"/>
        <v>45443</v>
      </c>
      <c r="B2353" s="32" t="s">
        <v>199</v>
      </c>
      <c r="C2353" t="s">
        <v>207</v>
      </c>
      <c r="D2353">
        <f>IF(B2353=$AB$2,$AC$2,$AC$3)</f>
        <v>1</v>
      </c>
      <c r="E2353">
        <f>IF(ISBLANK(C2353),0,VLOOKUP(C2353,$AE$2:$AF$7,2,0))</f>
        <v>0.5</v>
      </c>
      <c r="F2353">
        <f t="shared" si="77"/>
        <v>0.5</v>
      </c>
    </row>
    <row r="2354" spans="1:6">
      <c r="A2354" s="30">
        <f t="shared" si="78"/>
        <v>45444</v>
      </c>
      <c r="B2354" s="32" t="s">
        <v>199</v>
      </c>
      <c r="C2354" t="s">
        <v>207</v>
      </c>
      <c r="D2354">
        <f>IF(B2354=$AB$2,$AC$2,$AC$3)</f>
        <v>1</v>
      </c>
      <c r="E2354">
        <f>IF(ISBLANK(C2354),0,VLOOKUP(C2354,$AE$2:$AF$7,2,0))</f>
        <v>0.5</v>
      </c>
      <c r="F2354">
        <f t="shared" si="77"/>
        <v>0.5</v>
      </c>
    </row>
    <row r="2355" spans="1:6">
      <c r="A2355" s="30">
        <f t="shared" si="78"/>
        <v>45445</v>
      </c>
      <c r="B2355" s="32" t="s">
        <v>199</v>
      </c>
      <c r="C2355" t="s">
        <v>207</v>
      </c>
      <c r="D2355">
        <f>IF(B2355=$AB$2,$AC$2,$AC$3)</f>
        <v>1</v>
      </c>
      <c r="E2355">
        <f>IF(ISBLANK(C2355),0,VLOOKUP(C2355,$AE$2:$AF$7,2,0))</f>
        <v>0.5</v>
      </c>
      <c r="F2355">
        <f t="shared" si="77"/>
        <v>0.5</v>
      </c>
    </row>
    <row r="2356" spans="1:6">
      <c r="A2356" s="30">
        <f t="shared" si="78"/>
        <v>45446</v>
      </c>
      <c r="B2356" s="32" t="s">
        <v>199</v>
      </c>
      <c r="C2356" t="s">
        <v>207</v>
      </c>
      <c r="D2356">
        <f>IF(B2356=$AB$2,$AC$2,$AC$3)</f>
        <v>1</v>
      </c>
      <c r="E2356">
        <f>IF(ISBLANK(C2356),0,VLOOKUP(C2356,$AE$2:$AF$7,2,0))</f>
        <v>0.5</v>
      </c>
      <c r="F2356">
        <f t="shared" si="77"/>
        <v>0.5</v>
      </c>
    </row>
    <row r="2357" spans="1:6">
      <c r="A2357" s="30">
        <f t="shared" si="78"/>
        <v>45447</v>
      </c>
      <c r="B2357" s="32" t="s">
        <v>199</v>
      </c>
      <c r="C2357" t="s">
        <v>207</v>
      </c>
      <c r="D2357">
        <f>IF(B2357=$AB$2,$AC$2,$AC$3)</f>
        <v>1</v>
      </c>
      <c r="E2357">
        <f>IF(ISBLANK(C2357),0,VLOOKUP(C2357,$AE$2:$AF$7,2,0))</f>
        <v>0.5</v>
      </c>
      <c r="F2357">
        <f t="shared" si="77"/>
        <v>0.5</v>
      </c>
    </row>
    <row r="2358" spans="1:6">
      <c r="A2358" s="30">
        <f t="shared" si="78"/>
        <v>45448</v>
      </c>
      <c r="B2358" s="32" t="s">
        <v>199</v>
      </c>
      <c r="C2358" t="s">
        <v>207</v>
      </c>
      <c r="D2358">
        <f>IF(B2358=$AB$2,$AC$2,$AC$3)</f>
        <v>1</v>
      </c>
      <c r="E2358">
        <f>IF(ISBLANK(C2358),0,VLOOKUP(C2358,$AE$2:$AF$7,2,0))</f>
        <v>0.5</v>
      </c>
      <c r="F2358">
        <f t="shared" si="77"/>
        <v>0.5</v>
      </c>
    </row>
    <row r="2359" spans="1:6">
      <c r="A2359" s="30">
        <f t="shared" si="78"/>
        <v>45449</v>
      </c>
      <c r="B2359" s="32" t="s">
        <v>199</v>
      </c>
      <c r="C2359" t="s">
        <v>207</v>
      </c>
      <c r="D2359">
        <f>IF(B2359=$AB$2,$AC$2,$AC$3)</f>
        <v>1</v>
      </c>
      <c r="E2359">
        <f>IF(ISBLANK(C2359),0,VLOOKUP(C2359,$AE$2:$AF$7,2,0))</f>
        <v>0.5</v>
      </c>
      <c r="F2359">
        <f t="shared" si="77"/>
        <v>0.5</v>
      </c>
    </row>
    <row r="2360" spans="1:6">
      <c r="A2360" s="30">
        <f t="shared" si="78"/>
        <v>45450</v>
      </c>
      <c r="B2360" s="32" t="s">
        <v>199</v>
      </c>
      <c r="C2360" t="s">
        <v>207</v>
      </c>
      <c r="D2360">
        <f>IF(B2360=$AB$2,$AC$2,$AC$3)</f>
        <v>1</v>
      </c>
      <c r="E2360">
        <f>IF(ISBLANK(C2360),0,VLOOKUP(C2360,$AE$2:$AF$7,2,0))</f>
        <v>0.5</v>
      </c>
      <c r="F2360">
        <f t="shared" si="77"/>
        <v>0.5</v>
      </c>
    </row>
    <row r="2361" spans="1:6">
      <c r="A2361" s="30">
        <f t="shared" si="78"/>
        <v>45451</v>
      </c>
      <c r="B2361" s="32" t="s">
        <v>199</v>
      </c>
      <c r="C2361" t="s">
        <v>207</v>
      </c>
      <c r="D2361">
        <f>IF(B2361=$AB$2,$AC$2,$AC$3)</f>
        <v>1</v>
      </c>
      <c r="E2361">
        <f>IF(ISBLANK(C2361),0,VLOOKUP(C2361,$AE$2:$AF$7,2,0))</f>
        <v>0.5</v>
      </c>
      <c r="F2361">
        <f t="shared" si="77"/>
        <v>0.5</v>
      </c>
    </row>
    <row r="2362" spans="1:6">
      <c r="A2362" s="30">
        <f t="shared" si="78"/>
        <v>45452</v>
      </c>
      <c r="B2362" s="32" t="s">
        <v>199</v>
      </c>
      <c r="C2362" t="s">
        <v>207</v>
      </c>
      <c r="D2362">
        <f>IF(B2362=$AB$2,$AC$2,$AC$3)</f>
        <v>1</v>
      </c>
      <c r="E2362">
        <f>IF(ISBLANK(C2362),0,VLOOKUP(C2362,$AE$2:$AF$7,2,0))</f>
        <v>0.5</v>
      </c>
      <c r="F2362">
        <f t="shared" si="77"/>
        <v>0.5</v>
      </c>
    </row>
    <row r="2363" spans="1:6">
      <c r="A2363" s="30">
        <f t="shared" si="78"/>
        <v>45453</v>
      </c>
      <c r="B2363" s="32" t="s">
        <v>199</v>
      </c>
      <c r="C2363" t="s">
        <v>207</v>
      </c>
      <c r="D2363">
        <f>IF(B2363=$AB$2,$AC$2,$AC$3)</f>
        <v>1</v>
      </c>
      <c r="E2363">
        <f>IF(ISBLANK(C2363),0,VLOOKUP(C2363,$AE$2:$AF$7,2,0))</f>
        <v>0.5</v>
      </c>
      <c r="F2363">
        <f t="shared" si="77"/>
        <v>0.5</v>
      </c>
    </row>
    <row r="2364" spans="1:6">
      <c r="A2364" s="30">
        <f t="shared" si="78"/>
        <v>45454</v>
      </c>
      <c r="B2364" s="32" t="s">
        <v>199</v>
      </c>
      <c r="C2364" t="s">
        <v>207</v>
      </c>
      <c r="D2364">
        <f>IF(B2364=$AB$2,$AC$2,$AC$3)</f>
        <v>1</v>
      </c>
      <c r="E2364">
        <f>IF(ISBLANK(C2364),0,VLOOKUP(C2364,$AE$2:$AF$7,2,0))</f>
        <v>0.5</v>
      </c>
      <c r="F2364">
        <f t="shared" si="77"/>
        <v>0.5</v>
      </c>
    </row>
    <row r="2365" spans="1:6">
      <c r="A2365" s="30">
        <f t="shared" si="78"/>
        <v>45455</v>
      </c>
      <c r="B2365" s="32" t="s">
        <v>199</v>
      </c>
      <c r="C2365" t="s">
        <v>207</v>
      </c>
      <c r="D2365">
        <f>IF(B2365=$AB$2,$AC$2,$AC$3)</f>
        <v>1</v>
      </c>
      <c r="E2365">
        <f>IF(ISBLANK(C2365),0,VLOOKUP(C2365,$AE$2:$AF$7,2,0))</f>
        <v>0.5</v>
      </c>
      <c r="F2365">
        <f t="shared" si="77"/>
        <v>0.5</v>
      </c>
    </row>
    <row r="2366" spans="1:6">
      <c r="A2366" s="30">
        <f t="shared" si="78"/>
        <v>45456</v>
      </c>
      <c r="B2366" s="32" t="s">
        <v>199</v>
      </c>
      <c r="C2366" t="s">
        <v>207</v>
      </c>
      <c r="D2366">
        <f>IF(B2366=$AB$2,$AC$2,$AC$3)</f>
        <v>1</v>
      </c>
      <c r="E2366">
        <f>IF(ISBLANK(C2366),0,VLOOKUP(C2366,$AE$2:$AF$7,2,0))</f>
        <v>0.5</v>
      </c>
      <c r="F2366">
        <f t="shared" si="77"/>
        <v>0.5</v>
      </c>
    </row>
    <row r="2367" spans="1:6">
      <c r="A2367" s="30">
        <f t="shared" si="78"/>
        <v>45457</v>
      </c>
      <c r="B2367" s="32" t="s">
        <v>199</v>
      </c>
      <c r="C2367" t="s">
        <v>207</v>
      </c>
      <c r="D2367">
        <f>IF(B2367=$AB$2,$AC$2,$AC$3)</f>
        <v>1</v>
      </c>
      <c r="E2367">
        <f>IF(ISBLANK(C2367),0,VLOOKUP(C2367,$AE$2:$AF$7,2,0))</f>
        <v>0.5</v>
      </c>
      <c r="F2367">
        <f t="shared" si="77"/>
        <v>0.5</v>
      </c>
    </row>
    <row r="2368" spans="1:6">
      <c r="A2368" s="30">
        <f t="shared" si="78"/>
        <v>45458</v>
      </c>
      <c r="B2368" s="32" t="s">
        <v>199</v>
      </c>
      <c r="C2368" t="s">
        <v>207</v>
      </c>
      <c r="D2368">
        <f>IF(B2368=$AB$2,$AC$2,$AC$3)</f>
        <v>1</v>
      </c>
      <c r="E2368">
        <f>IF(ISBLANK(C2368),0,VLOOKUP(C2368,$AE$2:$AF$7,2,0))</f>
        <v>0.5</v>
      </c>
      <c r="F2368">
        <f t="shared" si="77"/>
        <v>0.5</v>
      </c>
    </row>
    <row r="2369" spans="1:6">
      <c r="A2369" s="30">
        <f t="shared" si="78"/>
        <v>45459</v>
      </c>
      <c r="B2369" s="32" t="s">
        <v>199</v>
      </c>
      <c r="C2369" t="s">
        <v>207</v>
      </c>
      <c r="D2369">
        <f>IF(B2369=$AB$2,$AC$2,$AC$3)</f>
        <v>1</v>
      </c>
      <c r="E2369">
        <f>IF(ISBLANK(C2369),0,VLOOKUP(C2369,$AE$2:$AF$7,2,0))</f>
        <v>0.5</v>
      </c>
      <c r="F2369">
        <f t="shared" si="77"/>
        <v>0.5</v>
      </c>
    </row>
    <row r="2370" spans="1:6">
      <c r="A2370" s="30">
        <f t="shared" si="78"/>
        <v>45460</v>
      </c>
      <c r="B2370" s="32" t="s">
        <v>199</v>
      </c>
      <c r="C2370" t="s">
        <v>207</v>
      </c>
      <c r="D2370">
        <f>IF(B2370=$AB$2,$AC$2,$AC$3)</f>
        <v>1</v>
      </c>
      <c r="E2370">
        <f>IF(ISBLANK(C2370),0,VLOOKUP(C2370,$AE$2:$AF$7,2,0))</f>
        <v>0.5</v>
      </c>
      <c r="F2370">
        <f t="shared" si="77"/>
        <v>0.5</v>
      </c>
    </row>
    <row r="2371" spans="1:6">
      <c r="A2371" s="30">
        <f t="shared" si="78"/>
        <v>45461</v>
      </c>
      <c r="B2371" s="32" t="s">
        <v>199</v>
      </c>
      <c r="C2371" t="s">
        <v>207</v>
      </c>
      <c r="D2371">
        <f>IF(B2371=$AB$2,$AC$2,$AC$3)</f>
        <v>1</v>
      </c>
      <c r="E2371">
        <f>IF(ISBLANK(C2371),0,VLOOKUP(C2371,$AE$2:$AF$7,2,0))</f>
        <v>0.5</v>
      </c>
      <c r="F2371">
        <f t="shared" ref="F2371:F2434" si="79">D2371*E2371</f>
        <v>0.5</v>
      </c>
    </row>
    <row r="2372" spans="1:6">
      <c r="A2372" s="30">
        <f t="shared" si="78"/>
        <v>45462</v>
      </c>
      <c r="B2372" s="32" t="s">
        <v>199</v>
      </c>
      <c r="C2372" t="s">
        <v>207</v>
      </c>
      <c r="D2372">
        <f>IF(B2372=$AB$2,$AC$2,$AC$3)</f>
        <v>1</v>
      </c>
      <c r="E2372">
        <f>IF(ISBLANK(C2372),0,VLOOKUP(C2372,$AE$2:$AF$7,2,0))</f>
        <v>0.5</v>
      </c>
      <c r="F2372">
        <f t="shared" si="79"/>
        <v>0.5</v>
      </c>
    </row>
    <row r="2373" spans="1:6">
      <c r="A2373" s="30">
        <f t="shared" si="78"/>
        <v>45463</v>
      </c>
      <c r="B2373" s="32" t="s">
        <v>199</v>
      </c>
      <c r="C2373" t="s">
        <v>207</v>
      </c>
      <c r="D2373">
        <f>IF(B2373=$AB$2,$AC$2,$AC$3)</f>
        <v>1</v>
      </c>
      <c r="E2373">
        <f>IF(ISBLANK(C2373),0,VLOOKUP(C2373,$AE$2:$AF$7,2,0))</f>
        <v>0.5</v>
      </c>
      <c r="F2373">
        <f t="shared" si="79"/>
        <v>0.5</v>
      </c>
    </row>
    <row r="2374" spans="1:6">
      <c r="A2374" s="30">
        <f t="shared" si="78"/>
        <v>45464</v>
      </c>
      <c r="B2374" s="32" t="s">
        <v>199</v>
      </c>
      <c r="C2374" t="s">
        <v>207</v>
      </c>
      <c r="D2374">
        <f>IF(B2374=$AB$2,$AC$2,$AC$3)</f>
        <v>1</v>
      </c>
      <c r="E2374">
        <f>IF(ISBLANK(C2374),0,VLOOKUP(C2374,$AE$2:$AF$7,2,0))</f>
        <v>0.5</v>
      </c>
      <c r="F2374">
        <f t="shared" si="79"/>
        <v>0.5</v>
      </c>
    </row>
    <row r="2375" spans="1:6">
      <c r="A2375" s="30">
        <f t="shared" si="78"/>
        <v>45465</v>
      </c>
      <c r="B2375" s="32" t="s">
        <v>199</v>
      </c>
      <c r="C2375" t="s">
        <v>207</v>
      </c>
      <c r="D2375">
        <f>IF(B2375=$AB$2,$AC$2,$AC$3)</f>
        <v>1</v>
      </c>
      <c r="E2375">
        <f>IF(ISBLANK(C2375),0,VLOOKUP(C2375,$AE$2:$AF$7,2,0))</f>
        <v>0.5</v>
      </c>
      <c r="F2375">
        <f t="shared" si="79"/>
        <v>0.5</v>
      </c>
    </row>
    <row r="2376" spans="1:6">
      <c r="A2376" s="30">
        <f t="shared" si="78"/>
        <v>45466</v>
      </c>
      <c r="B2376" s="32" t="s">
        <v>199</v>
      </c>
      <c r="C2376" t="s">
        <v>207</v>
      </c>
      <c r="D2376">
        <f>IF(B2376=$AB$2,$AC$2,$AC$3)</f>
        <v>1</v>
      </c>
      <c r="E2376">
        <f>IF(ISBLANK(C2376),0,VLOOKUP(C2376,$AE$2:$AF$7,2,0))</f>
        <v>0.5</v>
      </c>
      <c r="F2376">
        <f t="shared" si="79"/>
        <v>0.5</v>
      </c>
    </row>
    <row r="2377" spans="1:6">
      <c r="A2377" s="30">
        <f t="shared" si="78"/>
        <v>45467</v>
      </c>
      <c r="B2377" s="32" t="s">
        <v>199</v>
      </c>
      <c r="C2377" t="s">
        <v>207</v>
      </c>
      <c r="D2377">
        <f>IF(B2377=$AB$2,$AC$2,$AC$3)</f>
        <v>1</v>
      </c>
      <c r="E2377">
        <f>IF(ISBLANK(C2377),0,VLOOKUP(C2377,$AE$2:$AF$7,2,0))</f>
        <v>0.5</v>
      </c>
      <c r="F2377">
        <f t="shared" si="79"/>
        <v>0.5</v>
      </c>
    </row>
    <row r="2378" spans="1:6">
      <c r="A2378" s="30">
        <f t="shared" si="78"/>
        <v>45468</v>
      </c>
      <c r="B2378" s="32" t="s">
        <v>199</v>
      </c>
      <c r="C2378" t="s">
        <v>207</v>
      </c>
      <c r="D2378">
        <f>IF(B2378=$AB$2,$AC$2,$AC$3)</f>
        <v>1</v>
      </c>
      <c r="E2378">
        <f>IF(ISBLANK(C2378),0,VLOOKUP(C2378,$AE$2:$AF$7,2,0))</f>
        <v>0.5</v>
      </c>
      <c r="F2378">
        <f t="shared" si="79"/>
        <v>0.5</v>
      </c>
    </row>
    <row r="2379" spans="1:6">
      <c r="A2379" s="30">
        <f t="shared" si="78"/>
        <v>45469</v>
      </c>
      <c r="B2379" s="32" t="s">
        <v>199</v>
      </c>
      <c r="C2379" t="s">
        <v>207</v>
      </c>
      <c r="D2379">
        <f>IF(B2379=$AB$2,$AC$2,$AC$3)</f>
        <v>1</v>
      </c>
      <c r="E2379">
        <f>IF(ISBLANK(C2379),0,VLOOKUP(C2379,$AE$2:$AF$7,2,0))</f>
        <v>0.5</v>
      </c>
      <c r="F2379">
        <f t="shared" si="79"/>
        <v>0.5</v>
      </c>
    </row>
    <row r="2380" spans="1:6">
      <c r="A2380" s="30">
        <f t="shared" si="78"/>
        <v>45470</v>
      </c>
      <c r="B2380" s="32" t="s">
        <v>199</v>
      </c>
      <c r="C2380" t="s">
        <v>207</v>
      </c>
      <c r="D2380">
        <f>IF(B2380=$AB$2,$AC$2,$AC$3)</f>
        <v>1</v>
      </c>
      <c r="E2380">
        <f>IF(ISBLANK(C2380),0,VLOOKUP(C2380,$AE$2:$AF$7,2,0))</f>
        <v>0.5</v>
      </c>
      <c r="F2380">
        <f t="shared" si="79"/>
        <v>0.5</v>
      </c>
    </row>
    <row r="2381" spans="1:6">
      <c r="A2381" s="30">
        <f t="shared" si="78"/>
        <v>45471</v>
      </c>
      <c r="B2381" s="32" t="s">
        <v>199</v>
      </c>
      <c r="C2381" t="s">
        <v>207</v>
      </c>
      <c r="D2381">
        <f>IF(B2381=$AB$2,$AC$2,$AC$3)</f>
        <v>1</v>
      </c>
      <c r="E2381">
        <f>IF(ISBLANK(C2381),0,VLOOKUP(C2381,$AE$2:$AF$7,2,0))</f>
        <v>0.5</v>
      </c>
      <c r="F2381">
        <f t="shared" si="79"/>
        <v>0.5</v>
      </c>
    </row>
    <row r="2382" spans="1:6">
      <c r="A2382" s="30">
        <f t="shared" si="78"/>
        <v>45472</v>
      </c>
      <c r="B2382" s="32" t="s">
        <v>199</v>
      </c>
      <c r="C2382" t="s">
        <v>207</v>
      </c>
      <c r="D2382">
        <f>IF(B2382=$AB$2,$AC$2,$AC$3)</f>
        <v>1</v>
      </c>
      <c r="E2382">
        <f>IF(ISBLANK(C2382),0,VLOOKUP(C2382,$AE$2:$AF$7,2,0))</f>
        <v>0.5</v>
      </c>
      <c r="F2382">
        <f t="shared" si="79"/>
        <v>0.5</v>
      </c>
    </row>
    <row r="2383" spans="1:6">
      <c r="A2383" s="30">
        <f t="shared" si="78"/>
        <v>45473</v>
      </c>
      <c r="B2383" s="32" t="s">
        <v>199</v>
      </c>
      <c r="C2383" t="s">
        <v>207</v>
      </c>
      <c r="D2383">
        <f>IF(B2383=$AB$2,$AC$2,$AC$3)</f>
        <v>1</v>
      </c>
      <c r="E2383">
        <f>IF(ISBLANK(C2383),0,VLOOKUP(C2383,$AE$2:$AF$7,2,0))</f>
        <v>0.5</v>
      </c>
      <c r="F2383">
        <f t="shared" si="79"/>
        <v>0.5</v>
      </c>
    </row>
    <row r="2384" spans="1:6">
      <c r="A2384" s="30">
        <f t="shared" si="78"/>
        <v>45474</v>
      </c>
      <c r="B2384" s="32" t="s">
        <v>199</v>
      </c>
      <c r="C2384" t="s">
        <v>207</v>
      </c>
      <c r="D2384">
        <f>IF(B2384=$AB$2,$AC$2,$AC$3)</f>
        <v>1</v>
      </c>
      <c r="E2384">
        <f>IF(ISBLANK(C2384),0,VLOOKUP(C2384,$AE$2:$AF$7,2,0))</f>
        <v>0.5</v>
      </c>
      <c r="F2384">
        <f t="shared" si="79"/>
        <v>0.5</v>
      </c>
    </row>
    <row r="2385" spans="1:6">
      <c r="A2385" s="30">
        <f t="shared" si="78"/>
        <v>45475</v>
      </c>
      <c r="B2385" s="32" t="s">
        <v>199</v>
      </c>
      <c r="C2385" t="s">
        <v>207</v>
      </c>
      <c r="D2385">
        <f>IF(B2385=$AB$2,$AC$2,$AC$3)</f>
        <v>1</v>
      </c>
      <c r="E2385">
        <f>IF(ISBLANK(C2385),0,VLOOKUP(C2385,$AE$2:$AF$7,2,0))</f>
        <v>0.5</v>
      </c>
      <c r="F2385">
        <f t="shared" si="79"/>
        <v>0.5</v>
      </c>
    </row>
    <row r="2386" spans="1:6">
      <c r="A2386" s="30">
        <f t="shared" si="78"/>
        <v>45476</v>
      </c>
      <c r="B2386" s="32" t="s">
        <v>199</v>
      </c>
      <c r="C2386" t="s">
        <v>207</v>
      </c>
      <c r="D2386">
        <f>IF(B2386=$AB$2,$AC$2,$AC$3)</f>
        <v>1</v>
      </c>
      <c r="E2386">
        <f>IF(ISBLANK(C2386),0,VLOOKUP(C2386,$AE$2:$AF$7,2,0))</f>
        <v>0.5</v>
      </c>
      <c r="F2386">
        <f t="shared" si="79"/>
        <v>0.5</v>
      </c>
    </row>
    <row r="2387" spans="1:6">
      <c r="A2387" s="30">
        <f t="shared" si="78"/>
        <v>45477</v>
      </c>
      <c r="B2387" s="32" t="s">
        <v>199</v>
      </c>
      <c r="C2387" t="s">
        <v>207</v>
      </c>
      <c r="D2387">
        <f>IF(B2387=$AB$2,$AC$2,$AC$3)</f>
        <v>1</v>
      </c>
      <c r="E2387">
        <f>IF(ISBLANK(C2387),0,VLOOKUP(C2387,$AE$2:$AF$7,2,0))</f>
        <v>0.5</v>
      </c>
      <c r="F2387">
        <f t="shared" si="79"/>
        <v>0.5</v>
      </c>
    </row>
    <row r="2388" spans="1:6">
      <c r="A2388" s="30">
        <f t="shared" si="78"/>
        <v>45478</v>
      </c>
      <c r="B2388" s="32" t="s">
        <v>199</v>
      </c>
      <c r="C2388" t="s">
        <v>207</v>
      </c>
      <c r="D2388">
        <f>IF(B2388=$AB$2,$AC$2,$AC$3)</f>
        <v>1</v>
      </c>
      <c r="E2388">
        <f>IF(ISBLANK(C2388),0,VLOOKUP(C2388,$AE$2:$AF$7,2,0))</f>
        <v>0.5</v>
      </c>
      <c r="F2388">
        <f t="shared" si="79"/>
        <v>0.5</v>
      </c>
    </row>
    <row r="2389" spans="1:6">
      <c r="A2389" s="30">
        <f t="shared" si="78"/>
        <v>45479</v>
      </c>
      <c r="B2389" s="32" t="s">
        <v>199</v>
      </c>
      <c r="C2389" t="s">
        <v>207</v>
      </c>
      <c r="D2389">
        <f>IF(B2389=$AB$2,$AC$2,$AC$3)</f>
        <v>1</v>
      </c>
      <c r="E2389">
        <f>IF(ISBLANK(C2389),0,VLOOKUP(C2389,$AE$2:$AF$7,2,0))</f>
        <v>0.5</v>
      </c>
      <c r="F2389">
        <f t="shared" si="79"/>
        <v>0.5</v>
      </c>
    </row>
    <row r="2390" spans="1:6">
      <c r="A2390" s="30">
        <f t="shared" si="78"/>
        <v>45480</v>
      </c>
      <c r="B2390" s="32" t="s">
        <v>199</v>
      </c>
      <c r="C2390" t="s">
        <v>207</v>
      </c>
      <c r="D2390">
        <f>IF(B2390=$AB$2,$AC$2,$AC$3)</f>
        <v>1</v>
      </c>
      <c r="E2390">
        <f>IF(ISBLANK(C2390),0,VLOOKUP(C2390,$AE$2:$AF$7,2,0))</f>
        <v>0.5</v>
      </c>
      <c r="F2390">
        <f t="shared" si="79"/>
        <v>0.5</v>
      </c>
    </row>
    <row r="2391" spans="1:6">
      <c r="A2391" s="30">
        <f t="shared" si="78"/>
        <v>45481</v>
      </c>
      <c r="B2391" s="32" t="s">
        <v>199</v>
      </c>
      <c r="C2391" t="s">
        <v>207</v>
      </c>
      <c r="D2391">
        <f>IF(B2391=$AB$2,$AC$2,$AC$3)</f>
        <v>1</v>
      </c>
      <c r="E2391">
        <f>IF(ISBLANK(C2391),0,VLOOKUP(C2391,$AE$2:$AF$7,2,0))</f>
        <v>0.5</v>
      </c>
      <c r="F2391">
        <f t="shared" si="79"/>
        <v>0.5</v>
      </c>
    </row>
    <row r="2392" spans="1:6">
      <c r="A2392" s="30">
        <f t="shared" si="78"/>
        <v>45482</v>
      </c>
      <c r="B2392" s="32" t="s">
        <v>199</v>
      </c>
      <c r="C2392" t="s">
        <v>207</v>
      </c>
      <c r="D2392">
        <f>IF(B2392=$AB$2,$AC$2,$AC$3)</f>
        <v>1</v>
      </c>
      <c r="E2392">
        <f>IF(ISBLANK(C2392),0,VLOOKUP(C2392,$AE$2:$AF$7,2,0))</f>
        <v>0.5</v>
      </c>
      <c r="F2392">
        <f t="shared" si="79"/>
        <v>0.5</v>
      </c>
    </row>
    <row r="2393" spans="1:6">
      <c r="A2393" s="30">
        <f t="shared" si="78"/>
        <v>45483</v>
      </c>
      <c r="B2393" s="32" t="s">
        <v>199</v>
      </c>
      <c r="C2393" t="s">
        <v>207</v>
      </c>
      <c r="D2393">
        <f>IF(B2393=$AB$2,$AC$2,$AC$3)</f>
        <v>1</v>
      </c>
      <c r="E2393">
        <f>IF(ISBLANK(C2393),0,VLOOKUP(C2393,$AE$2:$AF$7,2,0))</f>
        <v>0.5</v>
      </c>
      <c r="F2393">
        <f t="shared" si="79"/>
        <v>0.5</v>
      </c>
    </row>
    <row r="2394" spans="1:6">
      <c r="A2394" s="30">
        <f t="shared" si="78"/>
        <v>45484</v>
      </c>
      <c r="B2394" s="32" t="s">
        <v>199</v>
      </c>
      <c r="C2394" t="s">
        <v>207</v>
      </c>
      <c r="D2394">
        <f>IF(B2394=$AB$2,$AC$2,$AC$3)</f>
        <v>1</v>
      </c>
      <c r="E2394">
        <f>IF(ISBLANK(C2394),0,VLOOKUP(C2394,$AE$2:$AF$7,2,0))</f>
        <v>0.5</v>
      </c>
      <c r="F2394">
        <f t="shared" si="79"/>
        <v>0.5</v>
      </c>
    </row>
    <row r="2395" spans="1:6">
      <c r="A2395" s="30">
        <f t="shared" si="78"/>
        <v>45485</v>
      </c>
      <c r="B2395" s="32" t="s">
        <v>199</v>
      </c>
      <c r="C2395" t="s">
        <v>207</v>
      </c>
      <c r="D2395">
        <f>IF(B2395=$AB$2,$AC$2,$AC$3)</f>
        <v>1</v>
      </c>
      <c r="E2395">
        <f>IF(ISBLANK(C2395),0,VLOOKUP(C2395,$AE$2:$AF$7,2,0))</f>
        <v>0.5</v>
      </c>
      <c r="F2395">
        <f t="shared" si="79"/>
        <v>0.5</v>
      </c>
    </row>
    <row r="2396" spans="1:6">
      <c r="A2396" s="30">
        <f t="shared" si="78"/>
        <v>45486</v>
      </c>
      <c r="B2396" s="32" t="s">
        <v>199</v>
      </c>
      <c r="C2396" t="s">
        <v>207</v>
      </c>
      <c r="D2396">
        <f>IF(B2396=$AB$2,$AC$2,$AC$3)</f>
        <v>1</v>
      </c>
      <c r="E2396">
        <f>IF(ISBLANK(C2396),0,VLOOKUP(C2396,$AE$2:$AF$7,2,0))</f>
        <v>0.5</v>
      </c>
      <c r="F2396">
        <f t="shared" si="79"/>
        <v>0.5</v>
      </c>
    </row>
    <row r="2397" spans="1:6">
      <c r="A2397" s="30">
        <f>A2396+1</f>
        <v>45487</v>
      </c>
      <c r="B2397" s="32" t="s">
        <v>199</v>
      </c>
      <c r="C2397" t="s">
        <v>207</v>
      </c>
      <c r="D2397">
        <f>IF(B2397=$AB$2,$AC$2,$AC$3)</f>
        <v>1</v>
      </c>
      <c r="E2397">
        <f>IF(ISBLANK(C2397),0,VLOOKUP(C2397,$AE$2:$AF$7,2,0))</f>
        <v>0.5</v>
      </c>
      <c r="F2397">
        <f t="shared" si="79"/>
        <v>0.5</v>
      </c>
    </row>
    <row r="2398" spans="1:6">
      <c r="A2398" s="30">
        <f t="shared" ref="A2398:A2461" si="80">A2397+1</f>
        <v>45488</v>
      </c>
      <c r="B2398" s="32" t="s">
        <v>199</v>
      </c>
      <c r="C2398" t="s">
        <v>207</v>
      </c>
      <c r="D2398">
        <f>IF(B2398=$AB$2,$AC$2,$AC$3)</f>
        <v>1</v>
      </c>
      <c r="E2398">
        <f>IF(ISBLANK(C2398),0,VLOOKUP(C2398,$AE$2:$AF$7,2,0))</f>
        <v>0.5</v>
      </c>
      <c r="F2398">
        <f t="shared" si="79"/>
        <v>0.5</v>
      </c>
    </row>
    <row r="2399" spans="1:6">
      <c r="A2399" s="30">
        <f t="shared" si="80"/>
        <v>45489</v>
      </c>
      <c r="B2399" s="32" t="s">
        <v>199</v>
      </c>
      <c r="C2399" t="s">
        <v>207</v>
      </c>
      <c r="D2399">
        <f>IF(B2399=$AB$2,$AC$2,$AC$3)</f>
        <v>1</v>
      </c>
      <c r="E2399">
        <f>IF(ISBLANK(C2399),0,VLOOKUP(C2399,$AE$2:$AF$7,2,0))</f>
        <v>0.5</v>
      </c>
      <c r="F2399">
        <f t="shared" si="79"/>
        <v>0.5</v>
      </c>
    </row>
    <row r="2400" spans="1:6">
      <c r="A2400" s="30">
        <f t="shared" si="80"/>
        <v>45490</v>
      </c>
      <c r="B2400" s="32" t="s">
        <v>199</v>
      </c>
      <c r="C2400" t="s">
        <v>207</v>
      </c>
      <c r="D2400">
        <f>IF(B2400=$AB$2,$AC$2,$AC$3)</f>
        <v>1</v>
      </c>
      <c r="E2400">
        <f>IF(ISBLANK(C2400),0,VLOOKUP(C2400,$AE$2:$AF$7,2,0))</f>
        <v>0.5</v>
      </c>
      <c r="F2400">
        <f t="shared" si="79"/>
        <v>0.5</v>
      </c>
    </row>
    <row r="2401" spans="1:6">
      <c r="A2401" s="30">
        <f t="shared" si="80"/>
        <v>45491</v>
      </c>
      <c r="B2401" s="32" t="s">
        <v>199</v>
      </c>
      <c r="C2401" t="s">
        <v>207</v>
      </c>
      <c r="D2401">
        <f>IF(B2401=$AB$2,$AC$2,$AC$3)</f>
        <v>1</v>
      </c>
      <c r="E2401">
        <f>IF(ISBLANK(C2401),0,VLOOKUP(C2401,$AE$2:$AF$7,2,0))</f>
        <v>0.5</v>
      </c>
      <c r="F2401">
        <f t="shared" si="79"/>
        <v>0.5</v>
      </c>
    </row>
    <row r="2402" spans="1:6">
      <c r="A2402" s="30">
        <f t="shared" si="80"/>
        <v>45492</v>
      </c>
      <c r="B2402" s="32" t="s">
        <v>199</v>
      </c>
      <c r="C2402" t="s">
        <v>207</v>
      </c>
      <c r="D2402">
        <f>IF(B2402=$AB$2,$AC$2,$AC$3)</f>
        <v>1</v>
      </c>
      <c r="E2402">
        <f>IF(ISBLANK(C2402),0,VLOOKUP(C2402,$AE$2:$AF$7,2,0))</f>
        <v>0.5</v>
      </c>
      <c r="F2402">
        <f t="shared" si="79"/>
        <v>0.5</v>
      </c>
    </row>
    <row r="2403" spans="1:6">
      <c r="A2403" s="30">
        <f t="shared" si="80"/>
        <v>45493</v>
      </c>
      <c r="B2403" s="32" t="s">
        <v>199</v>
      </c>
      <c r="C2403" t="s">
        <v>207</v>
      </c>
      <c r="D2403">
        <f>IF(B2403=$AB$2,$AC$2,$AC$3)</f>
        <v>1</v>
      </c>
      <c r="E2403">
        <f>IF(ISBLANK(C2403),0,VLOOKUP(C2403,$AE$2:$AF$7,2,0))</f>
        <v>0.5</v>
      </c>
      <c r="F2403">
        <f t="shared" si="79"/>
        <v>0.5</v>
      </c>
    </row>
    <row r="2404" spans="1:6">
      <c r="A2404" s="30">
        <f t="shared" si="80"/>
        <v>45494</v>
      </c>
      <c r="B2404" s="32" t="s">
        <v>199</v>
      </c>
      <c r="C2404" t="s">
        <v>207</v>
      </c>
      <c r="D2404">
        <f>IF(B2404=$AB$2,$AC$2,$AC$3)</f>
        <v>1</v>
      </c>
      <c r="E2404">
        <f>IF(ISBLANK(C2404),0,VLOOKUP(C2404,$AE$2:$AF$7,2,0))</f>
        <v>0.5</v>
      </c>
      <c r="F2404">
        <f t="shared" si="79"/>
        <v>0.5</v>
      </c>
    </row>
    <row r="2405" spans="1:6">
      <c r="A2405" s="30">
        <f t="shared" si="80"/>
        <v>45495</v>
      </c>
      <c r="B2405" s="32" t="s">
        <v>199</v>
      </c>
      <c r="C2405" t="s">
        <v>207</v>
      </c>
      <c r="D2405">
        <f>IF(B2405=$AB$2,$AC$2,$AC$3)</f>
        <v>1</v>
      </c>
      <c r="E2405">
        <f>IF(ISBLANK(C2405),0,VLOOKUP(C2405,$AE$2:$AF$7,2,0))</f>
        <v>0.5</v>
      </c>
      <c r="F2405">
        <f t="shared" si="79"/>
        <v>0.5</v>
      </c>
    </row>
    <row r="2406" spans="1:6">
      <c r="A2406" s="30">
        <f t="shared" si="80"/>
        <v>45496</v>
      </c>
      <c r="B2406" s="32" t="s">
        <v>199</v>
      </c>
      <c r="C2406" t="s">
        <v>207</v>
      </c>
      <c r="D2406">
        <f>IF(B2406=$AB$2,$AC$2,$AC$3)</f>
        <v>1</v>
      </c>
      <c r="E2406">
        <f>IF(ISBLANK(C2406),0,VLOOKUP(C2406,$AE$2:$AF$7,2,0))</f>
        <v>0.5</v>
      </c>
      <c r="F2406">
        <f t="shared" si="79"/>
        <v>0.5</v>
      </c>
    </row>
    <row r="2407" spans="1:6">
      <c r="A2407" s="30">
        <f t="shared" si="80"/>
        <v>45497</v>
      </c>
      <c r="B2407" s="32" t="s">
        <v>199</v>
      </c>
      <c r="C2407" t="s">
        <v>207</v>
      </c>
      <c r="D2407">
        <f>IF(B2407=$AB$2,$AC$2,$AC$3)</f>
        <v>1</v>
      </c>
      <c r="E2407">
        <f>IF(ISBLANK(C2407),0,VLOOKUP(C2407,$AE$2:$AF$7,2,0))</f>
        <v>0.5</v>
      </c>
      <c r="F2407">
        <f t="shared" si="79"/>
        <v>0.5</v>
      </c>
    </row>
    <row r="2408" spans="1:6">
      <c r="A2408" s="30">
        <f t="shared" si="80"/>
        <v>45498</v>
      </c>
      <c r="B2408" s="32" t="s">
        <v>199</v>
      </c>
      <c r="C2408" t="s">
        <v>207</v>
      </c>
      <c r="D2408">
        <f>IF(B2408=$AB$2,$AC$2,$AC$3)</f>
        <v>1</v>
      </c>
      <c r="E2408">
        <f>IF(ISBLANK(C2408),0,VLOOKUP(C2408,$AE$2:$AF$7,2,0))</f>
        <v>0.5</v>
      </c>
      <c r="F2408">
        <f t="shared" si="79"/>
        <v>0.5</v>
      </c>
    </row>
    <row r="2409" spans="1:6">
      <c r="A2409" s="30">
        <f t="shared" si="80"/>
        <v>45499</v>
      </c>
      <c r="B2409" s="32" t="s">
        <v>199</v>
      </c>
      <c r="C2409" t="s">
        <v>207</v>
      </c>
      <c r="D2409">
        <f>IF(B2409=$AB$2,$AC$2,$AC$3)</f>
        <v>1</v>
      </c>
      <c r="E2409">
        <f>IF(ISBLANK(C2409),0,VLOOKUP(C2409,$AE$2:$AF$7,2,0))</f>
        <v>0.5</v>
      </c>
      <c r="F2409">
        <f t="shared" si="79"/>
        <v>0.5</v>
      </c>
    </row>
    <row r="2410" spans="1:6">
      <c r="A2410" s="30">
        <f t="shared" si="80"/>
        <v>45500</v>
      </c>
      <c r="B2410" s="32" t="s">
        <v>199</v>
      </c>
      <c r="C2410" t="s">
        <v>207</v>
      </c>
      <c r="D2410">
        <f>IF(B2410=$AB$2,$AC$2,$AC$3)</f>
        <v>1</v>
      </c>
      <c r="E2410">
        <f>IF(ISBLANK(C2410),0,VLOOKUP(C2410,$AE$2:$AF$7,2,0))</f>
        <v>0.5</v>
      </c>
      <c r="F2410">
        <f t="shared" si="79"/>
        <v>0.5</v>
      </c>
    </row>
    <row r="2411" spans="1:6">
      <c r="A2411" s="30">
        <f t="shared" si="80"/>
        <v>45501</v>
      </c>
      <c r="B2411" s="32" t="s">
        <v>199</v>
      </c>
      <c r="C2411" t="s">
        <v>207</v>
      </c>
      <c r="D2411">
        <f>IF(B2411=$AB$2,$AC$2,$AC$3)</f>
        <v>1</v>
      </c>
      <c r="E2411">
        <f>IF(ISBLANK(C2411),0,VLOOKUP(C2411,$AE$2:$AF$7,2,0))</f>
        <v>0.5</v>
      </c>
      <c r="F2411">
        <f t="shared" si="79"/>
        <v>0.5</v>
      </c>
    </row>
    <row r="2412" spans="1:6">
      <c r="A2412" s="30">
        <f t="shared" si="80"/>
        <v>45502</v>
      </c>
      <c r="B2412" s="32" t="s">
        <v>199</v>
      </c>
      <c r="C2412" t="s">
        <v>207</v>
      </c>
      <c r="D2412">
        <f>IF(B2412=$AB$2,$AC$2,$AC$3)</f>
        <v>1</v>
      </c>
      <c r="E2412">
        <f>IF(ISBLANK(C2412),0,VLOOKUP(C2412,$AE$2:$AF$7,2,0))</f>
        <v>0.5</v>
      </c>
      <c r="F2412">
        <f t="shared" si="79"/>
        <v>0.5</v>
      </c>
    </row>
    <row r="2413" spans="1:6">
      <c r="A2413" s="30">
        <f t="shared" si="80"/>
        <v>45503</v>
      </c>
      <c r="B2413" s="32" t="s">
        <v>199</v>
      </c>
      <c r="C2413" t="s">
        <v>207</v>
      </c>
      <c r="D2413">
        <f>IF(B2413=$AB$2,$AC$2,$AC$3)</f>
        <v>1</v>
      </c>
      <c r="E2413">
        <f>IF(ISBLANK(C2413),0,VLOOKUP(C2413,$AE$2:$AF$7,2,0))</f>
        <v>0.5</v>
      </c>
      <c r="F2413">
        <f t="shared" si="79"/>
        <v>0.5</v>
      </c>
    </row>
    <row r="2414" spans="1:6">
      <c r="A2414" s="30">
        <f t="shared" si="80"/>
        <v>45504</v>
      </c>
      <c r="B2414" s="32" t="s">
        <v>199</v>
      </c>
      <c r="C2414" t="s">
        <v>207</v>
      </c>
      <c r="D2414">
        <f>IF(B2414=$AB$2,$AC$2,$AC$3)</f>
        <v>1</v>
      </c>
      <c r="E2414">
        <f>IF(ISBLANK(C2414),0,VLOOKUP(C2414,$AE$2:$AF$7,2,0))</f>
        <v>0.5</v>
      </c>
      <c r="F2414">
        <f t="shared" si="79"/>
        <v>0.5</v>
      </c>
    </row>
    <row r="2415" spans="1:6">
      <c r="A2415" s="30">
        <f t="shared" si="80"/>
        <v>45505</v>
      </c>
      <c r="B2415" s="32" t="s">
        <v>199</v>
      </c>
      <c r="C2415" t="s">
        <v>207</v>
      </c>
      <c r="D2415">
        <f>IF(B2415=$AB$2,$AC$2,$AC$3)</f>
        <v>1</v>
      </c>
      <c r="E2415">
        <f>IF(ISBLANK(C2415),0,VLOOKUP(C2415,$AE$2:$AF$7,2,0))</f>
        <v>0.5</v>
      </c>
      <c r="F2415">
        <f t="shared" si="79"/>
        <v>0.5</v>
      </c>
    </row>
    <row r="2416" spans="1:6">
      <c r="A2416" s="30">
        <f t="shared" si="80"/>
        <v>45506</v>
      </c>
      <c r="B2416" s="32" t="s">
        <v>199</v>
      </c>
      <c r="C2416" t="s">
        <v>207</v>
      </c>
      <c r="D2416">
        <f>IF(B2416=$AB$2,$AC$2,$AC$3)</f>
        <v>1</v>
      </c>
      <c r="E2416">
        <f>IF(ISBLANK(C2416),0,VLOOKUP(C2416,$AE$2:$AF$7,2,0))</f>
        <v>0.5</v>
      </c>
      <c r="F2416">
        <f t="shared" si="79"/>
        <v>0.5</v>
      </c>
    </row>
    <row r="2417" spans="1:6">
      <c r="A2417" s="30">
        <f t="shared" si="80"/>
        <v>45507</v>
      </c>
      <c r="B2417" s="32" t="s">
        <v>199</v>
      </c>
      <c r="C2417" t="s">
        <v>207</v>
      </c>
      <c r="D2417">
        <f>IF(B2417=$AB$2,$AC$2,$AC$3)</f>
        <v>1</v>
      </c>
      <c r="E2417">
        <f>IF(ISBLANK(C2417),0,VLOOKUP(C2417,$AE$2:$AF$7,2,0))</f>
        <v>0.5</v>
      </c>
      <c r="F2417">
        <f t="shared" si="79"/>
        <v>0.5</v>
      </c>
    </row>
    <row r="2418" spans="1:6">
      <c r="A2418" s="30">
        <f t="shared" si="80"/>
        <v>45508</v>
      </c>
      <c r="B2418" s="32" t="s">
        <v>199</v>
      </c>
      <c r="C2418" t="s">
        <v>207</v>
      </c>
      <c r="D2418">
        <f>IF(B2418=$AB$2,$AC$2,$AC$3)</f>
        <v>1</v>
      </c>
      <c r="E2418">
        <f>IF(ISBLANK(C2418),0,VLOOKUP(C2418,$AE$2:$AF$7,2,0))</f>
        <v>0.5</v>
      </c>
      <c r="F2418">
        <f t="shared" si="79"/>
        <v>0.5</v>
      </c>
    </row>
    <row r="2419" spans="1:6">
      <c r="A2419" s="30">
        <f t="shared" si="80"/>
        <v>45509</v>
      </c>
      <c r="B2419" s="32" t="s">
        <v>199</v>
      </c>
      <c r="C2419" t="s">
        <v>207</v>
      </c>
      <c r="D2419">
        <f>IF(B2419=$AB$2,$AC$2,$AC$3)</f>
        <v>1</v>
      </c>
      <c r="E2419">
        <f>IF(ISBLANK(C2419),0,VLOOKUP(C2419,$AE$2:$AF$7,2,0))</f>
        <v>0.5</v>
      </c>
      <c r="F2419">
        <f t="shared" si="79"/>
        <v>0.5</v>
      </c>
    </row>
    <row r="2420" spans="1:6">
      <c r="A2420" s="30">
        <f t="shared" si="80"/>
        <v>45510</v>
      </c>
      <c r="B2420" s="32" t="s">
        <v>199</v>
      </c>
      <c r="C2420" t="s">
        <v>207</v>
      </c>
      <c r="D2420">
        <f>IF(B2420=$AB$2,$AC$2,$AC$3)</f>
        <v>1</v>
      </c>
      <c r="E2420">
        <f>IF(ISBLANK(C2420),0,VLOOKUP(C2420,$AE$2:$AF$7,2,0))</f>
        <v>0.5</v>
      </c>
      <c r="F2420">
        <f t="shared" si="79"/>
        <v>0.5</v>
      </c>
    </row>
    <row r="2421" spans="1:6">
      <c r="A2421" s="30">
        <f t="shared" si="80"/>
        <v>45511</v>
      </c>
      <c r="B2421" s="32" t="s">
        <v>199</v>
      </c>
      <c r="C2421" t="s">
        <v>207</v>
      </c>
      <c r="D2421">
        <f>IF(B2421=$AB$2,$AC$2,$AC$3)</f>
        <v>1</v>
      </c>
      <c r="E2421">
        <f>IF(ISBLANK(C2421),0,VLOOKUP(C2421,$AE$2:$AF$7,2,0))</f>
        <v>0.5</v>
      </c>
      <c r="F2421">
        <f t="shared" si="79"/>
        <v>0.5</v>
      </c>
    </row>
    <row r="2422" spans="1:6">
      <c r="A2422" s="30">
        <f t="shared" si="80"/>
        <v>45512</v>
      </c>
      <c r="B2422" s="32" t="s">
        <v>199</v>
      </c>
      <c r="C2422" t="s">
        <v>207</v>
      </c>
      <c r="D2422">
        <f>IF(B2422=$AB$2,$AC$2,$AC$3)</f>
        <v>1</v>
      </c>
      <c r="E2422">
        <f>IF(ISBLANK(C2422),0,VLOOKUP(C2422,$AE$2:$AF$7,2,0))</f>
        <v>0.5</v>
      </c>
      <c r="F2422">
        <f t="shared" si="79"/>
        <v>0.5</v>
      </c>
    </row>
    <row r="2423" spans="1:6">
      <c r="A2423" s="30">
        <f t="shared" si="80"/>
        <v>45513</v>
      </c>
      <c r="B2423" s="32" t="s">
        <v>199</v>
      </c>
      <c r="C2423" t="s">
        <v>207</v>
      </c>
      <c r="D2423">
        <f>IF(B2423=$AB$2,$AC$2,$AC$3)</f>
        <v>1</v>
      </c>
      <c r="E2423">
        <f>IF(ISBLANK(C2423),0,VLOOKUP(C2423,$AE$2:$AF$7,2,0))</f>
        <v>0.5</v>
      </c>
      <c r="F2423">
        <f t="shared" si="79"/>
        <v>0.5</v>
      </c>
    </row>
    <row r="2424" spans="1:6">
      <c r="A2424" s="30">
        <f t="shared" si="80"/>
        <v>45514</v>
      </c>
      <c r="B2424" s="32" t="s">
        <v>199</v>
      </c>
      <c r="C2424" t="s">
        <v>207</v>
      </c>
      <c r="D2424">
        <f>IF(B2424=$AB$2,$AC$2,$AC$3)</f>
        <v>1</v>
      </c>
      <c r="E2424">
        <f>IF(ISBLANK(C2424),0,VLOOKUP(C2424,$AE$2:$AF$7,2,0))</f>
        <v>0.5</v>
      </c>
      <c r="F2424">
        <f t="shared" si="79"/>
        <v>0.5</v>
      </c>
    </row>
    <row r="2425" spans="1:6">
      <c r="A2425" s="30">
        <f t="shared" si="80"/>
        <v>45515</v>
      </c>
      <c r="B2425" s="32" t="s">
        <v>199</v>
      </c>
      <c r="C2425" t="s">
        <v>207</v>
      </c>
      <c r="D2425">
        <f>IF(B2425=$AB$2,$AC$2,$AC$3)</f>
        <v>1</v>
      </c>
      <c r="E2425">
        <f>IF(ISBLANK(C2425),0,VLOOKUP(C2425,$AE$2:$AF$7,2,0))</f>
        <v>0.5</v>
      </c>
      <c r="F2425">
        <f t="shared" si="79"/>
        <v>0.5</v>
      </c>
    </row>
    <row r="2426" spans="1:6">
      <c r="A2426" s="30">
        <f t="shared" si="80"/>
        <v>45516</v>
      </c>
      <c r="B2426" s="32" t="s">
        <v>199</v>
      </c>
      <c r="C2426" t="s">
        <v>207</v>
      </c>
      <c r="D2426">
        <f>IF(B2426=$AB$2,$AC$2,$AC$3)</f>
        <v>1</v>
      </c>
      <c r="E2426">
        <f>IF(ISBLANK(C2426),0,VLOOKUP(C2426,$AE$2:$AF$7,2,0))</f>
        <v>0.5</v>
      </c>
      <c r="F2426">
        <f t="shared" si="79"/>
        <v>0.5</v>
      </c>
    </row>
    <row r="2427" spans="1:6">
      <c r="A2427" s="30">
        <f t="shared" si="80"/>
        <v>45517</v>
      </c>
      <c r="B2427" s="32" t="s">
        <v>199</v>
      </c>
      <c r="C2427" t="s">
        <v>207</v>
      </c>
      <c r="D2427">
        <f>IF(B2427=$AB$2,$AC$2,$AC$3)</f>
        <v>1</v>
      </c>
      <c r="E2427">
        <f>IF(ISBLANK(C2427),0,VLOOKUP(C2427,$AE$2:$AF$7,2,0))</f>
        <v>0.5</v>
      </c>
      <c r="F2427">
        <f t="shared" si="79"/>
        <v>0.5</v>
      </c>
    </row>
    <row r="2428" spans="1:6">
      <c r="A2428" s="30">
        <f t="shared" si="80"/>
        <v>45518</v>
      </c>
      <c r="B2428" s="32" t="s">
        <v>199</v>
      </c>
      <c r="C2428" t="s">
        <v>207</v>
      </c>
      <c r="D2428">
        <f>IF(B2428=$AB$2,$AC$2,$AC$3)</f>
        <v>1</v>
      </c>
      <c r="E2428">
        <f>IF(ISBLANK(C2428),0,VLOOKUP(C2428,$AE$2:$AF$7,2,0))</f>
        <v>0.5</v>
      </c>
      <c r="F2428">
        <f t="shared" si="79"/>
        <v>0.5</v>
      </c>
    </row>
    <row r="2429" spans="1:6">
      <c r="A2429" s="30">
        <f t="shared" si="80"/>
        <v>45519</v>
      </c>
      <c r="B2429" s="32" t="s">
        <v>199</v>
      </c>
      <c r="C2429" t="s">
        <v>207</v>
      </c>
      <c r="D2429">
        <f>IF(B2429=$AB$2,$AC$2,$AC$3)</f>
        <v>1</v>
      </c>
      <c r="E2429">
        <f>IF(ISBLANK(C2429),0,VLOOKUP(C2429,$AE$2:$AF$7,2,0))</f>
        <v>0.5</v>
      </c>
      <c r="F2429">
        <f t="shared" si="79"/>
        <v>0.5</v>
      </c>
    </row>
    <row r="2430" spans="1:6">
      <c r="A2430" s="30">
        <f t="shared" si="80"/>
        <v>45520</v>
      </c>
      <c r="B2430" s="32" t="s">
        <v>199</v>
      </c>
      <c r="C2430" t="s">
        <v>207</v>
      </c>
      <c r="D2430">
        <f>IF(B2430=$AB$2,$AC$2,$AC$3)</f>
        <v>1</v>
      </c>
      <c r="E2430">
        <f>IF(ISBLANK(C2430),0,VLOOKUP(C2430,$AE$2:$AF$7,2,0))</f>
        <v>0.5</v>
      </c>
      <c r="F2430">
        <f t="shared" si="79"/>
        <v>0.5</v>
      </c>
    </row>
    <row r="2431" spans="1:6">
      <c r="A2431" s="30">
        <f t="shared" si="80"/>
        <v>45521</v>
      </c>
      <c r="B2431" s="32" t="s">
        <v>199</v>
      </c>
      <c r="C2431" t="s">
        <v>207</v>
      </c>
      <c r="D2431">
        <f>IF(B2431=$AB$2,$AC$2,$AC$3)</f>
        <v>1</v>
      </c>
      <c r="E2431">
        <f>IF(ISBLANK(C2431),0,VLOOKUP(C2431,$AE$2:$AF$7,2,0))</f>
        <v>0.5</v>
      </c>
      <c r="F2431">
        <f t="shared" si="79"/>
        <v>0.5</v>
      </c>
    </row>
    <row r="2432" spans="1:6">
      <c r="A2432" s="30">
        <f t="shared" si="80"/>
        <v>45522</v>
      </c>
      <c r="B2432" s="32" t="s">
        <v>199</v>
      </c>
      <c r="C2432" t="s">
        <v>207</v>
      </c>
      <c r="D2432">
        <f>IF(B2432=$AB$2,$AC$2,$AC$3)</f>
        <v>1</v>
      </c>
      <c r="E2432">
        <f>IF(ISBLANK(C2432),0,VLOOKUP(C2432,$AE$2:$AF$7,2,0))</f>
        <v>0.5</v>
      </c>
      <c r="F2432">
        <f t="shared" si="79"/>
        <v>0.5</v>
      </c>
    </row>
    <row r="2433" spans="1:6">
      <c r="A2433" s="30">
        <f t="shared" si="80"/>
        <v>45523</v>
      </c>
      <c r="B2433" s="32" t="s">
        <v>199</v>
      </c>
      <c r="C2433" t="s">
        <v>207</v>
      </c>
      <c r="D2433">
        <f>IF(B2433=$AB$2,$AC$2,$AC$3)</f>
        <v>1</v>
      </c>
      <c r="E2433">
        <f>IF(ISBLANK(C2433),0,VLOOKUP(C2433,$AE$2:$AF$7,2,0))</f>
        <v>0.5</v>
      </c>
      <c r="F2433">
        <f t="shared" si="79"/>
        <v>0.5</v>
      </c>
    </row>
    <row r="2434" spans="1:6">
      <c r="A2434" s="30">
        <f t="shared" si="80"/>
        <v>45524</v>
      </c>
      <c r="B2434" s="32" t="s">
        <v>199</v>
      </c>
      <c r="C2434" t="s">
        <v>207</v>
      </c>
      <c r="D2434">
        <f>IF(B2434=$AB$2,$AC$2,$AC$3)</f>
        <v>1</v>
      </c>
      <c r="E2434">
        <f>IF(ISBLANK(C2434),0,VLOOKUP(C2434,$AE$2:$AF$7,2,0))</f>
        <v>0.5</v>
      </c>
      <c r="F2434">
        <f t="shared" si="79"/>
        <v>0.5</v>
      </c>
    </row>
    <row r="2435" spans="1:6">
      <c r="A2435" s="30">
        <f t="shared" si="80"/>
        <v>45525</v>
      </c>
      <c r="B2435" s="32" t="s">
        <v>199</v>
      </c>
      <c r="C2435" t="s">
        <v>207</v>
      </c>
      <c r="D2435">
        <f>IF(B2435=$AB$2,$AC$2,$AC$3)</f>
        <v>1</v>
      </c>
      <c r="E2435">
        <f>IF(ISBLANK(C2435),0,VLOOKUP(C2435,$AE$2:$AF$7,2,0))</f>
        <v>0.5</v>
      </c>
      <c r="F2435">
        <f t="shared" ref="F2435:F2498" si="81">D2435*E2435</f>
        <v>0.5</v>
      </c>
    </row>
    <row r="2436" spans="1:6">
      <c r="A2436" s="30">
        <f t="shared" si="80"/>
        <v>45526</v>
      </c>
      <c r="B2436" s="32" t="s">
        <v>199</v>
      </c>
      <c r="C2436" t="s">
        <v>207</v>
      </c>
      <c r="D2436">
        <f>IF(B2436=$AB$2,$AC$2,$AC$3)</f>
        <v>1</v>
      </c>
      <c r="E2436">
        <f>IF(ISBLANK(C2436),0,VLOOKUP(C2436,$AE$2:$AF$7,2,0))</f>
        <v>0.5</v>
      </c>
      <c r="F2436">
        <f t="shared" si="81"/>
        <v>0.5</v>
      </c>
    </row>
    <row r="2437" spans="1:6">
      <c r="A2437" s="30">
        <f t="shared" si="80"/>
        <v>45527</v>
      </c>
      <c r="B2437" s="32" t="s">
        <v>199</v>
      </c>
      <c r="C2437" t="s">
        <v>207</v>
      </c>
      <c r="D2437">
        <f>IF(B2437=$AB$2,$AC$2,$AC$3)</f>
        <v>1</v>
      </c>
      <c r="E2437">
        <f>IF(ISBLANK(C2437),0,VLOOKUP(C2437,$AE$2:$AF$7,2,0))</f>
        <v>0.5</v>
      </c>
      <c r="F2437">
        <f t="shared" si="81"/>
        <v>0.5</v>
      </c>
    </row>
    <row r="2438" spans="1:6">
      <c r="A2438" s="30">
        <f t="shared" si="80"/>
        <v>45528</v>
      </c>
      <c r="B2438" s="32" t="s">
        <v>199</v>
      </c>
      <c r="C2438" t="s">
        <v>207</v>
      </c>
      <c r="D2438">
        <f>IF(B2438=$AB$2,$AC$2,$AC$3)</f>
        <v>1</v>
      </c>
      <c r="E2438">
        <f>IF(ISBLANK(C2438),0,VLOOKUP(C2438,$AE$2:$AF$7,2,0))</f>
        <v>0.5</v>
      </c>
      <c r="F2438">
        <f t="shared" si="81"/>
        <v>0.5</v>
      </c>
    </row>
    <row r="2439" spans="1:6">
      <c r="A2439" s="30">
        <f t="shared" si="80"/>
        <v>45529</v>
      </c>
      <c r="B2439" s="32" t="s">
        <v>199</v>
      </c>
      <c r="C2439" t="s">
        <v>207</v>
      </c>
      <c r="D2439">
        <f>IF(B2439=$AB$2,$AC$2,$AC$3)</f>
        <v>1</v>
      </c>
      <c r="E2439">
        <f>IF(ISBLANK(C2439),0,VLOOKUP(C2439,$AE$2:$AF$7,2,0))</f>
        <v>0.5</v>
      </c>
      <c r="F2439">
        <f t="shared" si="81"/>
        <v>0.5</v>
      </c>
    </row>
    <row r="2440" spans="1:6">
      <c r="A2440" s="30">
        <f t="shared" si="80"/>
        <v>45530</v>
      </c>
      <c r="B2440" s="32" t="s">
        <v>199</v>
      </c>
      <c r="C2440" t="s">
        <v>207</v>
      </c>
      <c r="D2440">
        <f>IF(B2440=$AB$2,$AC$2,$AC$3)</f>
        <v>1</v>
      </c>
      <c r="E2440">
        <f>IF(ISBLANK(C2440),0,VLOOKUP(C2440,$AE$2:$AF$7,2,0))</f>
        <v>0.5</v>
      </c>
      <c r="F2440">
        <f t="shared" si="81"/>
        <v>0.5</v>
      </c>
    </row>
    <row r="2441" spans="1:6">
      <c r="A2441" s="30">
        <f t="shared" si="80"/>
        <v>45531</v>
      </c>
      <c r="B2441" s="32" t="s">
        <v>199</v>
      </c>
      <c r="C2441" t="s">
        <v>207</v>
      </c>
      <c r="D2441">
        <f>IF(B2441=$AB$2,$AC$2,$AC$3)</f>
        <v>1</v>
      </c>
      <c r="E2441">
        <f>IF(ISBLANK(C2441),0,VLOOKUP(C2441,$AE$2:$AF$7,2,0))</f>
        <v>0.5</v>
      </c>
      <c r="F2441">
        <f t="shared" si="81"/>
        <v>0.5</v>
      </c>
    </row>
    <row r="2442" spans="1:6">
      <c r="A2442" s="30">
        <f t="shared" si="80"/>
        <v>45532</v>
      </c>
      <c r="B2442" s="32" t="s">
        <v>199</v>
      </c>
      <c r="C2442" t="s">
        <v>207</v>
      </c>
      <c r="D2442">
        <f>IF(B2442=$AB$2,$AC$2,$AC$3)</f>
        <v>1</v>
      </c>
      <c r="E2442">
        <f>IF(ISBLANK(C2442),0,VLOOKUP(C2442,$AE$2:$AF$7,2,0))</f>
        <v>0.5</v>
      </c>
      <c r="F2442">
        <f t="shared" si="81"/>
        <v>0.5</v>
      </c>
    </row>
    <row r="2443" spans="1:6">
      <c r="A2443" s="30">
        <f t="shared" si="80"/>
        <v>45533</v>
      </c>
      <c r="B2443" s="32" t="s">
        <v>199</v>
      </c>
      <c r="C2443" t="s">
        <v>207</v>
      </c>
      <c r="D2443">
        <f>IF(B2443=$AB$2,$AC$2,$AC$3)</f>
        <v>1</v>
      </c>
      <c r="E2443">
        <f>IF(ISBLANK(C2443),0,VLOOKUP(C2443,$AE$2:$AF$7,2,0))</f>
        <v>0.5</v>
      </c>
      <c r="F2443">
        <f t="shared" si="81"/>
        <v>0.5</v>
      </c>
    </row>
    <row r="2444" spans="1:6">
      <c r="A2444" s="30">
        <f t="shared" si="80"/>
        <v>45534</v>
      </c>
      <c r="B2444" s="32" t="s">
        <v>199</v>
      </c>
      <c r="C2444" t="s">
        <v>207</v>
      </c>
      <c r="D2444">
        <f>IF(B2444=$AB$2,$AC$2,$AC$3)</f>
        <v>1</v>
      </c>
      <c r="E2444">
        <f>IF(ISBLANK(C2444),0,VLOOKUP(C2444,$AE$2:$AF$7,2,0))</f>
        <v>0.5</v>
      </c>
      <c r="F2444">
        <f t="shared" si="81"/>
        <v>0.5</v>
      </c>
    </row>
    <row r="2445" spans="1:6">
      <c r="A2445" s="30">
        <f t="shared" si="80"/>
        <v>45535</v>
      </c>
      <c r="B2445" s="32" t="s">
        <v>199</v>
      </c>
      <c r="C2445" t="s">
        <v>207</v>
      </c>
      <c r="D2445">
        <f>IF(B2445=$AB$2,$AC$2,$AC$3)</f>
        <v>1</v>
      </c>
      <c r="E2445">
        <f>IF(ISBLANK(C2445),0,VLOOKUP(C2445,$AE$2:$AF$7,2,0))</f>
        <v>0.5</v>
      </c>
      <c r="F2445">
        <f t="shared" si="81"/>
        <v>0.5</v>
      </c>
    </row>
    <row r="2446" spans="1:6">
      <c r="A2446" s="30">
        <f t="shared" si="80"/>
        <v>45536</v>
      </c>
      <c r="B2446" s="32" t="s">
        <v>199</v>
      </c>
      <c r="C2446" t="s">
        <v>207</v>
      </c>
      <c r="D2446">
        <f>IF(B2446=$AB$2,$AC$2,$AC$3)</f>
        <v>1</v>
      </c>
      <c r="E2446">
        <f>IF(ISBLANK(C2446),0,VLOOKUP(C2446,$AE$2:$AF$7,2,0))</f>
        <v>0.5</v>
      </c>
      <c r="F2446">
        <f t="shared" si="81"/>
        <v>0.5</v>
      </c>
    </row>
    <row r="2447" spans="1:6">
      <c r="A2447" s="30">
        <f t="shared" si="80"/>
        <v>45537</v>
      </c>
      <c r="B2447" s="32" t="s">
        <v>199</v>
      </c>
      <c r="C2447" t="s">
        <v>207</v>
      </c>
      <c r="D2447">
        <f>IF(B2447=$AB$2,$AC$2,$AC$3)</f>
        <v>1</v>
      </c>
      <c r="E2447">
        <f>IF(ISBLANK(C2447),0,VLOOKUP(C2447,$AE$2:$AF$7,2,0))</f>
        <v>0.5</v>
      </c>
      <c r="F2447">
        <f t="shared" si="81"/>
        <v>0.5</v>
      </c>
    </row>
    <row r="2448" spans="1:6">
      <c r="A2448" s="30">
        <f t="shared" si="80"/>
        <v>45538</v>
      </c>
      <c r="B2448" s="32" t="s">
        <v>199</v>
      </c>
      <c r="C2448" t="s">
        <v>207</v>
      </c>
      <c r="D2448">
        <f>IF(B2448=$AB$2,$AC$2,$AC$3)</f>
        <v>1</v>
      </c>
      <c r="E2448">
        <f>IF(ISBLANK(C2448),0,VLOOKUP(C2448,$AE$2:$AF$7,2,0))</f>
        <v>0.5</v>
      </c>
      <c r="F2448">
        <f t="shared" si="81"/>
        <v>0.5</v>
      </c>
    </row>
    <row r="2449" spans="1:6">
      <c r="A2449" s="30">
        <f t="shared" si="80"/>
        <v>45539</v>
      </c>
      <c r="B2449" s="32" t="s">
        <v>199</v>
      </c>
      <c r="C2449" t="s">
        <v>207</v>
      </c>
      <c r="D2449">
        <f>IF(B2449=$AB$2,$AC$2,$AC$3)</f>
        <v>1</v>
      </c>
      <c r="E2449">
        <f>IF(ISBLANK(C2449),0,VLOOKUP(C2449,$AE$2:$AF$7,2,0))</f>
        <v>0.5</v>
      </c>
      <c r="F2449">
        <f t="shared" si="81"/>
        <v>0.5</v>
      </c>
    </row>
    <row r="2450" spans="1:6">
      <c r="A2450" s="30">
        <f t="shared" si="80"/>
        <v>45540</v>
      </c>
      <c r="B2450" s="32" t="s">
        <v>199</v>
      </c>
      <c r="C2450" t="s">
        <v>207</v>
      </c>
      <c r="D2450">
        <f>IF(B2450=$AB$2,$AC$2,$AC$3)</f>
        <v>1</v>
      </c>
      <c r="E2450">
        <f>IF(ISBLANK(C2450),0,VLOOKUP(C2450,$AE$2:$AF$7,2,0))</f>
        <v>0.5</v>
      </c>
      <c r="F2450">
        <f t="shared" si="81"/>
        <v>0.5</v>
      </c>
    </row>
    <row r="2451" spans="1:6">
      <c r="A2451" s="30">
        <f t="shared" si="80"/>
        <v>45541</v>
      </c>
      <c r="B2451" s="32" t="s">
        <v>199</v>
      </c>
      <c r="C2451" t="s">
        <v>207</v>
      </c>
      <c r="D2451">
        <f>IF(B2451=$AB$2,$AC$2,$AC$3)</f>
        <v>1</v>
      </c>
      <c r="E2451">
        <f>IF(ISBLANK(C2451),0,VLOOKUP(C2451,$AE$2:$AF$7,2,0))</f>
        <v>0.5</v>
      </c>
      <c r="F2451">
        <f t="shared" si="81"/>
        <v>0.5</v>
      </c>
    </row>
    <row r="2452" spans="1:6">
      <c r="A2452" s="30">
        <f t="shared" si="80"/>
        <v>45542</v>
      </c>
      <c r="B2452" s="32" t="s">
        <v>199</v>
      </c>
      <c r="C2452" t="s">
        <v>207</v>
      </c>
      <c r="D2452">
        <f>IF(B2452=$AB$2,$AC$2,$AC$3)</f>
        <v>1</v>
      </c>
      <c r="E2452">
        <f>IF(ISBLANK(C2452),0,VLOOKUP(C2452,$AE$2:$AF$7,2,0))</f>
        <v>0.5</v>
      </c>
      <c r="F2452">
        <f t="shared" si="81"/>
        <v>0.5</v>
      </c>
    </row>
    <row r="2453" spans="1:6">
      <c r="A2453" s="30">
        <f t="shared" si="80"/>
        <v>45543</v>
      </c>
      <c r="B2453" s="32" t="s">
        <v>199</v>
      </c>
      <c r="C2453" t="s">
        <v>207</v>
      </c>
      <c r="D2453">
        <f>IF(B2453=$AB$2,$AC$2,$AC$3)</f>
        <v>1</v>
      </c>
      <c r="E2453">
        <f>IF(ISBLANK(C2453),0,VLOOKUP(C2453,$AE$2:$AF$7,2,0))</f>
        <v>0.5</v>
      </c>
      <c r="F2453">
        <f t="shared" si="81"/>
        <v>0.5</v>
      </c>
    </row>
    <row r="2454" spans="1:6">
      <c r="A2454" s="30">
        <f t="shared" si="80"/>
        <v>45544</v>
      </c>
      <c r="B2454" s="32" t="s">
        <v>199</v>
      </c>
      <c r="C2454" t="s">
        <v>207</v>
      </c>
      <c r="D2454">
        <f>IF(B2454=$AB$2,$AC$2,$AC$3)</f>
        <v>1</v>
      </c>
      <c r="E2454">
        <f>IF(ISBLANK(C2454),0,VLOOKUP(C2454,$AE$2:$AF$7,2,0))</f>
        <v>0.5</v>
      </c>
      <c r="F2454">
        <f t="shared" si="81"/>
        <v>0.5</v>
      </c>
    </row>
    <row r="2455" spans="1:6">
      <c r="A2455" s="30">
        <f t="shared" si="80"/>
        <v>45545</v>
      </c>
      <c r="B2455" s="32" t="s">
        <v>199</v>
      </c>
      <c r="C2455" t="s">
        <v>207</v>
      </c>
      <c r="D2455">
        <f>IF(B2455=$AB$2,$AC$2,$AC$3)</f>
        <v>1</v>
      </c>
      <c r="E2455">
        <f>IF(ISBLANK(C2455),0,VLOOKUP(C2455,$AE$2:$AF$7,2,0))</f>
        <v>0.5</v>
      </c>
      <c r="F2455">
        <f t="shared" si="81"/>
        <v>0.5</v>
      </c>
    </row>
    <row r="2456" spans="1:6">
      <c r="A2456" s="30">
        <f t="shared" si="80"/>
        <v>45546</v>
      </c>
      <c r="B2456" s="32" t="s">
        <v>199</v>
      </c>
      <c r="C2456" t="s">
        <v>207</v>
      </c>
      <c r="D2456">
        <f>IF(B2456=$AB$2,$AC$2,$AC$3)</f>
        <v>1</v>
      </c>
      <c r="E2456">
        <f>IF(ISBLANK(C2456),0,VLOOKUP(C2456,$AE$2:$AF$7,2,0))</f>
        <v>0.5</v>
      </c>
      <c r="F2456">
        <f t="shared" si="81"/>
        <v>0.5</v>
      </c>
    </row>
    <row r="2457" spans="1:6">
      <c r="A2457" s="30">
        <f t="shared" si="80"/>
        <v>45547</v>
      </c>
      <c r="B2457" s="32" t="s">
        <v>199</v>
      </c>
      <c r="C2457" t="s">
        <v>207</v>
      </c>
      <c r="D2457">
        <f>IF(B2457=$AB$2,$AC$2,$AC$3)</f>
        <v>1</v>
      </c>
      <c r="E2457">
        <f>IF(ISBLANK(C2457),0,VLOOKUP(C2457,$AE$2:$AF$7,2,0))</f>
        <v>0.5</v>
      </c>
      <c r="F2457">
        <f t="shared" si="81"/>
        <v>0.5</v>
      </c>
    </row>
    <row r="2458" spans="1:6">
      <c r="A2458" s="30">
        <f t="shared" si="80"/>
        <v>45548</v>
      </c>
      <c r="B2458" s="32" t="s">
        <v>199</v>
      </c>
      <c r="C2458" t="s">
        <v>207</v>
      </c>
      <c r="D2458">
        <f>IF(B2458=$AB$2,$AC$2,$AC$3)</f>
        <v>1</v>
      </c>
      <c r="E2458">
        <f>IF(ISBLANK(C2458),0,VLOOKUP(C2458,$AE$2:$AF$7,2,0))</f>
        <v>0.5</v>
      </c>
      <c r="F2458">
        <f t="shared" si="81"/>
        <v>0.5</v>
      </c>
    </row>
    <row r="2459" spans="1:6">
      <c r="A2459" s="30">
        <f t="shared" si="80"/>
        <v>45549</v>
      </c>
      <c r="B2459" s="32" t="s">
        <v>199</v>
      </c>
      <c r="C2459" t="s">
        <v>207</v>
      </c>
      <c r="D2459">
        <f>IF(B2459=$AB$2,$AC$2,$AC$3)</f>
        <v>1</v>
      </c>
      <c r="E2459">
        <f>IF(ISBLANK(C2459),0,VLOOKUP(C2459,$AE$2:$AF$7,2,0))</f>
        <v>0.5</v>
      </c>
      <c r="F2459">
        <f t="shared" si="81"/>
        <v>0.5</v>
      </c>
    </row>
    <row r="2460" spans="1:6">
      <c r="A2460" s="30">
        <f t="shared" si="80"/>
        <v>45550</v>
      </c>
      <c r="B2460" s="32" t="s">
        <v>199</v>
      </c>
      <c r="C2460" t="s">
        <v>207</v>
      </c>
      <c r="D2460">
        <f>IF(B2460=$AB$2,$AC$2,$AC$3)</f>
        <v>1</v>
      </c>
      <c r="E2460">
        <f>IF(ISBLANK(C2460),0,VLOOKUP(C2460,$AE$2:$AF$7,2,0))</f>
        <v>0.5</v>
      </c>
      <c r="F2460">
        <f t="shared" si="81"/>
        <v>0.5</v>
      </c>
    </row>
    <row r="2461" spans="1:6">
      <c r="A2461" s="30">
        <f t="shared" si="80"/>
        <v>45551</v>
      </c>
      <c r="B2461" s="32" t="s">
        <v>199</v>
      </c>
      <c r="C2461" t="s">
        <v>207</v>
      </c>
      <c r="D2461">
        <f>IF(B2461=$AB$2,$AC$2,$AC$3)</f>
        <v>1</v>
      </c>
      <c r="E2461">
        <f>IF(ISBLANK(C2461),0,VLOOKUP(C2461,$AE$2:$AF$7,2,0))</f>
        <v>0.5</v>
      </c>
      <c r="F2461">
        <f t="shared" si="81"/>
        <v>0.5</v>
      </c>
    </row>
    <row r="2462" spans="1:6">
      <c r="A2462" s="30">
        <f t="shared" ref="A2462:A2510" si="82">A2461+1</f>
        <v>45552</v>
      </c>
      <c r="B2462" s="32" t="s">
        <v>199</v>
      </c>
      <c r="C2462" t="s">
        <v>207</v>
      </c>
      <c r="D2462">
        <f>IF(B2462=$AB$2,$AC$2,$AC$3)</f>
        <v>1</v>
      </c>
      <c r="E2462">
        <f>IF(ISBLANK(C2462),0,VLOOKUP(C2462,$AE$2:$AF$7,2,0))</f>
        <v>0.5</v>
      </c>
      <c r="F2462">
        <f t="shared" si="81"/>
        <v>0.5</v>
      </c>
    </row>
    <row r="2463" spans="1:6">
      <c r="A2463" s="30">
        <f t="shared" si="82"/>
        <v>45553</v>
      </c>
      <c r="B2463" s="32" t="s">
        <v>199</v>
      </c>
      <c r="C2463" t="s">
        <v>207</v>
      </c>
      <c r="D2463">
        <f>IF(B2463=$AB$2,$AC$2,$AC$3)</f>
        <v>1</v>
      </c>
      <c r="E2463">
        <f>IF(ISBLANK(C2463),0,VLOOKUP(C2463,$AE$2:$AF$7,2,0))</f>
        <v>0.5</v>
      </c>
      <c r="F2463">
        <f t="shared" si="81"/>
        <v>0.5</v>
      </c>
    </row>
    <row r="2464" spans="1:6">
      <c r="A2464" s="30">
        <f t="shared" si="82"/>
        <v>45554</v>
      </c>
      <c r="B2464" s="32" t="s">
        <v>199</v>
      </c>
      <c r="C2464" t="s">
        <v>207</v>
      </c>
      <c r="D2464">
        <f>IF(B2464=$AB$2,$AC$2,$AC$3)</f>
        <v>1</v>
      </c>
      <c r="E2464">
        <f>IF(ISBLANK(C2464),0,VLOOKUP(C2464,$AE$2:$AF$7,2,0))</f>
        <v>0.5</v>
      </c>
      <c r="F2464">
        <f t="shared" si="81"/>
        <v>0.5</v>
      </c>
    </row>
    <row r="2465" spans="1:6">
      <c r="A2465" s="30">
        <f t="shared" si="82"/>
        <v>45555</v>
      </c>
      <c r="B2465" s="32" t="s">
        <v>199</v>
      </c>
      <c r="C2465" t="s">
        <v>207</v>
      </c>
      <c r="D2465">
        <f>IF(B2465=$AB$2,$AC$2,$AC$3)</f>
        <v>1</v>
      </c>
      <c r="E2465">
        <f>IF(ISBLANK(C2465),0,VLOOKUP(C2465,$AE$2:$AF$7,2,0))</f>
        <v>0.5</v>
      </c>
      <c r="F2465">
        <f t="shared" si="81"/>
        <v>0.5</v>
      </c>
    </row>
    <row r="2466" spans="1:6">
      <c r="A2466" s="30">
        <f t="shared" si="82"/>
        <v>45556</v>
      </c>
      <c r="B2466" s="32" t="s">
        <v>199</v>
      </c>
      <c r="C2466" t="s">
        <v>207</v>
      </c>
      <c r="D2466">
        <f>IF(B2466=$AB$2,$AC$2,$AC$3)</f>
        <v>1</v>
      </c>
      <c r="E2466">
        <f>IF(ISBLANK(C2466),0,VLOOKUP(C2466,$AE$2:$AF$7,2,0))</f>
        <v>0.5</v>
      </c>
      <c r="F2466">
        <f t="shared" si="81"/>
        <v>0.5</v>
      </c>
    </row>
    <row r="2467" spans="1:6">
      <c r="A2467" s="30">
        <f t="shared" si="82"/>
        <v>45557</v>
      </c>
      <c r="B2467" s="32" t="s">
        <v>199</v>
      </c>
      <c r="C2467" t="s">
        <v>207</v>
      </c>
      <c r="D2467">
        <f>IF(B2467=$AB$2,$AC$2,$AC$3)</f>
        <v>1</v>
      </c>
      <c r="E2467">
        <f>IF(ISBLANK(C2467),0,VLOOKUP(C2467,$AE$2:$AF$7,2,0))</f>
        <v>0.5</v>
      </c>
      <c r="F2467">
        <f t="shared" si="81"/>
        <v>0.5</v>
      </c>
    </row>
    <row r="2468" spans="1:6">
      <c r="A2468" s="30">
        <f t="shared" si="82"/>
        <v>45558</v>
      </c>
      <c r="B2468" s="32" t="s">
        <v>199</v>
      </c>
      <c r="C2468" t="s">
        <v>207</v>
      </c>
      <c r="D2468">
        <f>IF(B2468=$AB$2,$AC$2,$AC$3)</f>
        <v>1</v>
      </c>
      <c r="E2468">
        <f>IF(ISBLANK(C2468),0,VLOOKUP(C2468,$AE$2:$AF$7,2,0))</f>
        <v>0.5</v>
      </c>
      <c r="F2468">
        <f t="shared" si="81"/>
        <v>0.5</v>
      </c>
    </row>
    <row r="2469" spans="1:6">
      <c r="A2469" s="30">
        <f t="shared" si="82"/>
        <v>45559</v>
      </c>
      <c r="B2469" s="32" t="s">
        <v>199</v>
      </c>
      <c r="C2469" t="s">
        <v>207</v>
      </c>
      <c r="D2469">
        <f>IF(B2469=$AB$2,$AC$2,$AC$3)</f>
        <v>1</v>
      </c>
      <c r="E2469">
        <f>IF(ISBLANK(C2469),0,VLOOKUP(C2469,$AE$2:$AF$7,2,0))</f>
        <v>0.5</v>
      </c>
      <c r="F2469">
        <f t="shared" si="81"/>
        <v>0.5</v>
      </c>
    </row>
    <row r="2470" spans="1:6">
      <c r="A2470" s="30">
        <f t="shared" si="82"/>
        <v>45560</v>
      </c>
      <c r="B2470" s="32" t="s">
        <v>199</v>
      </c>
      <c r="C2470" t="s">
        <v>207</v>
      </c>
      <c r="D2470">
        <f>IF(B2470=$AB$2,$AC$2,$AC$3)</f>
        <v>1</v>
      </c>
      <c r="E2470">
        <f>IF(ISBLANK(C2470),0,VLOOKUP(C2470,$AE$2:$AF$7,2,0))</f>
        <v>0.5</v>
      </c>
      <c r="F2470">
        <f t="shared" si="81"/>
        <v>0.5</v>
      </c>
    </row>
    <row r="2471" spans="1:6">
      <c r="A2471" s="30">
        <f t="shared" si="82"/>
        <v>45561</v>
      </c>
      <c r="B2471" s="32" t="s">
        <v>199</v>
      </c>
      <c r="C2471" t="s">
        <v>207</v>
      </c>
      <c r="D2471">
        <f>IF(B2471=$AB$2,$AC$2,$AC$3)</f>
        <v>1</v>
      </c>
      <c r="E2471">
        <f>IF(ISBLANK(C2471),0,VLOOKUP(C2471,$AE$2:$AF$7,2,0))</f>
        <v>0.5</v>
      </c>
      <c r="F2471">
        <f t="shared" si="81"/>
        <v>0.5</v>
      </c>
    </row>
    <row r="2472" spans="1:6">
      <c r="A2472" s="30">
        <f t="shared" si="82"/>
        <v>45562</v>
      </c>
      <c r="B2472" s="32" t="s">
        <v>199</v>
      </c>
      <c r="C2472" t="s">
        <v>207</v>
      </c>
      <c r="D2472">
        <f>IF(B2472=$AB$2,$AC$2,$AC$3)</f>
        <v>1</v>
      </c>
      <c r="E2472">
        <f>IF(ISBLANK(C2472),0,VLOOKUP(C2472,$AE$2:$AF$7,2,0))</f>
        <v>0.5</v>
      </c>
      <c r="F2472">
        <f t="shared" si="81"/>
        <v>0.5</v>
      </c>
    </row>
    <row r="2473" spans="1:6">
      <c r="A2473" s="30">
        <f t="shared" si="82"/>
        <v>45563</v>
      </c>
      <c r="B2473" s="32" t="s">
        <v>199</v>
      </c>
      <c r="C2473" t="s">
        <v>207</v>
      </c>
      <c r="D2473">
        <f>IF(B2473=$AB$2,$AC$2,$AC$3)</f>
        <v>1</v>
      </c>
      <c r="E2473">
        <f>IF(ISBLANK(C2473),0,VLOOKUP(C2473,$AE$2:$AF$7,2,0))</f>
        <v>0.5</v>
      </c>
      <c r="F2473">
        <f t="shared" si="81"/>
        <v>0.5</v>
      </c>
    </row>
    <row r="2474" spans="1:6">
      <c r="A2474" s="30">
        <f t="shared" si="82"/>
        <v>45564</v>
      </c>
      <c r="B2474" s="32" t="s">
        <v>199</v>
      </c>
      <c r="C2474" t="s">
        <v>207</v>
      </c>
      <c r="D2474">
        <f>IF(B2474=$AB$2,$AC$2,$AC$3)</f>
        <v>1</v>
      </c>
      <c r="E2474">
        <f>IF(ISBLANK(C2474),0,VLOOKUP(C2474,$AE$2:$AF$7,2,0))</f>
        <v>0.5</v>
      </c>
      <c r="F2474">
        <f t="shared" si="81"/>
        <v>0.5</v>
      </c>
    </row>
    <row r="2475" spans="1:6">
      <c r="A2475" s="30">
        <f t="shared" si="82"/>
        <v>45565</v>
      </c>
      <c r="B2475" s="32" t="s">
        <v>199</v>
      </c>
      <c r="C2475" t="s">
        <v>207</v>
      </c>
      <c r="D2475">
        <f>IF(B2475=$AB$2,$AC$2,$AC$3)</f>
        <v>1</v>
      </c>
      <c r="E2475">
        <f>IF(ISBLANK(C2475),0,VLOOKUP(C2475,$AE$2:$AF$7,2,0))</f>
        <v>0.5</v>
      </c>
      <c r="F2475">
        <f t="shared" si="81"/>
        <v>0.5</v>
      </c>
    </row>
    <row r="2476" spans="1:6">
      <c r="A2476" s="30">
        <f t="shared" si="82"/>
        <v>45566</v>
      </c>
      <c r="B2476" s="32" t="s">
        <v>199</v>
      </c>
      <c r="C2476" t="s">
        <v>207</v>
      </c>
      <c r="D2476">
        <f>IF(B2476=$AB$2,$AC$2,$AC$3)</f>
        <v>1</v>
      </c>
      <c r="E2476">
        <f>IF(ISBLANK(C2476),0,VLOOKUP(C2476,$AE$2:$AF$7,2,0))</f>
        <v>0.5</v>
      </c>
      <c r="F2476">
        <f t="shared" si="81"/>
        <v>0.5</v>
      </c>
    </row>
    <row r="2477" spans="1:6">
      <c r="A2477" s="30">
        <f t="shared" si="82"/>
        <v>45567</v>
      </c>
      <c r="B2477" s="32" t="s">
        <v>199</v>
      </c>
      <c r="C2477" t="s">
        <v>207</v>
      </c>
      <c r="D2477">
        <f>IF(B2477=$AB$2,$AC$2,$AC$3)</f>
        <v>1</v>
      </c>
      <c r="E2477">
        <f>IF(ISBLANK(C2477),0,VLOOKUP(C2477,$AE$2:$AF$7,2,0))</f>
        <v>0.5</v>
      </c>
      <c r="F2477">
        <f t="shared" si="81"/>
        <v>0.5</v>
      </c>
    </row>
    <row r="2478" spans="1:6">
      <c r="A2478" s="30">
        <f t="shared" si="82"/>
        <v>45568</v>
      </c>
      <c r="B2478" s="32" t="s">
        <v>199</v>
      </c>
      <c r="C2478" t="s">
        <v>207</v>
      </c>
      <c r="D2478">
        <f>IF(B2478=$AB$2,$AC$2,$AC$3)</f>
        <v>1</v>
      </c>
      <c r="E2478">
        <f>IF(ISBLANK(C2478),0,VLOOKUP(C2478,$AE$2:$AF$7,2,0))</f>
        <v>0.5</v>
      </c>
      <c r="F2478">
        <f t="shared" si="81"/>
        <v>0.5</v>
      </c>
    </row>
    <row r="2479" spans="1:6">
      <c r="A2479" s="30">
        <f t="shared" si="82"/>
        <v>45569</v>
      </c>
      <c r="B2479" s="32" t="s">
        <v>199</v>
      </c>
      <c r="C2479" t="s">
        <v>207</v>
      </c>
      <c r="D2479">
        <f>IF(B2479=$AB$2,$AC$2,$AC$3)</f>
        <v>1</v>
      </c>
      <c r="E2479">
        <f>IF(ISBLANK(C2479),0,VLOOKUP(C2479,$AE$2:$AF$7,2,0))</f>
        <v>0.5</v>
      </c>
      <c r="F2479">
        <f t="shared" si="81"/>
        <v>0.5</v>
      </c>
    </row>
    <row r="2480" spans="1:6">
      <c r="A2480" s="30">
        <f t="shared" si="82"/>
        <v>45570</v>
      </c>
      <c r="B2480" s="32" t="s">
        <v>199</v>
      </c>
      <c r="C2480" t="s">
        <v>207</v>
      </c>
      <c r="D2480">
        <f>IF(B2480=$AB$2,$AC$2,$AC$3)</f>
        <v>1</v>
      </c>
      <c r="E2480">
        <f>IF(ISBLANK(C2480),0,VLOOKUP(C2480,$AE$2:$AF$7,2,0))</f>
        <v>0.5</v>
      </c>
      <c r="F2480">
        <f t="shared" si="81"/>
        <v>0.5</v>
      </c>
    </row>
    <row r="2481" spans="1:6">
      <c r="A2481" s="30">
        <f t="shared" si="82"/>
        <v>45571</v>
      </c>
      <c r="B2481" s="32" t="s">
        <v>199</v>
      </c>
      <c r="C2481" t="s">
        <v>207</v>
      </c>
      <c r="D2481">
        <f>IF(B2481=$AB$2,$AC$2,$AC$3)</f>
        <v>1</v>
      </c>
      <c r="E2481">
        <f>IF(ISBLANK(C2481),0,VLOOKUP(C2481,$AE$2:$AF$7,2,0))</f>
        <v>0.5</v>
      </c>
      <c r="F2481">
        <f t="shared" si="81"/>
        <v>0.5</v>
      </c>
    </row>
    <row r="2482" spans="1:6">
      <c r="A2482" s="30">
        <f t="shared" si="82"/>
        <v>45572</v>
      </c>
      <c r="B2482" s="32" t="s">
        <v>199</v>
      </c>
      <c r="C2482" t="s">
        <v>207</v>
      </c>
      <c r="D2482">
        <f>IF(B2482=$AB$2,$AC$2,$AC$3)</f>
        <v>1</v>
      </c>
      <c r="E2482">
        <f>IF(ISBLANK(C2482),0,VLOOKUP(C2482,$AE$2:$AF$7,2,0))</f>
        <v>0.5</v>
      </c>
      <c r="F2482">
        <f t="shared" si="81"/>
        <v>0.5</v>
      </c>
    </row>
    <row r="2483" spans="1:6">
      <c r="A2483" s="30">
        <f t="shared" si="82"/>
        <v>45573</v>
      </c>
      <c r="B2483" s="32" t="s">
        <v>199</v>
      </c>
      <c r="C2483" t="s">
        <v>207</v>
      </c>
      <c r="D2483">
        <f>IF(B2483=$AB$2,$AC$2,$AC$3)</f>
        <v>1</v>
      </c>
      <c r="E2483">
        <f>IF(ISBLANK(C2483),0,VLOOKUP(C2483,$AE$2:$AF$7,2,0))</f>
        <v>0.5</v>
      </c>
      <c r="F2483">
        <f t="shared" si="81"/>
        <v>0.5</v>
      </c>
    </row>
    <row r="2484" spans="1:6">
      <c r="A2484" s="30">
        <f t="shared" si="82"/>
        <v>45574</v>
      </c>
      <c r="B2484" s="32" t="s">
        <v>199</v>
      </c>
      <c r="C2484" t="s">
        <v>207</v>
      </c>
      <c r="D2484">
        <f>IF(B2484=$AB$2,$AC$2,$AC$3)</f>
        <v>1</v>
      </c>
      <c r="E2484">
        <f>IF(ISBLANK(C2484),0,VLOOKUP(C2484,$AE$2:$AF$7,2,0))</f>
        <v>0.5</v>
      </c>
      <c r="F2484">
        <f t="shared" si="81"/>
        <v>0.5</v>
      </c>
    </row>
    <row r="2485" spans="1:6">
      <c r="A2485" s="30">
        <f t="shared" si="82"/>
        <v>45575</v>
      </c>
      <c r="B2485" s="32" t="s">
        <v>199</v>
      </c>
      <c r="C2485" t="s">
        <v>207</v>
      </c>
      <c r="D2485">
        <f>IF(B2485=$AB$2,$AC$2,$AC$3)</f>
        <v>1</v>
      </c>
      <c r="E2485">
        <f>IF(ISBLANK(C2485),0,VLOOKUP(C2485,$AE$2:$AF$7,2,0))</f>
        <v>0.5</v>
      </c>
      <c r="F2485">
        <f t="shared" si="81"/>
        <v>0.5</v>
      </c>
    </row>
    <row r="2486" spans="1:6">
      <c r="A2486" s="30">
        <f t="shared" si="82"/>
        <v>45576</v>
      </c>
      <c r="B2486" s="32" t="s">
        <v>199</v>
      </c>
      <c r="C2486" t="s">
        <v>207</v>
      </c>
      <c r="D2486">
        <f>IF(B2486=$AB$2,$AC$2,$AC$3)</f>
        <v>1</v>
      </c>
      <c r="E2486">
        <f>IF(ISBLANK(C2486),0,VLOOKUP(C2486,$AE$2:$AF$7,2,0))</f>
        <v>0.5</v>
      </c>
      <c r="F2486">
        <f t="shared" si="81"/>
        <v>0.5</v>
      </c>
    </row>
    <row r="2487" spans="1:6">
      <c r="A2487" s="30">
        <f t="shared" si="82"/>
        <v>45577</v>
      </c>
      <c r="B2487" s="32" t="s">
        <v>199</v>
      </c>
      <c r="C2487" t="s">
        <v>207</v>
      </c>
      <c r="D2487">
        <f>IF(B2487=$AB$2,$AC$2,$AC$3)</f>
        <v>1</v>
      </c>
      <c r="E2487">
        <f>IF(ISBLANK(C2487),0,VLOOKUP(C2487,$AE$2:$AF$7,2,0))</f>
        <v>0.5</v>
      </c>
      <c r="F2487">
        <f t="shared" si="81"/>
        <v>0.5</v>
      </c>
    </row>
    <row r="2488" spans="1:6">
      <c r="A2488" s="30">
        <f t="shared" si="82"/>
        <v>45578</v>
      </c>
      <c r="B2488" s="32" t="s">
        <v>199</v>
      </c>
      <c r="C2488" t="s">
        <v>207</v>
      </c>
      <c r="D2488">
        <f>IF(B2488=$AB$2,$AC$2,$AC$3)</f>
        <v>1</v>
      </c>
      <c r="E2488">
        <f>IF(ISBLANK(C2488),0,VLOOKUP(C2488,$AE$2:$AF$7,2,0))</f>
        <v>0.5</v>
      </c>
      <c r="F2488">
        <f t="shared" si="81"/>
        <v>0.5</v>
      </c>
    </row>
    <row r="2489" spans="1:6">
      <c r="A2489" s="30">
        <f t="shared" si="82"/>
        <v>45579</v>
      </c>
      <c r="B2489" s="32" t="s">
        <v>199</v>
      </c>
      <c r="C2489" t="s">
        <v>207</v>
      </c>
      <c r="D2489">
        <f>IF(B2489=$AB$2,$AC$2,$AC$3)</f>
        <v>1</v>
      </c>
      <c r="E2489">
        <f>IF(ISBLANK(C2489),0,VLOOKUP(C2489,$AE$2:$AF$7,2,0))</f>
        <v>0.5</v>
      </c>
      <c r="F2489">
        <f t="shared" si="81"/>
        <v>0.5</v>
      </c>
    </row>
    <row r="2490" spans="1:6">
      <c r="A2490" s="30">
        <f t="shared" si="82"/>
        <v>45580</v>
      </c>
      <c r="B2490" s="32" t="s">
        <v>199</v>
      </c>
      <c r="C2490" t="s">
        <v>207</v>
      </c>
      <c r="D2490">
        <f>IF(B2490=$AB$2,$AC$2,$AC$3)</f>
        <v>1</v>
      </c>
      <c r="E2490">
        <f>IF(ISBLANK(C2490),0,VLOOKUP(C2490,$AE$2:$AF$7,2,0))</f>
        <v>0.5</v>
      </c>
      <c r="F2490">
        <f t="shared" si="81"/>
        <v>0.5</v>
      </c>
    </row>
    <row r="2491" spans="1:6">
      <c r="A2491" s="30">
        <f t="shared" si="82"/>
        <v>45581</v>
      </c>
      <c r="B2491" s="32" t="s">
        <v>199</v>
      </c>
      <c r="C2491" t="s">
        <v>207</v>
      </c>
      <c r="D2491">
        <f>IF(B2491=$AB$2,$AC$2,$AC$3)</f>
        <v>1</v>
      </c>
      <c r="E2491">
        <f>IF(ISBLANK(C2491),0,VLOOKUP(C2491,$AE$2:$AF$7,2,0))</f>
        <v>0.5</v>
      </c>
      <c r="F2491">
        <f t="shared" si="81"/>
        <v>0.5</v>
      </c>
    </row>
    <row r="2492" spans="1:6">
      <c r="A2492" s="30">
        <f t="shared" si="82"/>
        <v>45582</v>
      </c>
      <c r="B2492" s="32" t="s">
        <v>199</v>
      </c>
      <c r="C2492" t="s">
        <v>207</v>
      </c>
      <c r="D2492">
        <f>IF(B2492=$AB$2,$AC$2,$AC$3)</f>
        <v>1</v>
      </c>
      <c r="E2492">
        <f>IF(ISBLANK(C2492),0,VLOOKUP(C2492,$AE$2:$AF$7,2,0))</f>
        <v>0.5</v>
      </c>
      <c r="F2492">
        <f t="shared" si="81"/>
        <v>0.5</v>
      </c>
    </row>
    <row r="2493" spans="1:6">
      <c r="A2493" s="30">
        <f t="shared" si="82"/>
        <v>45583</v>
      </c>
      <c r="B2493" s="32" t="s">
        <v>199</v>
      </c>
      <c r="C2493" t="s">
        <v>207</v>
      </c>
      <c r="D2493">
        <f>IF(B2493=$AB$2,$AC$2,$AC$3)</f>
        <v>1</v>
      </c>
      <c r="E2493">
        <f>IF(ISBLANK(C2493),0,VLOOKUP(C2493,$AE$2:$AF$7,2,0))</f>
        <v>0.5</v>
      </c>
      <c r="F2493">
        <f t="shared" si="81"/>
        <v>0.5</v>
      </c>
    </row>
    <row r="2494" spans="1:6">
      <c r="A2494" s="30">
        <f t="shared" si="82"/>
        <v>45584</v>
      </c>
      <c r="B2494" s="32" t="s">
        <v>199</v>
      </c>
      <c r="C2494" t="s">
        <v>207</v>
      </c>
      <c r="D2494">
        <f>IF(B2494=$AB$2,$AC$2,$AC$3)</f>
        <v>1</v>
      </c>
      <c r="E2494">
        <f>IF(ISBLANK(C2494),0,VLOOKUP(C2494,$AE$2:$AF$7,2,0))</f>
        <v>0.5</v>
      </c>
      <c r="F2494">
        <f t="shared" si="81"/>
        <v>0.5</v>
      </c>
    </row>
    <row r="2495" spans="1:6">
      <c r="A2495" s="30">
        <f t="shared" si="82"/>
        <v>45585</v>
      </c>
      <c r="B2495" s="32" t="s">
        <v>199</v>
      </c>
      <c r="C2495" t="s">
        <v>207</v>
      </c>
      <c r="D2495">
        <f>IF(B2495=$AB$2,$AC$2,$AC$3)</f>
        <v>1</v>
      </c>
      <c r="E2495">
        <f>IF(ISBLANK(C2495),0,VLOOKUP(C2495,$AE$2:$AF$7,2,0))</f>
        <v>0.5</v>
      </c>
      <c r="F2495">
        <f t="shared" si="81"/>
        <v>0.5</v>
      </c>
    </row>
    <row r="2496" spans="1:6">
      <c r="A2496" s="30">
        <f t="shared" si="82"/>
        <v>45586</v>
      </c>
      <c r="B2496" s="32" t="s">
        <v>199</v>
      </c>
      <c r="C2496" t="s">
        <v>207</v>
      </c>
      <c r="D2496">
        <f>IF(B2496=$AB$2,$AC$2,$AC$3)</f>
        <v>1</v>
      </c>
      <c r="E2496">
        <f>IF(ISBLANK(C2496),0,VLOOKUP(C2496,$AE$2:$AF$7,2,0))</f>
        <v>0.5</v>
      </c>
      <c r="F2496">
        <f t="shared" si="81"/>
        <v>0.5</v>
      </c>
    </row>
    <row r="2497" spans="1:6">
      <c r="A2497" s="30">
        <f t="shared" si="82"/>
        <v>45587</v>
      </c>
      <c r="B2497" s="32" t="s">
        <v>199</v>
      </c>
      <c r="C2497" t="s">
        <v>207</v>
      </c>
      <c r="D2497">
        <f>IF(B2497=$AB$2,$AC$2,$AC$3)</f>
        <v>1</v>
      </c>
      <c r="E2497">
        <f>IF(ISBLANK(C2497),0,VLOOKUP(C2497,$AE$2:$AF$7,2,0))</f>
        <v>0.5</v>
      </c>
      <c r="F2497">
        <f t="shared" si="81"/>
        <v>0.5</v>
      </c>
    </row>
    <row r="2498" spans="1:6">
      <c r="A2498" s="30">
        <f t="shared" si="82"/>
        <v>45588</v>
      </c>
      <c r="B2498" s="32" t="s">
        <v>199</v>
      </c>
      <c r="C2498" t="s">
        <v>207</v>
      </c>
      <c r="D2498">
        <f>IF(B2498=$AB$2,$AC$2,$AC$3)</f>
        <v>1</v>
      </c>
      <c r="E2498">
        <f>IF(ISBLANK(C2498),0,VLOOKUP(C2498,$AE$2:$AF$7,2,0))</f>
        <v>0.5</v>
      </c>
      <c r="F2498">
        <f t="shared" si="81"/>
        <v>0.5</v>
      </c>
    </row>
    <row r="2499" spans="1:6">
      <c r="A2499" s="30">
        <f t="shared" si="82"/>
        <v>45589</v>
      </c>
      <c r="B2499" s="32" t="s">
        <v>199</v>
      </c>
      <c r="C2499" t="s">
        <v>207</v>
      </c>
      <c r="D2499">
        <f>IF(B2499=$AB$2,$AC$2,$AC$3)</f>
        <v>1</v>
      </c>
      <c r="E2499">
        <f>IF(ISBLANK(C2499),0,VLOOKUP(C2499,$AE$2:$AF$7,2,0))</f>
        <v>0.5</v>
      </c>
      <c r="F2499">
        <f t="shared" ref="F2499:F2562" si="83">D2499*E2499</f>
        <v>0.5</v>
      </c>
    </row>
    <row r="2500" spans="1:6">
      <c r="A2500" s="30">
        <f t="shared" si="82"/>
        <v>45590</v>
      </c>
      <c r="B2500" s="32" t="s">
        <v>199</v>
      </c>
      <c r="C2500" t="s">
        <v>207</v>
      </c>
      <c r="D2500">
        <f>IF(B2500=$AB$2,$AC$2,$AC$3)</f>
        <v>1</v>
      </c>
      <c r="E2500">
        <f>IF(ISBLANK(C2500),0,VLOOKUP(C2500,$AE$2:$AF$7,2,0))</f>
        <v>0.5</v>
      </c>
      <c r="F2500">
        <f t="shared" si="83"/>
        <v>0.5</v>
      </c>
    </row>
    <row r="2501" spans="1:6">
      <c r="A2501" s="30">
        <f t="shared" si="82"/>
        <v>45591</v>
      </c>
      <c r="B2501" s="32" t="s">
        <v>199</v>
      </c>
      <c r="C2501" t="s">
        <v>207</v>
      </c>
      <c r="D2501">
        <f>IF(B2501=$AB$2,$AC$2,$AC$3)</f>
        <v>1</v>
      </c>
      <c r="E2501">
        <f>IF(ISBLANK(C2501),0,VLOOKUP(C2501,$AE$2:$AF$7,2,0))</f>
        <v>0.5</v>
      </c>
      <c r="F2501">
        <f t="shared" si="83"/>
        <v>0.5</v>
      </c>
    </row>
    <row r="2502" spans="1:6">
      <c r="A2502" s="30">
        <f t="shared" si="82"/>
        <v>45592</v>
      </c>
      <c r="B2502" s="32" t="s">
        <v>199</v>
      </c>
      <c r="C2502" t="s">
        <v>207</v>
      </c>
      <c r="D2502">
        <f>IF(B2502=$AB$2,$AC$2,$AC$3)</f>
        <v>1</v>
      </c>
      <c r="E2502">
        <f>IF(ISBLANK(C2502),0,VLOOKUP(C2502,$AE$2:$AF$7,2,0))</f>
        <v>0.5</v>
      </c>
      <c r="F2502">
        <f t="shared" si="83"/>
        <v>0.5</v>
      </c>
    </row>
    <row r="2503" spans="1:6">
      <c r="A2503" s="30">
        <f t="shared" si="82"/>
        <v>45593</v>
      </c>
      <c r="B2503" s="32" t="s">
        <v>199</v>
      </c>
      <c r="C2503" t="s">
        <v>207</v>
      </c>
      <c r="D2503">
        <f>IF(B2503=$AB$2,$AC$2,$AC$3)</f>
        <v>1</v>
      </c>
      <c r="E2503">
        <f>IF(ISBLANK(C2503),0,VLOOKUP(C2503,$AE$2:$AF$7,2,0))</f>
        <v>0.5</v>
      </c>
      <c r="F2503">
        <f t="shared" si="83"/>
        <v>0.5</v>
      </c>
    </row>
    <row r="2504" spans="1:6">
      <c r="A2504" s="30">
        <f t="shared" si="82"/>
        <v>45594</v>
      </c>
      <c r="B2504" s="32" t="s">
        <v>199</v>
      </c>
      <c r="C2504" t="s">
        <v>207</v>
      </c>
      <c r="D2504">
        <f>IF(B2504=$AB$2,$AC$2,$AC$3)</f>
        <v>1</v>
      </c>
      <c r="E2504">
        <f>IF(ISBLANK(C2504),0,VLOOKUP(C2504,$AE$2:$AF$7,2,0))</f>
        <v>0.5</v>
      </c>
      <c r="F2504">
        <f t="shared" si="83"/>
        <v>0.5</v>
      </c>
    </row>
    <row r="2505" spans="1:6">
      <c r="A2505" s="30">
        <f t="shared" si="82"/>
        <v>45595</v>
      </c>
      <c r="B2505" s="32" t="s">
        <v>199</v>
      </c>
      <c r="C2505" t="s">
        <v>207</v>
      </c>
      <c r="D2505">
        <f>IF(B2505=$AB$2,$AC$2,$AC$3)</f>
        <v>1</v>
      </c>
      <c r="E2505">
        <f>IF(ISBLANK(C2505),0,VLOOKUP(C2505,$AE$2:$AF$7,2,0))</f>
        <v>0.5</v>
      </c>
      <c r="F2505">
        <f t="shared" si="83"/>
        <v>0.5</v>
      </c>
    </row>
    <row r="2506" spans="1:6">
      <c r="A2506" s="30">
        <f t="shared" si="82"/>
        <v>45596</v>
      </c>
      <c r="B2506" s="32" t="s">
        <v>199</v>
      </c>
      <c r="C2506" t="s">
        <v>207</v>
      </c>
      <c r="D2506">
        <f>IF(B2506=$AB$2,$AC$2,$AC$3)</f>
        <v>1</v>
      </c>
      <c r="E2506">
        <f>IF(ISBLANK(C2506),0,VLOOKUP(C2506,$AE$2:$AF$7,2,0))</f>
        <v>0.5</v>
      </c>
      <c r="F2506">
        <f t="shared" si="83"/>
        <v>0.5</v>
      </c>
    </row>
    <row r="2507" spans="1:6">
      <c r="A2507" s="30">
        <f t="shared" si="82"/>
        <v>45597</v>
      </c>
      <c r="B2507" s="32" t="s">
        <v>199</v>
      </c>
      <c r="C2507" t="s">
        <v>207</v>
      </c>
      <c r="D2507">
        <f>IF(B2507=$AB$2,$AC$2,$AC$3)</f>
        <v>1</v>
      </c>
      <c r="E2507">
        <f>IF(ISBLANK(C2507),0,VLOOKUP(C2507,$AE$2:$AF$7,2,0))</f>
        <v>0.5</v>
      </c>
      <c r="F2507">
        <f t="shared" si="83"/>
        <v>0.5</v>
      </c>
    </row>
    <row r="2508" spans="1:6">
      <c r="A2508" s="30">
        <f t="shared" si="82"/>
        <v>45598</v>
      </c>
      <c r="B2508" s="32" t="s">
        <v>199</v>
      </c>
      <c r="C2508" t="s">
        <v>207</v>
      </c>
      <c r="D2508">
        <f>IF(B2508=$AB$2,$AC$2,$AC$3)</f>
        <v>1</v>
      </c>
      <c r="E2508">
        <f>IF(ISBLANK(C2508),0,VLOOKUP(C2508,$AE$2:$AF$7,2,0))</f>
        <v>0.5</v>
      </c>
      <c r="F2508">
        <f t="shared" si="83"/>
        <v>0.5</v>
      </c>
    </row>
    <row r="2509" spans="1:6">
      <c r="A2509" s="30">
        <f t="shared" si="82"/>
        <v>45599</v>
      </c>
      <c r="B2509" s="32" t="s">
        <v>199</v>
      </c>
      <c r="C2509" t="s">
        <v>207</v>
      </c>
      <c r="D2509">
        <f>IF(B2509=$AB$2,$AC$2,$AC$3)</f>
        <v>1</v>
      </c>
      <c r="E2509">
        <f>IF(ISBLANK(C2509),0,VLOOKUP(C2509,$AE$2:$AF$7,2,0))</f>
        <v>0.5</v>
      </c>
      <c r="F2509">
        <f t="shared" si="83"/>
        <v>0.5</v>
      </c>
    </row>
    <row r="2510" spans="1:6">
      <c r="A2510" s="30">
        <f t="shared" si="82"/>
        <v>45600</v>
      </c>
      <c r="B2510" s="32" t="s">
        <v>199</v>
      </c>
      <c r="C2510" t="s">
        <v>207</v>
      </c>
      <c r="D2510">
        <f>IF(B2510=$AB$2,$AC$2,$AC$3)</f>
        <v>1</v>
      </c>
      <c r="E2510">
        <f>IF(ISBLANK(C2510),0,VLOOKUP(C2510,$AE$2:$AF$7,2,0))</f>
        <v>0.5</v>
      </c>
      <c r="F2510">
        <f t="shared" si="83"/>
        <v>0.5</v>
      </c>
    </row>
    <row r="2511" spans="1:6">
      <c r="A2511" s="30">
        <f>A2510+1</f>
        <v>45601</v>
      </c>
      <c r="B2511" s="32" t="s">
        <v>199</v>
      </c>
      <c r="C2511" t="s">
        <v>207</v>
      </c>
      <c r="D2511">
        <f>IF(B2511=$AB$2,$AC$2,$AC$3)</f>
        <v>1</v>
      </c>
      <c r="E2511">
        <f>IF(ISBLANK(C2511),0,VLOOKUP(C2511,$AE$2:$AF$7,2,0))</f>
        <v>0.5</v>
      </c>
      <c r="F2511">
        <f t="shared" si="83"/>
        <v>0.5</v>
      </c>
    </row>
    <row r="2512" spans="1:6">
      <c r="A2512" s="30">
        <f t="shared" ref="A2512:A2575" si="84">A2511+1</f>
        <v>45602</v>
      </c>
      <c r="B2512" s="32" t="s">
        <v>199</v>
      </c>
      <c r="C2512" t="s">
        <v>207</v>
      </c>
      <c r="D2512">
        <f>IF(B2512=$AB$2,$AC$2,$AC$3)</f>
        <v>1</v>
      </c>
      <c r="E2512">
        <f>IF(ISBLANK(C2512),0,VLOOKUP(C2512,$AE$2:$AF$7,2,0))</f>
        <v>0.5</v>
      </c>
      <c r="F2512">
        <f t="shared" si="83"/>
        <v>0.5</v>
      </c>
    </row>
    <row r="2513" spans="1:6">
      <c r="A2513" s="30">
        <f t="shared" si="84"/>
        <v>45603</v>
      </c>
      <c r="B2513" s="32" t="s">
        <v>199</v>
      </c>
      <c r="C2513" t="s">
        <v>207</v>
      </c>
      <c r="D2513">
        <f>IF(B2513=$AB$2,$AC$2,$AC$3)</f>
        <v>1</v>
      </c>
      <c r="E2513">
        <f>IF(ISBLANK(C2513),0,VLOOKUP(C2513,$AE$2:$AF$7,2,0))</f>
        <v>0.5</v>
      </c>
      <c r="F2513">
        <f t="shared" si="83"/>
        <v>0.5</v>
      </c>
    </row>
    <row r="2514" spans="1:6">
      <c r="A2514" s="30">
        <f t="shared" si="84"/>
        <v>45604</v>
      </c>
      <c r="B2514" s="32" t="s">
        <v>199</v>
      </c>
      <c r="C2514" t="s">
        <v>207</v>
      </c>
      <c r="D2514">
        <f>IF(B2514=$AB$2,$AC$2,$AC$3)</f>
        <v>1</v>
      </c>
      <c r="E2514">
        <f>IF(ISBLANK(C2514),0,VLOOKUP(C2514,$AE$2:$AF$7,2,0))</f>
        <v>0.5</v>
      </c>
      <c r="F2514">
        <f t="shared" si="83"/>
        <v>0.5</v>
      </c>
    </row>
    <row r="2515" spans="1:6">
      <c r="A2515" s="30">
        <f t="shared" si="84"/>
        <v>45605</v>
      </c>
      <c r="B2515" s="32" t="s">
        <v>199</v>
      </c>
      <c r="C2515" t="s">
        <v>207</v>
      </c>
      <c r="D2515">
        <f>IF(B2515=$AB$2,$AC$2,$AC$3)</f>
        <v>1</v>
      </c>
      <c r="E2515">
        <f>IF(ISBLANK(C2515),0,VLOOKUP(C2515,$AE$2:$AF$7,2,0))</f>
        <v>0.5</v>
      </c>
      <c r="F2515">
        <f t="shared" si="83"/>
        <v>0.5</v>
      </c>
    </row>
    <row r="2516" spans="1:6">
      <c r="A2516" s="30">
        <f t="shared" si="84"/>
        <v>45606</v>
      </c>
      <c r="B2516" s="32" t="s">
        <v>199</v>
      </c>
      <c r="C2516" t="s">
        <v>207</v>
      </c>
      <c r="D2516">
        <f>IF(B2516=$AB$2,$AC$2,$AC$3)</f>
        <v>1</v>
      </c>
      <c r="E2516">
        <f>IF(ISBLANK(C2516),0,VLOOKUP(C2516,$AE$2:$AF$7,2,0))</f>
        <v>0.5</v>
      </c>
      <c r="F2516">
        <f t="shared" si="83"/>
        <v>0.5</v>
      </c>
    </row>
    <row r="2517" spans="1:6">
      <c r="A2517" s="30">
        <f t="shared" si="84"/>
        <v>45607</v>
      </c>
      <c r="B2517" s="32" t="s">
        <v>199</v>
      </c>
      <c r="C2517" t="s">
        <v>207</v>
      </c>
      <c r="D2517">
        <f>IF(B2517=$AB$2,$AC$2,$AC$3)</f>
        <v>1</v>
      </c>
      <c r="E2517">
        <f>IF(ISBLANK(C2517),0,VLOOKUP(C2517,$AE$2:$AF$7,2,0))</f>
        <v>0.5</v>
      </c>
      <c r="F2517">
        <f t="shared" si="83"/>
        <v>0.5</v>
      </c>
    </row>
    <row r="2518" spans="1:6">
      <c r="A2518" s="30">
        <f t="shared" si="84"/>
        <v>45608</v>
      </c>
      <c r="B2518" s="32" t="s">
        <v>199</v>
      </c>
      <c r="C2518" t="s">
        <v>207</v>
      </c>
      <c r="D2518">
        <f>IF(B2518=$AB$2,$AC$2,$AC$3)</f>
        <v>1</v>
      </c>
      <c r="E2518">
        <f>IF(ISBLANK(C2518),0,VLOOKUP(C2518,$AE$2:$AF$7,2,0))</f>
        <v>0.5</v>
      </c>
      <c r="F2518">
        <f t="shared" si="83"/>
        <v>0.5</v>
      </c>
    </row>
    <row r="2519" spans="1:6">
      <c r="A2519" s="30">
        <f t="shared" si="84"/>
        <v>45609</v>
      </c>
      <c r="B2519" s="32" t="s">
        <v>199</v>
      </c>
      <c r="C2519" t="s">
        <v>207</v>
      </c>
      <c r="D2519">
        <f>IF(B2519=$AB$2,$AC$2,$AC$3)</f>
        <v>1</v>
      </c>
      <c r="E2519">
        <f>IF(ISBLANK(C2519),0,VLOOKUP(C2519,$AE$2:$AF$7,2,0))</f>
        <v>0.5</v>
      </c>
      <c r="F2519">
        <f t="shared" si="83"/>
        <v>0.5</v>
      </c>
    </row>
    <row r="2520" spans="1:6">
      <c r="A2520" s="30">
        <f t="shared" si="84"/>
        <v>45610</v>
      </c>
      <c r="B2520" s="32" t="s">
        <v>199</v>
      </c>
      <c r="C2520" t="s">
        <v>207</v>
      </c>
      <c r="D2520">
        <f>IF(B2520=$AB$2,$AC$2,$AC$3)</f>
        <v>1</v>
      </c>
      <c r="E2520">
        <f>IF(ISBLANK(C2520),0,VLOOKUP(C2520,$AE$2:$AF$7,2,0))</f>
        <v>0.5</v>
      </c>
      <c r="F2520">
        <f t="shared" si="83"/>
        <v>0.5</v>
      </c>
    </row>
    <row r="2521" spans="1:6">
      <c r="A2521" s="30">
        <f t="shared" si="84"/>
        <v>45611</v>
      </c>
      <c r="B2521" s="32" t="s">
        <v>199</v>
      </c>
      <c r="C2521" t="s">
        <v>207</v>
      </c>
      <c r="D2521">
        <f>IF(B2521=$AB$2,$AC$2,$AC$3)</f>
        <v>1</v>
      </c>
      <c r="E2521">
        <f>IF(ISBLANK(C2521),0,VLOOKUP(C2521,$AE$2:$AF$7,2,0))</f>
        <v>0.5</v>
      </c>
      <c r="F2521">
        <f t="shared" si="83"/>
        <v>0.5</v>
      </c>
    </row>
    <row r="2522" spans="1:6">
      <c r="A2522" s="30">
        <f t="shared" si="84"/>
        <v>45612</v>
      </c>
      <c r="B2522" s="32" t="s">
        <v>199</v>
      </c>
      <c r="C2522" t="s">
        <v>207</v>
      </c>
      <c r="D2522">
        <f>IF(B2522=$AB$2,$AC$2,$AC$3)</f>
        <v>1</v>
      </c>
      <c r="E2522">
        <f>IF(ISBLANK(C2522),0,VLOOKUP(C2522,$AE$2:$AF$7,2,0))</f>
        <v>0.5</v>
      </c>
      <c r="F2522">
        <f t="shared" si="83"/>
        <v>0.5</v>
      </c>
    </row>
    <row r="2523" spans="1:6">
      <c r="A2523" s="30">
        <f t="shared" si="84"/>
        <v>45613</v>
      </c>
      <c r="B2523" s="32" t="s">
        <v>199</v>
      </c>
      <c r="C2523" t="s">
        <v>207</v>
      </c>
      <c r="D2523">
        <f>IF(B2523=$AB$2,$AC$2,$AC$3)</f>
        <v>1</v>
      </c>
      <c r="E2523">
        <f>IF(ISBLANK(C2523),0,VLOOKUP(C2523,$AE$2:$AF$7,2,0))</f>
        <v>0.5</v>
      </c>
      <c r="F2523">
        <f t="shared" si="83"/>
        <v>0.5</v>
      </c>
    </row>
    <row r="2524" spans="1:6">
      <c r="A2524" s="30">
        <f t="shared" si="84"/>
        <v>45614</v>
      </c>
      <c r="B2524" s="32" t="s">
        <v>199</v>
      </c>
      <c r="C2524" t="s">
        <v>207</v>
      </c>
      <c r="D2524">
        <f>IF(B2524=$AB$2,$AC$2,$AC$3)</f>
        <v>1</v>
      </c>
      <c r="E2524">
        <f>IF(ISBLANK(C2524),0,VLOOKUP(C2524,$AE$2:$AF$7,2,0))</f>
        <v>0.5</v>
      </c>
      <c r="F2524">
        <f t="shared" si="83"/>
        <v>0.5</v>
      </c>
    </row>
    <row r="2525" spans="1:6">
      <c r="A2525" s="30">
        <f t="shared" si="84"/>
        <v>45615</v>
      </c>
      <c r="B2525" s="32" t="s">
        <v>199</v>
      </c>
      <c r="C2525" t="s">
        <v>207</v>
      </c>
      <c r="D2525">
        <f>IF(B2525=$AB$2,$AC$2,$AC$3)</f>
        <v>1</v>
      </c>
      <c r="E2525">
        <f>IF(ISBLANK(C2525),0,VLOOKUP(C2525,$AE$2:$AF$7,2,0))</f>
        <v>0.5</v>
      </c>
      <c r="F2525">
        <f t="shared" si="83"/>
        <v>0.5</v>
      </c>
    </row>
    <row r="2526" spans="1:6">
      <c r="A2526" s="30">
        <f t="shared" si="84"/>
        <v>45616</v>
      </c>
      <c r="B2526" s="32" t="s">
        <v>199</v>
      </c>
      <c r="C2526" t="s">
        <v>207</v>
      </c>
      <c r="D2526">
        <f>IF(B2526=$AB$2,$AC$2,$AC$3)</f>
        <v>1</v>
      </c>
      <c r="E2526">
        <f>IF(ISBLANK(C2526),0,VLOOKUP(C2526,$AE$2:$AF$7,2,0))</f>
        <v>0.5</v>
      </c>
      <c r="F2526">
        <f t="shared" si="83"/>
        <v>0.5</v>
      </c>
    </row>
    <row r="2527" spans="1:6">
      <c r="A2527" s="30">
        <f t="shared" si="84"/>
        <v>45617</v>
      </c>
      <c r="B2527" s="32" t="s">
        <v>199</v>
      </c>
      <c r="C2527" t="s">
        <v>207</v>
      </c>
      <c r="D2527">
        <f>IF(B2527=$AB$2,$AC$2,$AC$3)</f>
        <v>1</v>
      </c>
      <c r="E2527">
        <f>IF(ISBLANK(C2527),0,VLOOKUP(C2527,$AE$2:$AF$7,2,0))</f>
        <v>0.5</v>
      </c>
      <c r="F2527">
        <f t="shared" si="83"/>
        <v>0.5</v>
      </c>
    </row>
    <row r="2528" spans="1:6">
      <c r="A2528" s="30">
        <f t="shared" si="84"/>
        <v>45618</v>
      </c>
      <c r="B2528" s="32" t="s">
        <v>199</v>
      </c>
      <c r="C2528" t="s">
        <v>207</v>
      </c>
      <c r="D2528">
        <f>IF(B2528=$AB$2,$AC$2,$AC$3)</f>
        <v>1</v>
      </c>
      <c r="E2528">
        <f>IF(ISBLANK(C2528),0,VLOOKUP(C2528,$AE$2:$AF$7,2,0))</f>
        <v>0.5</v>
      </c>
      <c r="F2528">
        <f t="shared" si="83"/>
        <v>0.5</v>
      </c>
    </row>
    <row r="2529" spans="1:6">
      <c r="A2529" s="30">
        <f t="shared" si="84"/>
        <v>45619</v>
      </c>
      <c r="B2529" s="32" t="s">
        <v>199</v>
      </c>
      <c r="C2529" t="s">
        <v>207</v>
      </c>
      <c r="D2529">
        <f>IF(B2529=$AB$2,$AC$2,$AC$3)</f>
        <v>1</v>
      </c>
      <c r="E2529">
        <f>IF(ISBLANK(C2529),0,VLOOKUP(C2529,$AE$2:$AF$7,2,0))</f>
        <v>0.5</v>
      </c>
      <c r="F2529">
        <f t="shared" si="83"/>
        <v>0.5</v>
      </c>
    </row>
    <row r="2530" spans="1:6">
      <c r="A2530" s="30">
        <f t="shared" si="84"/>
        <v>45620</v>
      </c>
      <c r="B2530" s="32" t="s">
        <v>199</v>
      </c>
      <c r="C2530" t="s">
        <v>207</v>
      </c>
      <c r="D2530">
        <f>IF(B2530=$AB$2,$AC$2,$AC$3)</f>
        <v>1</v>
      </c>
      <c r="E2530">
        <f>IF(ISBLANK(C2530),0,VLOOKUP(C2530,$AE$2:$AF$7,2,0))</f>
        <v>0.5</v>
      </c>
      <c r="F2530">
        <f t="shared" si="83"/>
        <v>0.5</v>
      </c>
    </row>
    <row r="2531" spans="1:6">
      <c r="A2531" s="30">
        <f t="shared" si="84"/>
        <v>45621</v>
      </c>
      <c r="B2531" s="32" t="s">
        <v>199</v>
      </c>
      <c r="C2531" t="s">
        <v>207</v>
      </c>
      <c r="D2531">
        <f>IF(B2531=$AB$2,$AC$2,$AC$3)</f>
        <v>1</v>
      </c>
      <c r="E2531">
        <f>IF(ISBLANK(C2531),0,VLOOKUP(C2531,$AE$2:$AF$7,2,0))</f>
        <v>0.5</v>
      </c>
      <c r="F2531">
        <f t="shared" si="83"/>
        <v>0.5</v>
      </c>
    </row>
    <row r="2532" spans="1:6">
      <c r="A2532" s="30">
        <f t="shared" si="84"/>
        <v>45622</v>
      </c>
      <c r="B2532" s="32" t="s">
        <v>199</v>
      </c>
      <c r="C2532" t="s">
        <v>207</v>
      </c>
      <c r="D2532">
        <f>IF(B2532=$AB$2,$AC$2,$AC$3)</f>
        <v>1</v>
      </c>
      <c r="E2532">
        <f>IF(ISBLANK(C2532),0,VLOOKUP(C2532,$AE$2:$AF$7,2,0))</f>
        <v>0.5</v>
      </c>
      <c r="F2532">
        <f t="shared" si="83"/>
        <v>0.5</v>
      </c>
    </row>
    <row r="2533" spans="1:6">
      <c r="A2533" s="30">
        <f t="shared" si="84"/>
        <v>45623</v>
      </c>
      <c r="B2533" s="32" t="s">
        <v>199</v>
      </c>
      <c r="C2533" t="s">
        <v>207</v>
      </c>
      <c r="D2533">
        <f>IF(B2533=$AB$2,$AC$2,$AC$3)</f>
        <v>1</v>
      </c>
      <c r="E2533">
        <f>IF(ISBLANK(C2533),0,VLOOKUP(C2533,$AE$2:$AF$7,2,0))</f>
        <v>0.5</v>
      </c>
      <c r="F2533">
        <f t="shared" si="83"/>
        <v>0.5</v>
      </c>
    </row>
    <row r="2534" spans="1:6">
      <c r="A2534" s="30">
        <f t="shared" si="84"/>
        <v>45624</v>
      </c>
      <c r="B2534" s="32" t="s">
        <v>199</v>
      </c>
      <c r="C2534" t="s">
        <v>207</v>
      </c>
      <c r="D2534">
        <f>IF(B2534=$AB$2,$AC$2,$AC$3)</f>
        <v>1</v>
      </c>
      <c r="E2534">
        <f>IF(ISBLANK(C2534),0,VLOOKUP(C2534,$AE$2:$AF$7,2,0))</f>
        <v>0.5</v>
      </c>
      <c r="F2534">
        <f t="shared" si="83"/>
        <v>0.5</v>
      </c>
    </row>
    <row r="2535" spans="1:6">
      <c r="A2535" s="30">
        <f t="shared" si="84"/>
        <v>45625</v>
      </c>
      <c r="B2535" s="32" t="s">
        <v>199</v>
      </c>
      <c r="C2535" t="s">
        <v>207</v>
      </c>
      <c r="D2535">
        <f>IF(B2535=$AB$2,$AC$2,$AC$3)</f>
        <v>1</v>
      </c>
      <c r="E2535">
        <f>IF(ISBLANK(C2535),0,VLOOKUP(C2535,$AE$2:$AF$7,2,0))</f>
        <v>0.5</v>
      </c>
      <c r="F2535">
        <f t="shared" si="83"/>
        <v>0.5</v>
      </c>
    </row>
    <row r="2536" spans="1:6">
      <c r="A2536" s="30">
        <f t="shared" si="84"/>
        <v>45626</v>
      </c>
      <c r="B2536" s="32" t="s">
        <v>199</v>
      </c>
      <c r="C2536" t="s">
        <v>207</v>
      </c>
      <c r="D2536">
        <f>IF(B2536=$AB$2,$AC$2,$AC$3)</f>
        <v>1</v>
      </c>
      <c r="E2536">
        <f>IF(ISBLANK(C2536),0,VLOOKUP(C2536,$AE$2:$AF$7,2,0))</f>
        <v>0.5</v>
      </c>
      <c r="F2536">
        <f t="shared" si="83"/>
        <v>0.5</v>
      </c>
    </row>
    <row r="2537" spans="1:6">
      <c r="A2537" s="30">
        <f t="shared" si="84"/>
        <v>45627</v>
      </c>
      <c r="B2537" s="32" t="s">
        <v>199</v>
      </c>
      <c r="C2537" t="s">
        <v>207</v>
      </c>
      <c r="D2537">
        <f>IF(B2537=$AB$2,$AC$2,$AC$3)</f>
        <v>1</v>
      </c>
      <c r="E2537">
        <f>IF(ISBLANK(C2537),0,VLOOKUP(C2537,$AE$2:$AF$7,2,0))</f>
        <v>0.5</v>
      </c>
      <c r="F2537">
        <f t="shared" si="83"/>
        <v>0.5</v>
      </c>
    </row>
    <row r="2538" spans="1:6">
      <c r="A2538" s="30">
        <f t="shared" si="84"/>
        <v>45628</v>
      </c>
      <c r="B2538" s="32" t="s">
        <v>199</v>
      </c>
      <c r="C2538" t="s">
        <v>207</v>
      </c>
      <c r="D2538">
        <f>IF(B2538=$AB$2,$AC$2,$AC$3)</f>
        <v>1</v>
      </c>
      <c r="E2538">
        <f>IF(ISBLANK(C2538),0,VLOOKUP(C2538,$AE$2:$AF$7,2,0))</f>
        <v>0.5</v>
      </c>
      <c r="F2538">
        <f t="shared" si="83"/>
        <v>0.5</v>
      </c>
    </row>
    <row r="2539" spans="1:6">
      <c r="A2539" s="30">
        <f t="shared" si="84"/>
        <v>45629</v>
      </c>
      <c r="B2539" s="32" t="s">
        <v>199</v>
      </c>
      <c r="C2539" t="s">
        <v>207</v>
      </c>
      <c r="D2539">
        <f>IF(B2539=$AB$2,$AC$2,$AC$3)</f>
        <v>1</v>
      </c>
      <c r="E2539">
        <f>IF(ISBLANK(C2539),0,VLOOKUP(C2539,$AE$2:$AF$7,2,0))</f>
        <v>0.5</v>
      </c>
      <c r="F2539">
        <f t="shared" si="83"/>
        <v>0.5</v>
      </c>
    </row>
    <row r="2540" spans="1:6">
      <c r="A2540" s="30">
        <f t="shared" si="84"/>
        <v>45630</v>
      </c>
      <c r="B2540" s="32" t="s">
        <v>199</v>
      </c>
      <c r="C2540" t="s">
        <v>207</v>
      </c>
      <c r="D2540">
        <f>IF(B2540=$AB$2,$AC$2,$AC$3)</f>
        <v>1</v>
      </c>
      <c r="E2540">
        <f>IF(ISBLANK(C2540),0,VLOOKUP(C2540,$AE$2:$AF$7,2,0))</f>
        <v>0.5</v>
      </c>
      <c r="F2540">
        <f t="shared" si="83"/>
        <v>0.5</v>
      </c>
    </row>
    <row r="2541" spans="1:6">
      <c r="A2541" s="30">
        <f t="shared" si="84"/>
        <v>45631</v>
      </c>
      <c r="B2541" s="32" t="s">
        <v>199</v>
      </c>
      <c r="C2541" t="s">
        <v>207</v>
      </c>
      <c r="D2541">
        <f>IF(B2541=$AB$2,$AC$2,$AC$3)</f>
        <v>1</v>
      </c>
      <c r="E2541">
        <f>IF(ISBLANK(C2541),0,VLOOKUP(C2541,$AE$2:$AF$7,2,0))</f>
        <v>0.5</v>
      </c>
      <c r="F2541">
        <f t="shared" si="83"/>
        <v>0.5</v>
      </c>
    </row>
    <row r="2542" spans="1:6">
      <c r="A2542" s="30">
        <f t="shared" si="84"/>
        <v>45632</v>
      </c>
      <c r="B2542" s="32" t="s">
        <v>199</v>
      </c>
      <c r="C2542" t="s">
        <v>207</v>
      </c>
      <c r="D2542">
        <f>IF(B2542=$AB$2,$AC$2,$AC$3)</f>
        <v>1</v>
      </c>
      <c r="E2542">
        <f>IF(ISBLANK(C2542),0,VLOOKUP(C2542,$AE$2:$AF$7,2,0))</f>
        <v>0.5</v>
      </c>
      <c r="F2542">
        <f t="shared" si="83"/>
        <v>0.5</v>
      </c>
    </row>
    <row r="2543" spans="1:6">
      <c r="A2543" s="30">
        <f t="shared" si="84"/>
        <v>45633</v>
      </c>
      <c r="B2543" s="32" t="s">
        <v>199</v>
      </c>
      <c r="C2543" t="s">
        <v>207</v>
      </c>
      <c r="D2543">
        <f>IF(B2543=$AB$2,$AC$2,$AC$3)</f>
        <v>1</v>
      </c>
      <c r="E2543">
        <f>IF(ISBLANK(C2543),0,VLOOKUP(C2543,$AE$2:$AF$7,2,0))</f>
        <v>0.5</v>
      </c>
      <c r="F2543">
        <f t="shared" si="83"/>
        <v>0.5</v>
      </c>
    </row>
    <row r="2544" spans="1:6">
      <c r="A2544" s="30">
        <f t="shared" si="84"/>
        <v>45634</v>
      </c>
      <c r="B2544" s="32" t="s">
        <v>199</v>
      </c>
      <c r="C2544" t="s">
        <v>207</v>
      </c>
      <c r="D2544">
        <f>IF(B2544=$AB$2,$AC$2,$AC$3)</f>
        <v>1</v>
      </c>
      <c r="E2544">
        <f>IF(ISBLANK(C2544),0,VLOOKUP(C2544,$AE$2:$AF$7,2,0))</f>
        <v>0.5</v>
      </c>
      <c r="F2544">
        <f t="shared" si="83"/>
        <v>0.5</v>
      </c>
    </row>
    <row r="2545" spans="1:6">
      <c r="A2545" s="30">
        <f t="shared" si="84"/>
        <v>45635</v>
      </c>
      <c r="B2545" s="32" t="s">
        <v>199</v>
      </c>
      <c r="C2545" t="s">
        <v>207</v>
      </c>
      <c r="D2545">
        <f>IF(B2545=$AB$2,$AC$2,$AC$3)</f>
        <v>1</v>
      </c>
      <c r="E2545">
        <f>IF(ISBLANK(C2545),0,VLOOKUP(C2545,$AE$2:$AF$7,2,0))</f>
        <v>0.5</v>
      </c>
      <c r="F2545">
        <f t="shared" si="83"/>
        <v>0.5</v>
      </c>
    </row>
    <row r="2546" spans="1:6">
      <c r="A2546" s="30">
        <f t="shared" si="84"/>
        <v>45636</v>
      </c>
      <c r="B2546" s="32" t="s">
        <v>199</v>
      </c>
      <c r="C2546" t="s">
        <v>207</v>
      </c>
      <c r="D2546">
        <f>IF(B2546=$AB$2,$AC$2,$AC$3)</f>
        <v>1</v>
      </c>
      <c r="E2546">
        <f>IF(ISBLANK(C2546),0,VLOOKUP(C2546,$AE$2:$AF$7,2,0))</f>
        <v>0.5</v>
      </c>
      <c r="F2546">
        <f t="shared" si="83"/>
        <v>0.5</v>
      </c>
    </row>
    <row r="2547" spans="1:6">
      <c r="A2547" s="30">
        <f t="shared" si="84"/>
        <v>45637</v>
      </c>
      <c r="B2547" s="32" t="s">
        <v>199</v>
      </c>
      <c r="C2547" t="s">
        <v>207</v>
      </c>
      <c r="D2547">
        <f>IF(B2547=$AB$2,$AC$2,$AC$3)</f>
        <v>1</v>
      </c>
      <c r="E2547">
        <f>IF(ISBLANK(C2547),0,VLOOKUP(C2547,$AE$2:$AF$7,2,0))</f>
        <v>0.5</v>
      </c>
      <c r="F2547">
        <f t="shared" si="83"/>
        <v>0.5</v>
      </c>
    </row>
    <row r="2548" spans="1:6">
      <c r="A2548" s="30">
        <f t="shared" si="84"/>
        <v>45638</v>
      </c>
      <c r="B2548" s="32" t="s">
        <v>199</v>
      </c>
      <c r="C2548" t="s">
        <v>207</v>
      </c>
      <c r="D2548">
        <f>IF(B2548=$AB$2,$AC$2,$AC$3)</f>
        <v>1</v>
      </c>
      <c r="E2548">
        <f>IF(ISBLANK(C2548),0,VLOOKUP(C2548,$AE$2:$AF$7,2,0))</f>
        <v>0.5</v>
      </c>
      <c r="F2548">
        <f t="shared" si="83"/>
        <v>0.5</v>
      </c>
    </row>
    <row r="2549" spans="1:6">
      <c r="A2549" s="30">
        <f t="shared" si="84"/>
        <v>45639</v>
      </c>
      <c r="B2549" s="32" t="s">
        <v>199</v>
      </c>
      <c r="C2549" t="s">
        <v>207</v>
      </c>
      <c r="D2549">
        <f>IF(B2549=$AB$2,$AC$2,$AC$3)</f>
        <v>1</v>
      </c>
      <c r="E2549">
        <f>IF(ISBLANK(C2549),0,VLOOKUP(C2549,$AE$2:$AF$7,2,0))</f>
        <v>0.5</v>
      </c>
      <c r="F2549">
        <f t="shared" si="83"/>
        <v>0.5</v>
      </c>
    </row>
    <row r="2550" spans="1:6">
      <c r="A2550" s="30">
        <f t="shared" si="84"/>
        <v>45640</v>
      </c>
      <c r="B2550" s="32" t="s">
        <v>199</v>
      </c>
      <c r="C2550" t="s">
        <v>207</v>
      </c>
      <c r="D2550">
        <f>IF(B2550=$AB$2,$AC$2,$AC$3)</f>
        <v>1</v>
      </c>
      <c r="E2550">
        <f>IF(ISBLANK(C2550),0,VLOOKUP(C2550,$AE$2:$AF$7,2,0))</f>
        <v>0.5</v>
      </c>
      <c r="F2550">
        <f t="shared" si="83"/>
        <v>0.5</v>
      </c>
    </row>
    <row r="2551" spans="1:6">
      <c r="A2551" s="30">
        <f t="shared" si="84"/>
        <v>45641</v>
      </c>
      <c r="B2551" s="32" t="s">
        <v>199</v>
      </c>
      <c r="C2551" t="s">
        <v>207</v>
      </c>
      <c r="D2551">
        <f>IF(B2551=$AB$2,$AC$2,$AC$3)</f>
        <v>1</v>
      </c>
      <c r="E2551">
        <f>IF(ISBLANK(C2551),0,VLOOKUP(C2551,$AE$2:$AF$7,2,0))</f>
        <v>0.5</v>
      </c>
      <c r="F2551">
        <f t="shared" si="83"/>
        <v>0.5</v>
      </c>
    </row>
    <row r="2552" spans="1:6">
      <c r="A2552" s="30">
        <f t="shared" si="84"/>
        <v>45642</v>
      </c>
      <c r="B2552" s="32" t="s">
        <v>199</v>
      </c>
      <c r="C2552" t="s">
        <v>207</v>
      </c>
      <c r="D2552">
        <f>IF(B2552=$AB$2,$AC$2,$AC$3)</f>
        <v>1</v>
      </c>
      <c r="E2552">
        <f>IF(ISBLANK(C2552),0,VLOOKUP(C2552,$AE$2:$AF$7,2,0))</f>
        <v>0.5</v>
      </c>
      <c r="F2552">
        <f t="shared" si="83"/>
        <v>0.5</v>
      </c>
    </row>
    <row r="2553" spans="1:6">
      <c r="A2553" s="30">
        <f t="shared" si="84"/>
        <v>45643</v>
      </c>
      <c r="B2553" s="32" t="s">
        <v>199</v>
      </c>
      <c r="C2553" t="s">
        <v>207</v>
      </c>
      <c r="D2553">
        <f>IF(B2553=$AB$2,$AC$2,$AC$3)</f>
        <v>1</v>
      </c>
      <c r="E2553">
        <f>IF(ISBLANK(C2553),0,VLOOKUP(C2553,$AE$2:$AF$7,2,0))</f>
        <v>0.5</v>
      </c>
      <c r="F2553">
        <f t="shared" si="83"/>
        <v>0.5</v>
      </c>
    </row>
    <row r="2554" spans="1:6">
      <c r="A2554" s="30">
        <f t="shared" si="84"/>
        <v>45644</v>
      </c>
      <c r="B2554" s="32" t="s">
        <v>199</v>
      </c>
      <c r="C2554" t="s">
        <v>207</v>
      </c>
      <c r="D2554">
        <f>IF(B2554=$AB$2,$AC$2,$AC$3)</f>
        <v>1</v>
      </c>
      <c r="E2554">
        <f>IF(ISBLANK(C2554),0,VLOOKUP(C2554,$AE$2:$AF$7,2,0))</f>
        <v>0.5</v>
      </c>
      <c r="F2554">
        <f t="shared" si="83"/>
        <v>0.5</v>
      </c>
    </row>
    <row r="2555" spans="1:6">
      <c r="A2555" s="30">
        <f t="shared" si="84"/>
        <v>45645</v>
      </c>
      <c r="B2555" s="32" t="s">
        <v>199</v>
      </c>
      <c r="C2555" t="s">
        <v>207</v>
      </c>
      <c r="D2555">
        <f>IF(B2555=$AB$2,$AC$2,$AC$3)</f>
        <v>1</v>
      </c>
      <c r="E2555">
        <f>IF(ISBLANK(C2555),0,VLOOKUP(C2555,$AE$2:$AF$7,2,0))</f>
        <v>0.5</v>
      </c>
      <c r="F2555">
        <f t="shared" si="83"/>
        <v>0.5</v>
      </c>
    </row>
    <row r="2556" spans="1:6">
      <c r="A2556" s="30">
        <f t="shared" si="84"/>
        <v>45646</v>
      </c>
      <c r="B2556" s="32" t="s">
        <v>199</v>
      </c>
      <c r="C2556" t="s">
        <v>207</v>
      </c>
      <c r="D2556">
        <f>IF(B2556=$AB$2,$AC$2,$AC$3)</f>
        <v>1</v>
      </c>
      <c r="E2556">
        <f>IF(ISBLANK(C2556),0,VLOOKUP(C2556,$AE$2:$AF$7,2,0))</f>
        <v>0.5</v>
      </c>
      <c r="F2556">
        <f t="shared" si="83"/>
        <v>0.5</v>
      </c>
    </row>
    <row r="2557" spans="1:6">
      <c r="A2557" s="30">
        <f t="shared" si="84"/>
        <v>45647</v>
      </c>
      <c r="B2557" s="32" t="s">
        <v>199</v>
      </c>
      <c r="C2557" t="s">
        <v>207</v>
      </c>
      <c r="D2557">
        <f>IF(B2557=$AB$2,$AC$2,$AC$3)</f>
        <v>1</v>
      </c>
      <c r="E2557">
        <f>IF(ISBLANK(C2557),0,VLOOKUP(C2557,$AE$2:$AF$7,2,0))</f>
        <v>0.5</v>
      </c>
      <c r="F2557">
        <f t="shared" si="83"/>
        <v>0.5</v>
      </c>
    </row>
    <row r="2558" spans="1:6">
      <c r="A2558" s="30">
        <f t="shared" si="84"/>
        <v>45648</v>
      </c>
      <c r="B2558" s="32" t="s">
        <v>199</v>
      </c>
      <c r="C2558" t="s">
        <v>207</v>
      </c>
      <c r="D2558">
        <f>IF(B2558=$AB$2,$AC$2,$AC$3)</f>
        <v>1</v>
      </c>
      <c r="E2558">
        <f>IF(ISBLANK(C2558),0,VLOOKUP(C2558,$AE$2:$AF$7,2,0))</f>
        <v>0.5</v>
      </c>
      <c r="F2558">
        <f t="shared" si="83"/>
        <v>0.5</v>
      </c>
    </row>
    <row r="2559" spans="1:6">
      <c r="A2559" s="30">
        <f t="shared" si="84"/>
        <v>45649</v>
      </c>
      <c r="B2559" s="32" t="s">
        <v>199</v>
      </c>
      <c r="C2559" t="s">
        <v>207</v>
      </c>
      <c r="D2559">
        <f>IF(B2559=$AB$2,$AC$2,$AC$3)</f>
        <v>1</v>
      </c>
      <c r="E2559">
        <f>IF(ISBLANK(C2559),0,VLOOKUP(C2559,$AE$2:$AF$7,2,0))</f>
        <v>0.5</v>
      </c>
      <c r="F2559">
        <f t="shared" si="83"/>
        <v>0.5</v>
      </c>
    </row>
    <row r="2560" spans="1:6">
      <c r="A2560" s="30">
        <f t="shared" si="84"/>
        <v>45650</v>
      </c>
      <c r="B2560" s="32" t="s">
        <v>199</v>
      </c>
      <c r="C2560" t="s">
        <v>207</v>
      </c>
      <c r="D2560">
        <f>IF(B2560=$AB$2,$AC$2,$AC$3)</f>
        <v>1</v>
      </c>
      <c r="E2560">
        <f>IF(ISBLANK(C2560),0,VLOOKUP(C2560,$AE$2:$AF$7,2,0))</f>
        <v>0.5</v>
      </c>
      <c r="F2560">
        <f t="shared" si="83"/>
        <v>0.5</v>
      </c>
    </row>
    <row r="2561" spans="1:6">
      <c r="A2561" s="30">
        <f t="shared" si="84"/>
        <v>45651</v>
      </c>
      <c r="B2561" s="32" t="s">
        <v>199</v>
      </c>
      <c r="C2561" t="s">
        <v>207</v>
      </c>
      <c r="D2561">
        <f>IF(B2561=$AB$2,$AC$2,$AC$3)</f>
        <v>1</v>
      </c>
      <c r="E2561">
        <f>IF(ISBLANK(C2561),0,VLOOKUP(C2561,$AE$2:$AF$7,2,0))</f>
        <v>0.5</v>
      </c>
      <c r="F2561">
        <f t="shared" si="83"/>
        <v>0.5</v>
      </c>
    </row>
    <row r="2562" spans="1:6">
      <c r="A2562" s="30">
        <f t="shared" si="84"/>
        <v>45652</v>
      </c>
      <c r="B2562" s="32" t="s">
        <v>199</v>
      </c>
      <c r="C2562" t="s">
        <v>207</v>
      </c>
      <c r="D2562">
        <f>IF(B2562=$AB$2,$AC$2,$AC$3)</f>
        <v>1</v>
      </c>
      <c r="E2562">
        <f>IF(ISBLANK(C2562),0,VLOOKUP(C2562,$AE$2:$AF$7,2,0))</f>
        <v>0.5</v>
      </c>
      <c r="F2562">
        <f t="shared" si="83"/>
        <v>0.5</v>
      </c>
    </row>
    <row r="2563" spans="1:6">
      <c r="A2563" s="30">
        <f t="shared" si="84"/>
        <v>45653</v>
      </c>
      <c r="B2563" s="32" t="s">
        <v>199</v>
      </c>
      <c r="C2563" t="s">
        <v>207</v>
      </c>
      <c r="D2563">
        <f>IF(B2563=$AB$2,$AC$2,$AC$3)</f>
        <v>1</v>
      </c>
      <c r="E2563">
        <f>IF(ISBLANK(C2563),0,VLOOKUP(C2563,$AE$2:$AF$7,2,0))</f>
        <v>0.5</v>
      </c>
      <c r="F2563">
        <f t="shared" ref="F2563:F2626" si="85">D2563*E2563</f>
        <v>0.5</v>
      </c>
    </row>
    <row r="2564" spans="1:6">
      <c r="A2564" s="30">
        <f t="shared" si="84"/>
        <v>45654</v>
      </c>
      <c r="B2564" s="32" t="s">
        <v>199</v>
      </c>
      <c r="C2564" t="s">
        <v>207</v>
      </c>
      <c r="D2564">
        <f>IF(B2564=$AB$2,$AC$2,$AC$3)</f>
        <v>1</v>
      </c>
      <c r="E2564">
        <f>IF(ISBLANK(C2564),0,VLOOKUP(C2564,$AE$2:$AF$7,2,0))</f>
        <v>0.5</v>
      </c>
      <c r="F2564">
        <f t="shared" si="85"/>
        <v>0.5</v>
      </c>
    </row>
    <row r="2565" spans="1:6">
      <c r="A2565" s="30">
        <f t="shared" si="84"/>
        <v>45655</v>
      </c>
      <c r="B2565" s="32" t="s">
        <v>199</v>
      </c>
      <c r="C2565" t="s">
        <v>207</v>
      </c>
      <c r="D2565">
        <f>IF(B2565=$AB$2,$AC$2,$AC$3)</f>
        <v>1</v>
      </c>
      <c r="E2565">
        <f>IF(ISBLANK(C2565),0,VLOOKUP(C2565,$AE$2:$AF$7,2,0))</f>
        <v>0.5</v>
      </c>
      <c r="F2565">
        <f t="shared" si="85"/>
        <v>0.5</v>
      </c>
    </row>
    <row r="2566" spans="1:6">
      <c r="A2566" s="30">
        <f t="shared" si="84"/>
        <v>45656</v>
      </c>
      <c r="B2566" s="32" t="s">
        <v>199</v>
      </c>
      <c r="C2566" t="s">
        <v>207</v>
      </c>
      <c r="D2566">
        <f>IF(B2566=$AB$2,$AC$2,$AC$3)</f>
        <v>1</v>
      </c>
      <c r="E2566">
        <f>IF(ISBLANK(C2566),0,VLOOKUP(C2566,$AE$2:$AF$7,2,0))</f>
        <v>0.5</v>
      </c>
      <c r="F2566">
        <f t="shared" si="85"/>
        <v>0.5</v>
      </c>
    </row>
    <row r="2567" spans="1:6">
      <c r="A2567" s="30">
        <f t="shared" si="84"/>
        <v>45657</v>
      </c>
      <c r="B2567" s="32" t="s">
        <v>199</v>
      </c>
      <c r="C2567" t="s">
        <v>207</v>
      </c>
      <c r="D2567">
        <f>IF(B2567=$AB$2,$AC$2,$AC$3)</f>
        <v>1</v>
      </c>
      <c r="E2567">
        <f>IF(ISBLANK(C2567),0,VLOOKUP(C2567,$AE$2:$AF$7,2,0))</f>
        <v>0.5</v>
      </c>
      <c r="F2567">
        <f t="shared" si="85"/>
        <v>0.5</v>
      </c>
    </row>
    <row r="2568" spans="1:6">
      <c r="A2568" s="30">
        <f t="shared" si="84"/>
        <v>45658</v>
      </c>
      <c r="B2568" s="32" t="s">
        <v>199</v>
      </c>
      <c r="C2568" t="s">
        <v>207</v>
      </c>
      <c r="D2568">
        <f>IF(B2568=$AB$2,$AC$2,$AC$3)</f>
        <v>1</v>
      </c>
      <c r="E2568">
        <f>IF(ISBLANK(C2568),0,VLOOKUP(C2568,$AE$2:$AF$7,2,0))</f>
        <v>0.5</v>
      </c>
      <c r="F2568">
        <f t="shared" si="85"/>
        <v>0.5</v>
      </c>
    </row>
    <row r="2569" spans="1:6">
      <c r="A2569" s="30">
        <f t="shared" si="84"/>
        <v>45659</v>
      </c>
      <c r="B2569" s="32" t="s">
        <v>199</v>
      </c>
      <c r="C2569" t="s">
        <v>207</v>
      </c>
      <c r="D2569">
        <f>IF(B2569=$AB$2,$AC$2,$AC$3)</f>
        <v>1</v>
      </c>
      <c r="E2569">
        <f>IF(ISBLANK(C2569),0,VLOOKUP(C2569,$AE$2:$AF$7,2,0))</f>
        <v>0.5</v>
      </c>
      <c r="F2569">
        <f t="shared" si="85"/>
        <v>0.5</v>
      </c>
    </row>
    <row r="2570" spans="1:6">
      <c r="A2570" s="30">
        <f t="shared" si="84"/>
        <v>45660</v>
      </c>
      <c r="B2570" s="32" t="s">
        <v>199</v>
      </c>
      <c r="C2570" t="s">
        <v>207</v>
      </c>
      <c r="D2570">
        <f>IF(B2570=$AB$2,$AC$2,$AC$3)</f>
        <v>1</v>
      </c>
      <c r="E2570">
        <f>IF(ISBLANK(C2570),0,VLOOKUP(C2570,$AE$2:$AF$7,2,0))</f>
        <v>0.5</v>
      </c>
      <c r="F2570">
        <f t="shared" si="85"/>
        <v>0.5</v>
      </c>
    </row>
    <row r="2571" spans="1:6">
      <c r="A2571" s="30">
        <f t="shared" si="84"/>
        <v>45661</v>
      </c>
      <c r="B2571" s="32" t="s">
        <v>199</v>
      </c>
      <c r="C2571" t="s">
        <v>207</v>
      </c>
      <c r="D2571">
        <f>IF(B2571=$AB$2,$AC$2,$AC$3)</f>
        <v>1</v>
      </c>
      <c r="E2571">
        <f>IF(ISBLANK(C2571),0,VLOOKUP(C2571,$AE$2:$AF$7,2,0))</f>
        <v>0.5</v>
      </c>
      <c r="F2571">
        <f t="shared" si="85"/>
        <v>0.5</v>
      </c>
    </row>
    <row r="2572" spans="1:6">
      <c r="A2572" s="30">
        <f t="shared" si="84"/>
        <v>45662</v>
      </c>
      <c r="B2572" s="32" t="s">
        <v>199</v>
      </c>
      <c r="C2572" t="s">
        <v>207</v>
      </c>
      <c r="D2572">
        <f>IF(B2572=$AB$2,$AC$2,$AC$3)</f>
        <v>1</v>
      </c>
      <c r="E2572">
        <f>IF(ISBLANK(C2572),0,VLOOKUP(C2572,$AE$2:$AF$7,2,0))</f>
        <v>0.5</v>
      </c>
      <c r="F2572">
        <f t="shared" si="85"/>
        <v>0.5</v>
      </c>
    </row>
    <row r="2573" spans="1:6">
      <c r="A2573" s="30">
        <f t="shared" si="84"/>
        <v>45663</v>
      </c>
      <c r="B2573" s="32" t="s">
        <v>199</v>
      </c>
      <c r="C2573" t="s">
        <v>207</v>
      </c>
      <c r="D2573">
        <f>IF(B2573=$AB$2,$AC$2,$AC$3)</f>
        <v>1</v>
      </c>
      <c r="E2573">
        <f>IF(ISBLANK(C2573),0,VLOOKUP(C2573,$AE$2:$AF$7,2,0))</f>
        <v>0.5</v>
      </c>
      <c r="F2573">
        <f t="shared" si="85"/>
        <v>0.5</v>
      </c>
    </row>
    <row r="2574" spans="1:6">
      <c r="A2574" s="30">
        <f t="shared" si="84"/>
        <v>45664</v>
      </c>
      <c r="B2574" s="32" t="s">
        <v>199</v>
      </c>
      <c r="C2574" t="s">
        <v>207</v>
      </c>
      <c r="D2574">
        <f>IF(B2574=$AB$2,$AC$2,$AC$3)</f>
        <v>1</v>
      </c>
      <c r="E2574">
        <f>IF(ISBLANK(C2574),0,VLOOKUP(C2574,$AE$2:$AF$7,2,0))</f>
        <v>0.5</v>
      </c>
      <c r="F2574">
        <f t="shared" si="85"/>
        <v>0.5</v>
      </c>
    </row>
    <row r="2575" spans="1:6">
      <c r="A2575" s="30">
        <f t="shared" si="84"/>
        <v>45665</v>
      </c>
      <c r="B2575" s="32" t="s">
        <v>199</v>
      </c>
      <c r="C2575" t="s">
        <v>207</v>
      </c>
      <c r="D2575">
        <f>IF(B2575=$AB$2,$AC$2,$AC$3)</f>
        <v>1</v>
      </c>
      <c r="E2575">
        <f>IF(ISBLANK(C2575),0,VLOOKUP(C2575,$AE$2:$AF$7,2,0))</f>
        <v>0.5</v>
      </c>
      <c r="F2575">
        <f t="shared" si="85"/>
        <v>0.5</v>
      </c>
    </row>
    <row r="2576" spans="1:6">
      <c r="A2576" s="30">
        <f t="shared" ref="A2576:A2624" si="86">A2575+1</f>
        <v>45666</v>
      </c>
      <c r="B2576" s="32" t="s">
        <v>199</v>
      </c>
      <c r="C2576" t="s">
        <v>207</v>
      </c>
      <c r="D2576">
        <f>IF(B2576=$AB$2,$AC$2,$AC$3)</f>
        <v>1</v>
      </c>
      <c r="E2576">
        <f>IF(ISBLANK(C2576),0,VLOOKUP(C2576,$AE$2:$AF$7,2,0))</f>
        <v>0.5</v>
      </c>
      <c r="F2576">
        <f t="shared" si="85"/>
        <v>0.5</v>
      </c>
    </row>
    <row r="2577" spans="1:6">
      <c r="A2577" s="30">
        <f t="shared" si="86"/>
        <v>45667</v>
      </c>
      <c r="B2577" s="32" t="s">
        <v>199</v>
      </c>
      <c r="C2577" t="s">
        <v>207</v>
      </c>
      <c r="D2577">
        <f>IF(B2577=$AB$2,$AC$2,$AC$3)</f>
        <v>1</v>
      </c>
      <c r="E2577">
        <f>IF(ISBLANK(C2577),0,VLOOKUP(C2577,$AE$2:$AF$7,2,0))</f>
        <v>0.5</v>
      </c>
      <c r="F2577">
        <f t="shared" si="85"/>
        <v>0.5</v>
      </c>
    </row>
    <row r="2578" spans="1:6">
      <c r="A2578" s="30">
        <f t="shared" si="86"/>
        <v>45668</v>
      </c>
      <c r="B2578" s="32" t="s">
        <v>199</v>
      </c>
      <c r="C2578" t="s">
        <v>207</v>
      </c>
      <c r="D2578">
        <f>IF(B2578=$AB$2,$AC$2,$AC$3)</f>
        <v>1</v>
      </c>
      <c r="E2578">
        <f>IF(ISBLANK(C2578),0,VLOOKUP(C2578,$AE$2:$AF$7,2,0))</f>
        <v>0.5</v>
      </c>
      <c r="F2578">
        <f t="shared" si="85"/>
        <v>0.5</v>
      </c>
    </row>
    <row r="2579" spans="1:6">
      <c r="A2579" s="30">
        <f t="shared" si="86"/>
        <v>45669</v>
      </c>
      <c r="B2579" s="32" t="s">
        <v>199</v>
      </c>
      <c r="C2579" t="s">
        <v>207</v>
      </c>
      <c r="D2579">
        <f>IF(B2579=$AB$2,$AC$2,$AC$3)</f>
        <v>1</v>
      </c>
      <c r="E2579">
        <f>IF(ISBLANK(C2579),0,VLOOKUP(C2579,$AE$2:$AF$7,2,0))</f>
        <v>0.5</v>
      </c>
      <c r="F2579">
        <f t="shared" si="85"/>
        <v>0.5</v>
      </c>
    </row>
    <row r="2580" spans="1:6">
      <c r="A2580" s="30">
        <f t="shared" si="86"/>
        <v>45670</v>
      </c>
      <c r="B2580" s="32" t="s">
        <v>199</v>
      </c>
      <c r="C2580" t="s">
        <v>207</v>
      </c>
      <c r="D2580">
        <f>IF(B2580=$AB$2,$AC$2,$AC$3)</f>
        <v>1</v>
      </c>
      <c r="E2580">
        <f>IF(ISBLANK(C2580),0,VLOOKUP(C2580,$AE$2:$AF$7,2,0))</f>
        <v>0.5</v>
      </c>
      <c r="F2580">
        <f t="shared" si="85"/>
        <v>0.5</v>
      </c>
    </row>
    <row r="2581" spans="1:6">
      <c r="A2581" s="30">
        <f t="shared" si="86"/>
        <v>45671</v>
      </c>
      <c r="B2581" s="32" t="s">
        <v>199</v>
      </c>
      <c r="C2581" t="s">
        <v>207</v>
      </c>
      <c r="D2581">
        <f>IF(B2581=$AB$2,$AC$2,$AC$3)</f>
        <v>1</v>
      </c>
      <c r="E2581">
        <f>IF(ISBLANK(C2581),0,VLOOKUP(C2581,$AE$2:$AF$7,2,0))</f>
        <v>0.5</v>
      </c>
      <c r="F2581">
        <f t="shared" si="85"/>
        <v>0.5</v>
      </c>
    </row>
    <row r="2582" spans="1:6">
      <c r="A2582" s="30">
        <f t="shared" si="86"/>
        <v>45672</v>
      </c>
      <c r="B2582" s="32" t="s">
        <v>199</v>
      </c>
      <c r="C2582" t="s">
        <v>207</v>
      </c>
      <c r="D2582">
        <f>IF(B2582=$AB$2,$AC$2,$AC$3)</f>
        <v>1</v>
      </c>
      <c r="E2582">
        <f>IF(ISBLANK(C2582),0,VLOOKUP(C2582,$AE$2:$AF$7,2,0))</f>
        <v>0.5</v>
      </c>
      <c r="F2582">
        <f t="shared" si="85"/>
        <v>0.5</v>
      </c>
    </row>
    <row r="2583" spans="1:6">
      <c r="A2583" s="30">
        <f t="shared" si="86"/>
        <v>45673</v>
      </c>
      <c r="B2583" s="32" t="s">
        <v>199</v>
      </c>
      <c r="C2583" t="s">
        <v>207</v>
      </c>
      <c r="D2583">
        <f>IF(B2583=$AB$2,$AC$2,$AC$3)</f>
        <v>1</v>
      </c>
      <c r="E2583">
        <f>IF(ISBLANK(C2583),0,VLOOKUP(C2583,$AE$2:$AF$7,2,0))</f>
        <v>0.5</v>
      </c>
      <c r="F2583">
        <f t="shared" si="85"/>
        <v>0.5</v>
      </c>
    </row>
    <row r="2584" spans="1:6">
      <c r="A2584" s="30">
        <f t="shared" si="86"/>
        <v>45674</v>
      </c>
      <c r="B2584" s="32" t="s">
        <v>199</v>
      </c>
      <c r="C2584" t="s">
        <v>207</v>
      </c>
      <c r="D2584">
        <f>IF(B2584=$AB$2,$AC$2,$AC$3)</f>
        <v>1</v>
      </c>
      <c r="E2584">
        <f>IF(ISBLANK(C2584),0,VLOOKUP(C2584,$AE$2:$AF$7,2,0))</f>
        <v>0.5</v>
      </c>
      <c r="F2584">
        <f t="shared" si="85"/>
        <v>0.5</v>
      </c>
    </row>
    <row r="2585" spans="1:6">
      <c r="A2585" s="30">
        <f t="shared" si="86"/>
        <v>45675</v>
      </c>
      <c r="B2585" s="32" t="s">
        <v>199</v>
      </c>
      <c r="C2585" t="s">
        <v>207</v>
      </c>
      <c r="D2585">
        <f>IF(B2585=$AB$2,$AC$2,$AC$3)</f>
        <v>1</v>
      </c>
      <c r="E2585">
        <f>IF(ISBLANK(C2585),0,VLOOKUP(C2585,$AE$2:$AF$7,2,0))</f>
        <v>0.5</v>
      </c>
      <c r="F2585">
        <f t="shared" si="85"/>
        <v>0.5</v>
      </c>
    </row>
    <row r="2586" spans="1:6">
      <c r="A2586" s="30">
        <f t="shared" si="86"/>
        <v>45676</v>
      </c>
      <c r="B2586" s="32" t="s">
        <v>199</v>
      </c>
      <c r="C2586" t="s">
        <v>207</v>
      </c>
      <c r="D2586">
        <f>IF(B2586=$AB$2,$AC$2,$AC$3)</f>
        <v>1</v>
      </c>
      <c r="E2586">
        <f>IF(ISBLANK(C2586),0,VLOOKUP(C2586,$AE$2:$AF$7,2,0))</f>
        <v>0.5</v>
      </c>
      <c r="F2586">
        <f t="shared" si="85"/>
        <v>0.5</v>
      </c>
    </row>
    <row r="2587" spans="1:6">
      <c r="A2587" s="30">
        <f t="shared" si="86"/>
        <v>45677</v>
      </c>
      <c r="B2587" s="32" t="s">
        <v>199</v>
      </c>
      <c r="C2587" t="s">
        <v>207</v>
      </c>
      <c r="D2587">
        <f>IF(B2587=$AB$2,$AC$2,$AC$3)</f>
        <v>1</v>
      </c>
      <c r="E2587">
        <f>IF(ISBLANK(C2587),0,VLOOKUP(C2587,$AE$2:$AF$7,2,0))</f>
        <v>0.5</v>
      </c>
      <c r="F2587">
        <f t="shared" si="85"/>
        <v>0.5</v>
      </c>
    </row>
    <row r="2588" spans="1:6">
      <c r="A2588" s="30">
        <f t="shared" si="86"/>
        <v>45678</v>
      </c>
      <c r="B2588" s="32" t="s">
        <v>199</v>
      </c>
      <c r="C2588" t="s">
        <v>207</v>
      </c>
      <c r="D2588">
        <f>IF(B2588=$AB$2,$AC$2,$AC$3)</f>
        <v>1</v>
      </c>
      <c r="E2588">
        <f>IF(ISBLANK(C2588),0,VLOOKUP(C2588,$AE$2:$AF$7,2,0))</f>
        <v>0.5</v>
      </c>
      <c r="F2588">
        <f t="shared" si="85"/>
        <v>0.5</v>
      </c>
    </row>
    <row r="2589" spans="1:6">
      <c r="A2589" s="30">
        <f t="shared" si="86"/>
        <v>45679</v>
      </c>
      <c r="B2589" s="32" t="s">
        <v>199</v>
      </c>
      <c r="C2589" t="s">
        <v>207</v>
      </c>
      <c r="D2589">
        <f>IF(B2589=$AB$2,$AC$2,$AC$3)</f>
        <v>1</v>
      </c>
      <c r="E2589">
        <f>IF(ISBLANK(C2589),0,VLOOKUP(C2589,$AE$2:$AF$7,2,0))</f>
        <v>0.5</v>
      </c>
      <c r="F2589">
        <f t="shared" si="85"/>
        <v>0.5</v>
      </c>
    </row>
    <row r="2590" spans="1:6">
      <c r="A2590" s="30">
        <f t="shared" si="86"/>
        <v>45680</v>
      </c>
      <c r="B2590" s="32" t="s">
        <v>199</v>
      </c>
      <c r="C2590" t="s">
        <v>207</v>
      </c>
      <c r="D2590">
        <f>IF(B2590=$AB$2,$AC$2,$AC$3)</f>
        <v>1</v>
      </c>
      <c r="E2590">
        <f>IF(ISBLANK(C2590),0,VLOOKUP(C2590,$AE$2:$AF$7,2,0))</f>
        <v>0.5</v>
      </c>
      <c r="F2590">
        <f t="shared" si="85"/>
        <v>0.5</v>
      </c>
    </row>
    <row r="2591" spans="1:6">
      <c r="A2591" s="30">
        <f t="shared" si="86"/>
        <v>45681</v>
      </c>
      <c r="B2591" s="32" t="s">
        <v>199</v>
      </c>
      <c r="C2591" t="s">
        <v>207</v>
      </c>
      <c r="D2591">
        <f>IF(B2591=$AB$2,$AC$2,$AC$3)</f>
        <v>1</v>
      </c>
      <c r="E2591">
        <f>IF(ISBLANK(C2591),0,VLOOKUP(C2591,$AE$2:$AF$7,2,0))</f>
        <v>0.5</v>
      </c>
      <c r="F2591">
        <f t="shared" si="85"/>
        <v>0.5</v>
      </c>
    </row>
    <row r="2592" spans="1:6">
      <c r="A2592" s="30">
        <f t="shared" si="86"/>
        <v>45682</v>
      </c>
      <c r="B2592" s="32" t="s">
        <v>199</v>
      </c>
      <c r="C2592" t="s">
        <v>207</v>
      </c>
      <c r="D2592">
        <f>IF(B2592=$AB$2,$AC$2,$AC$3)</f>
        <v>1</v>
      </c>
      <c r="E2592">
        <f>IF(ISBLANK(C2592),0,VLOOKUP(C2592,$AE$2:$AF$7,2,0))</f>
        <v>0.5</v>
      </c>
      <c r="F2592">
        <f t="shared" si="85"/>
        <v>0.5</v>
      </c>
    </row>
    <row r="2593" spans="1:6">
      <c r="A2593" s="30">
        <f t="shared" si="86"/>
        <v>45683</v>
      </c>
      <c r="B2593" s="32" t="s">
        <v>199</v>
      </c>
      <c r="C2593" t="s">
        <v>207</v>
      </c>
      <c r="D2593">
        <f>IF(B2593=$AB$2,$AC$2,$AC$3)</f>
        <v>1</v>
      </c>
      <c r="E2593">
        <f>IF(ISBLANK(C2593),0,VLOOKUP(C2593,$AE$2:$AF$7,2,0))</f>
        <v>0.5</v>
      </c>
      <c r="F2593">
        <f t="shared" si="85"/>
        <v>0.5</v>
      </c>
    </row>
    <row r="2594" spans="1:6">
      <c r="A2594" s="30">
        <f t="shared" si="86"/>
        <v>45684</v>
      </c>
      <c r="B2594" s="32" t="s">
        <v>199</v>
      </c>
      <c r="C2594" t="s">
        <v>207</v>
      </c>
      <c r="D2594">
        <f>IF(B2594=$AB$2,$AC$2,$AC$3)</f>
        <v>1</v>
      </c>
      <c r="E2594">
        <f>IF(ISBLANK(C2594),0,VLOOKUP(C2594,$AE$2:$AF$7,2,0))</f>
        <v>0.5</v>
      </c>
      <c r="F2594">
        <f t="shared" si="85"/>
        <v>0.5</v>
      </c>
    </row>
    <row r="2595" spans="1:6">
      <c r="A2595" s="30">
        <f t="shared" si="86"/>
        <v>45685</v>
      </c>
      <c r="B2595" s="32" t="s">
        <v>199</v>
      </c>
      <c r="C2595" t="s">
        <v>207</v>
      </c>
      <c r="D2595">
        <f>IF(B2595=$AB$2,$AC$2,$AC$3)</f>
        <v>1</v>
      </c>
      <c r="E2595">
        <f>IF(ISBLANK(C2595),0,VLOOKUP(C2595,$AE$2:$AF$7,2,0))</f>
        <v>0.5</v>
      </c>
      <c r="F2595">
        <f t="shared" si="85"/>
        <v>0.5</v>
      </c>
    </row>
    <row r="2596" spans="1:6">
      <c r="A2596" s="30">
        <f t="shared" si="86"/>
        <v>45686</v>
      </c>
      <c r="B2596" s="32" t="s">
        <v>199</v>
      </c>
      <c r="C2596" t="s">
        <v>207</v>
      </c>
      <c r="D2596">
        <f>IF(B2596=$AB$2,$AC$2,$AC$3)</f>
        <v>1</v>
      </c>
      <c r="E2596">
        <f>IF(ISBLANK(C2596),0,VLOOKUP(C2596,$AE$2:$AF$7,2,0))</f>
        <v>0.5</v>
      </c>
      <c r="F2596">
        <f t="shared" si="85"/>
        <v>0.5</v>
      </c>
    </row>
    <row r="2597" spans="1:6">
      <c r="A2597" s="30">
        <f t="shared" si="86"/>
        <v>45687</v>
      </c>
      <c r="B2597" s="32" t="s">
        <v>199</v>
      </c>
      <c r="C2597" t="s">
        <v>207</v>
      </c>
      <c r="D2597">
        <f>IF(B2597=$AB$2,$AC$2,$AC$3)</f>
        <v>1</v>
      </c>
      <c r="E2597">
        <f>IF(ISBLANK(C2597),0,VLOOKUP(C2597,$AE$2:$AF$7,2,0))</f>
        <v>0.5</v>
      </c>
      <c r="F2597">
        <f t="shared" si="85"/>
        <v>0.5</v>
      </c>
    </row>
    <row r="2598" spans="1:6">
      <c r="A2598" s="30">
        <f t="shared" si="86"/>
        <v>45688</v>
      </c>
      <c r="B2598" s="32" t="s">
        <v>199</v>
      </c>
      <c r="C2598" t="s">
        <v>207</v>
      </c>
      <c r="D2598">
        <f>IF(B2598=$AB$2,$AC$2,$AC$3)</f>
        <v>1</v>
      </c>
      <c r="E2598">
        <f>IF(ISBLANK(C2598),0,VLOOKUP(C2598,$AE$2:$AF$7,2,0))</f>
        <v>0.5</v>
      </c>
      <c r="F2598">
        <f t="shared" si="85"/>
        <v>0.5</v>
      </c>
    </row>
    <row r="2599" spans="1:6">
      <c r="A2599" s="30">
        <f t="shared" si="86"/>
        <v>45689</v>
      </c>
      <c r="B2599" s="32" t="s">
        <v>199</v>
      </c>
      <c r="C2599" t="s">
        <v>208</v>
      </c>
      <c r="D2599">
        <f>IF(B2599=$AB$2,$AC$2,$AC$3)</f>
        <v>1</v>
      </c>
      <c r="E2599">
        <f>IF(ISBLANK(C2599),0,VLOOKUP(C2599,$AE$2:$AF$7,2,0))</f>
        <v>0.5</v>
      </c>
      <c r="F2599">
        <f t="shared" si="85"/>
        <v>0.5</v>
      </c>
    </row>
    <row r="2600" spans="1:6">
      <c r="A2600" s="30">
        <f t="shared" si="86"/>
        <v>45690</v>
      </c>
      <c r="B2600" s="32" t="s">
        <v>199</v>
      </c>
      <c r="C2600" t="s">
        <v>208</v>
      </c>
      <c r="D2600">
        <f>IF(B2600=$AB$2,$AC$2,$AC$3)</f>
        <v>1</v>
      </c>
      <c r="E2600">
        <f>IF(ISBLANK(C2600),0,VLOOKUP(C2600,$AE$2:$AF$7,2,0))</f>
        <v>0.5</v>
      </c>
      <c r="F2600">
        <f t="shared" si="85"/>
        <v>0.5</v>
      </c>
    </row>
    <row r="2601" spans="1:6">
      <c r="A2601" s="30">
        <f t="shared" si="86"/>
        <v>45691</v>
      </c>
      <c r="B2601" s="32" t="s">
        <v>199</v>
      </c>
      <c r="C2601" t="s">
        <v>208</v>
      </c>
      <c r="D2601">
        <f>IF(B2601=$AB$2,$AC$2,$AC$3)</f>
        <v>1</v>
      </c>
      <c r="E2601">
        <f>IF(ISBLANK(C2601),0,VLOOKUP(C2601,$AE$2:$AF$7,2,0))</f>
        <v>0.5</v>
      </c>
      <c r="F2601">
        <f t="shared" si="85"/>
        <v>0.5</v>
      </c>
    </row>
    <row r="2602" spans="1:6">
      <c r="A2602" s="30">
        <f t="shared" si="86"/>
        <v>45692</v>
      </c>
      <c r="B2602" s="32" t="s">
        <v>199</v>
      </c>
      <c r="C2602" t="s">
        <v>208</v>
      </c>
      <c r="D2602">
        <f>IF(B2602=$AB$2,$AC$2,$AC$3)</f>
        <v>1</v>
      </c>
      <c r="E2602">
        <f>IF(ISBLANK(C2602),0,VLOOKUP(C2602,$AE$2:$AF$7,2,0))</f>
        <v>0.5</v>
      </c>
      <c r="F2602">
        <f t="shared" si="85"/>
        <v>0.5</v>
      </c>
    </row>
    <row r="2603" spans="1:6">
      <c r="A2603" s="30">
        <f t="shared" si="86"/>
        <v>45693</v>
      </c>
      <c r="B2603" s="32" t="s">
        <v>199</v>
      </c>
      <c r="C2603" t="s">
        <v>208</v>
      </c>
      <c r="D2603">
        <f>IF(B2603=$AB$2,$AC$2,$AC$3)</f>
        <v>1</v>
      </c>
      <c r="E2603">
        <f>IF(ISBLANK(C2603),0,VLOOKUP(C2603,$AE$2:$AF$7,2,0))</f>
        <v>0.5</v>
      </c>
      <c r="F2603">
        <f t="shared" si="85"/>
        <v>0.5</v>
      </c>
    </row>
    <row r="2604" spans="1:6">
      <c r="A2604" s="30">
        <f t="shared" si="86"/>
        <v>45694</v>
      </c>
      <c r="B2604" s="32" t="s">
        <v>199</v>
      </c>
      <c r="C2604" t="s">
        <v>208</v>
      </c>
      <c r="D2604">
        <f>IF(B2604=$AB$2,$AC$2,$AC$3)</f>
        <v>1</v>
      </c>
      <c r="E2604">
        <f>IF(ISBLANK(C2604),0,VLOOKUP(C2604,$AE$2:$AF$7,2,0))</f>
        <v>0.5</v>
      </c>
      <c r="F2604">
        <f t="shared" si="85"/>
        <v>0.5</v>
      </c>
    </row>
    <row r="2605" spans="1:6">
      <c r="A2605" s="30">
        <f t="shared" si="86"/>
        <v>45695</v>
      </c>
      <c r="B2605" s="32" t="s">
        <v>199</v>
      </c>
      <c r="C2605" t="s">
        <v>208</v>
      </c>
      <c r="D2605">
        <f>IF(B2605=$AB$2,$AC$2,$AC$3)</f>
        <v>1</v>
      </c>
      <c r="E2605">
        <f>IF(ISBLANK(C2605),0,VLOOKUP(C2605,$AE$2:$AF$7,2,0))</f>
        <v>0.5</v>
      </c>
      <c r="F2605">
        <f t="shared" si="85"/>
        <v>0.5</v>
      </c>
    </row>
    <row r="2606" spans="1:6">
      <c r="A2606" s="30">
        <f t="shared" si="86"/>
        <v>45696</v>
      </c>
      <c r="B2606" s="32" t="s">
        <v>199</v>
      </c>
      <c r="C2606" t="s">
        <v>208</v>
      </c>
      <c r="D2606">
        <f>IF(B2606=$AB$2,$AC$2,$AC$3)</f>
        <v>1</v>
      </c>
      <c r="E2606">
        <f>IF(ISBLANK(C2606),0,VLOOKUP(C2606,$AE$2:$AF$7,2,0))</f>
        <v>0.5</v>
      </c>
      <c r="F2606">
        <f t="shared" si="85"/>
        <v>0.5</v>
      </c>
    </row>
    <row r="2607" spans="1:6">
      <c r="A2607" s="30">
        <f t="shared" si="86"/>
        <v>45697</v>
      </c>
      <c r="B2607" s="32" t="s">
        <v>199</v>
      </c>
      <c r="C2607" t="s">
        <v>208</v>
      </c>
      <c r="D2607">
        <f>IF(B2607=$AB$2,$AC$2,$AC$3)</f>
        <v>1</v>
      </c>
      <c r="E2607">
        <f>IF(ISBLANK(C2607),0,VLOOKUP(C2607,$AE$2:$AF$7,2,0))</f>
        <v>0.5</v>
      </c>
      <c r="F2607">
        <f t="shared" si="85"/>
        <v>0.5</v>
      </c>
    </row>
    <row r="2608" spans="1:6">
      <c r="A2608" s="30">
        <f t="shared" si="86"/>
        <v>45698</v>
      </c>
      <c r="B2608" s="32" t="s">
        <v>199</v>
      </c>
      <c r="C2608" t="s">
        <v>208</v>
      </c>
      <c r="D2608">
        <f>IF(B2608=$AB$2,$AC$2,$AC$3)</f>
        <v>1</v>
      </c>
      <c r="E2608">
        <f>IF(ISBLANK(C2608),0,VLOOKUP(C2608,$AE$2:$AF$7,2,0))</f>
        <v>0.5</v>
      </c>
      <c r="F2608">
        <f t="shared" si="85"/>
        <v>0.5</v>
      </c>
    </row>
    <row r="2609" spans="1:6">
      <c r="A2609" s="30">
        <f t="shared" si="86"/>
        <v>45699</v>
      </c>
      <c r="B2609" s="32" t="s">
        <v>199</v>
      </c>
      <c r="C2609" t="s">
        <v>208</v>
      </c>
      <c r="D2609">
        <f>IF(B2609=$AB$2,$AC$2,$AC$3)</f>
        <v>1</v>
      </c>
      <c r="E2609">
        <f>IF(ISBLANK(C2609),0,VLOOKUP(C2609,$AE$2:$AF$7,2,0))</f>
        <v>0.5</v>
      </c>
      <c r="F2609">
        <f t="shared" si="85"/>
        <v>0.5</v>
      </c>
    </row>
    <row r="2610" spans="1:6">
      <c r="A2610" s="30">
        <f t="shared" si="86"/>
        <v>45700</v>
      </c>
      <c r="B2610" s="32" t="s">
        <v>199</v>
      </c>
      <c r="C2610" t="s">
        <v>208</v>
      </c>
      <c r="D2610">
        <f>IF(B2610=$AB$2,$AC$2,$AC$3)</f>
        <v>1</v>
      </c>
      <c r="E2610">
        <f>IF(ISBLANK(C2610),0,VLOOKUP(C2610,$AE$2:$AF$7,2,0))</f>
        <v>0.5</v>
      </c>
      <c r="F2610">
        <f t="shared" si="85"/>
        <v>0.5</v>
      </c>
    </row>
    <row r="2611" spans="1:6">
      <c r="A2611" s="30">
        <f t="shared" si="86"/>
        <v>45701</v>
      </c>
      <c r="B2611" s="32" t="s">
        <v>199</v>
      </c>
      <c r="C2611" t="s">
        <v>208</v>
      </c>
      <c r="D2611">
        <f>IF(B2611=$AB$2,$AC$2,$AC$3)</f>
        <v>1</v>
      </c>
      <c r="E2611">
        <f>IF(ISBLANK(C2611),0,VLOOKUP(C2611,$AE$2:$AF$7,2,0))</f>
        <v>0.5</v>
      </c>
      <c r="F2611">
        <f t="shared" si="85"/>
        <v>0.5</v>
      </c>
    </row>
    <row r="2612" spans="1:6">
      <c r="A2612" s="30">
        <f t="shared" si="86"/>
        <v>45702</v>
      </c>
      <c r="B2612" s="32" t="s">
        <v>199</v>
      </c>
      <c r="C2612" t="s">
        <v>208</v>
      </c>
      <c r="D2612">
        <f>IF(B2612=$AB$2,$AC$2,$AC$3)</f>
        <v>1</v>
      </c>
      <c r="E2612">
        <f>IF(ISBLANK(C2612),0,VLOOKUP(C2612,$AE$2:$AF$7,2,0))</f>
        <v>0.5</v>
      </c>
      <c r="F2612">
        <f t="shared" si="85"/>
        <v>0.5</v>
      </c>
    </row>
    <row r="2613" spans="1:6">
      <c r="A2613" s="30">
        <f t="shared" si="86"/>
        <v>45703</v>
      </c>
      <c r="B2613" s="32" t="s">
        <v>199</v>
      </c>
      <c r="C2613" t="s">
        <v>208</v>
      </c>
      <c r="D2613">
        <f>IF(B2613=$AB$2,$AC$2,$AC$3)</f>
        <v>1</v>
      </c>
      <c r="E2613">
        <f>IF(ISBLANK(C2613),0,VLOOKUP(C2613,$AE$2:$AF$7,2,0))</f>
        <v>0.5</v>
      </c>
      <c r="F2613">
        <f t="shared" si="85"/>
        <v>0.5</v>
      </c>
    </row>
    <row r="2614" spans="1:6">
      <c r="A2614" s="30">
        <f t="shared" si="86"/>
        <v>45704</v>
      </c>
      <c r="B2614" s="32" t="s">
        <v>199</v>
      </c>
      <c r="C2614" t="s">
        <v>208</v>
      </c>
      <c r="D2614">
        <f>IF(B2614=$AB$2,$AC$2,$AC$3)</f>
        <v>1</v>
      </c>
      <c r="E2614">
        <f>IF(ISBLANK(C2614),0,VLOOKUP(C2614,$AE$2:$AF$7,2,0))</f>
        <v>0.5</v>
      </c>
      <c r="F2614">
        <f t="shared" si="85"/>
        <v>0.5</v>
      </c>
    </row>
    <row r="2615" spans="1:6">
      <c r="A2615" s="30">
        <f t="shared" si="86"/>
        <v>45705</v>
      </c>
      <c r="B2615" s="32" t="s">
        <v>199</v>
      </c>
      <c r="C2615" t="s">
        <v>208</v>
      </c>
      <c r="D2615">
        <f>IF(B2615=$AB$2,$AC$2,$AC$3)</f>
        <v>1</v>
      </c>
      <c r="E2615">
        <f>IF(ISBLANK(C2615),0,VLOOKUP(C2615,$AE$2:$AF$7,2,0))</f>
        <v>0.5</v>
      </c>
      <c r="F2615">
        <f t="shared" si="85"/>
        <v>0.5</v>
      </c>
    </row>
    <row r="2616" spans="1:6">
      <c r="A2616" s="30">
        <f t="shared" si="86"/>
        <v>45706</v>
      </c>
      <c r="B2616" s="32" t="s">
        <v>199</v>
      </c>
      <c r="C2616" t="s">
        <v>208</v>
      </c>
      <c r="D2616">
        <f>IF(B2616=$AB$2,$AC$2,$AC$3)</f>
        <v>1</v>
      </c>
      <c r="E2616">
        <f>IF(ISBLANK(C2616),0,VLOOKUP(C2616,$AE$2:$AF$7,2,0))</f>
        <v>0.5</v>
      </c>
      <c r="F2616">
        <f t="shared" si="85"/>
        <v>0.5</v>
      </c>
    </row>
    <row r="2617" spans="1:6">
      <c r="A2617" s="30">
        <f t="shared" si="86"/>
        <v>45707</v>
      </c>
      <c r="B2617" s="32" t="s">
        <v>199</v>
      </c>
      <c r="C2617" t="s">
        <v>208</v>
      </c>
      <c r="D2617">
        <f>IF(B2617=$AB$2,$AC$2,$AC$3)</f>
        <v>1</v>
      </c>
      <c r="E2617">
        <f>IF(ISBLANK(C2617),0,VLOOKUP(C2617,$AE$2:$AF$7,2,0))</f>
        <v>0.5</v>
      </c>
      <c r="F2617">
        <f t="shared" si="85"/>
        <v>0.5</v>
      </c>
    </row>
    <row r="2618" spans="1:6">
      <c r="A2618" s="30">
        <f t="shared" si="86"/>
        <v>45708</v>
      </c>
      <c r="B2618" s="32" t="s">
        <v>199</v>
      </c>
      <c r="C2618" t="s">
        <v>208</v>
      </c>
      <c r="D2618">
        <f>IF(B2618=$AB$2,$AC$2,$AC$3)</f>
        <v>1</v>
      </c>
      <c r="E2618">
        <f>IF(ISBLANK(C2618),0,VLOOKUP(C2618,$AE$2:$AF$7,2,0))</f>
        <v>0.5</v>
      </c>
      <c r="F2618">
        <f t="shared" si="85"/>
        <v>0.5</v>
      </c>
    </row>
    <row r="2619" spans="1:6">
      <c r="A2619" s="30">
        <f t="shared" si="86"/>
        <v>45709</v>
      </c>
      <c r="B2619" s="32" t="s">
        <v>199</v>
      </c>
      <c r="C2619" t="s">
        <v>208</v>
      </c>
      <c r="D2619">
        <f>IF(B2619=$AB$2,$AC$2,$AC$3)</f>
        <v>1</v>
      </c>
      <c r="E2619">
        <f>IF(ISBLANK(C2619),0,VLOOKUP(C2619,$AE$2:$AF$7,2,0))</f>
        <v>0.5</v>
      </c>
      <c r="F2619">
        <f t="shared" si="85"/>
        <v>0.5</v>
      </c>
    </row>
    <row r="2620" spans="1:6">
      <c r="A2620" s="30">
        <f t="shared" si="86"/>
        <v>45710</v>
      </c>
      <c r="B2620" s="32" t="s">
        <v>199</v>
      </c>
      <c r="C2620" t="s">
        <v>208</v>
      </c>
      <c r="D2620">
        <f>IF(B2620=$AB$2,$AC$2,$AC$3)</f>
        <v>1</v>
      </c>
      <c r="E2620">
        <f>IF(ISBLANK(C2620),0,VLOOKUP(C2620,$AE$2:$AF$7,2,0))</f>
        <v>0.5</v>
      </c>
      <c r="F2620">
        <f t="shared" si="85"/>
        <v>0.5</v>
      </c>
    </row>
    <row r="2621" spans="1:6">
      <c r="A2621" s="30">
        <f t="shared" si="86"/>
        <v>45711</v>
      </c>
      <c r="B2621" s="32" t="s">
        <v>199</v>
      </c>
      <c r="C2621" t="s">
        <v>208</v>
      </c>
      <c r="D2621">
        <f>IF(B2621=$AB$2,$AC$2,$AC$3)</f>
        <v>1</v>
      </c>
      <c r="E2621">
        <f>IF(ISBLANK(C2621),0,VLOOKUP(C2621,$AE$2:$AF$7,2,0))</f>
        <v>0.5</v>
      </c>
      <c r="F2621">
        <f t="shared" si="85"/>
        <v>0.5</v>
      </c>
    </row>
    <row r="2622" spans="1:6">
      <c r="A2622" s="30">
        <f t="shared" si="86"/>
        <v>45712</v>
      </c>
      <c r="B2622" s="32" t="s">
        <v>199</v>
      </c>
      <c r="C2622" t="s">
        <v>208</v>
      </c>
      <c r="D2622">
        <f>IF(B2622=$AB$2,$AC$2,$AC$3)</f>
        <v>1</v>
      </c>
      <c r="E2622">
        <f>IF(ISBLANK(C2622),0,VLOOKUP(C2622,$AE$2:$AF$7,2,0))</f>
        <v>0.5</v>
      </c>
      <c r="F2622">
        <f t="shared" si="85"/>
        <v>0.5</v>
      </c>
    </row>
    <row r="2623" spans="1:6">
      <c r="A2623" s="30">
        <f t="shared" si="86"/>
        <v>45713</v>
      </c>
      <c r="B2623" s="32" t="s">
        <v>199</v>
      </c>
      <c r="C2623" t="s">
        <v>208</v>
      </c>
      <c r="D2623">
        <f>IF(B2623=$AB$2,$AC$2,$AC$3)</f>
        <v>1</v>
      </c>
      <c r="E2623">
        <f>IF(ISBLANK(C2623),0,VLOOKUP(C2623,$AE$2:$AF$7,2,0))</f>
        <v>0.5</v>
      </c>
      <c r="F2623">
        <f t="shared" si="85"/>
        <v>0.5</v>
      </c>
    </row>
    <row r="2624" spans="1:6">
      <c r="A2624" s="30">
        <f t="shared" si="86"/>
        <v>45714</v>
      </c>
      <c r="B2624" s="32" t="s">
        <v>199</v>
      </c>
      <c r="C2624" t="s">
        <v>208</v>
      </c>
      <c r="D2624">
        <f>IF(B2624=$AB$2,$AC$2,$AC$3)</f>
        <v>1</v>
      </c>
      <c r="E2624">
        <f>IF(ISBLANK(C2624),0,VLOOKUP(C2624,$AE$2:$AF$7,2,0))</f>
        <v>0.5</v>
      </c>
      <c r="F2624">
        <f t="shared" si="85"/>
        <v>0.5</v>
      </c>
    </row>
    <row r="2625" spans="1:6">
      <c r="A2625" s="30">
        <f>A2624+1</f>
        <v>45715</v>
      </c>
      <c r="B2625" s="32" t="s">
        <v>199</v>
      </c>
      <c r="C2625" t="s">
        <v>208</v>
      </c>
      <c r="D2625">
        <f>IF(B2625=$AB$2,$AC$2,$AC$3)</f>
        <v>1</v>
      </c>
      <c r="E2625">
        <f>IF(ISBLANK(C2625),0,VLOOKUP(C2625,$AE$2:$AF$7,2,0))</f>
        <v>0.5</v>
      </c>
      <c r="F2625">
        <f t="shared" si="85"/>
        <v>0.5</v>
      </c>
    </row>
    <row r="2626" spans="1:6">
      <c r="A2626" s="30">
        <f t="shared" ref="A2626:A2689" si="87">A2625+1</f>
        <v>45716</v>
      </c>
      <c r="B2626" s="32" t="s">
        <v>199</v>
      </c>
      <c r="C2626" t="s">
        <v>208</v>
      </c>
      <c r="D2626">
        <f>IF(B2626=$AB$2,$AC$2,$AC$3)</f>
        <v>1</v>
      </c>
      <c r="E2626">
        <f>IF(ISBLANK(C2626),0,VLOOKUP(C2626,$AE$2:$AF$7,2,0))</f>
        <v>0.5</v>
      </c>
      <c r="F2626">
        <f t="shared" si="85"/>
        <v>0.5</v>
      </c>
    </row>
    <row r="2627" spans="1:6">
      <c r="A2627" s="30">
        <f t="shared" si="87"/>
        <v>45717</v>
      </c>
      <c r="B2627" s="32" t="s">
        <v>199</v>
      </c>
      <c r="C2627" t="s">
        <v>208</v>
      </c>
      <c r="D2627">
        <f>IF(B2627=$AB$2,$AC$2,$AC$3)</f>
        <v>1</v>
      </c>
      <c r="E2627">
        <f>IF(ISBLANK(C2627),0,VLOOKUP(C2627,$AE$2:$AF$7,2,0))</f>
        <v>0.5</v>
      </c>
      <c r="F2627">
        <f t="shared" ref="F2627:F2690" si="88">D2627*E2627</f>
        <v>0.5</v>
      </c>
    </row>
    <row r="2628" spans="1:6">
      <c r="A2628" s="30">
        <f t="shared" si="87"/>
        <v>45718</v>
      </c>
      <c r="B2628" s="32" t="s">
        <v>199</v>
      </c>
      <c r="C2628" t="s">
        <v>208</v>
      </c>
      <c r="D2628">
        <f>IF(B2628=$AB$2,$AC$2,$AC$3)</f>
        <v>1</v>
      </c>
      <c r="E2628">
        <f>IF(ISBLANK(C2628),0,VLOOKUP(C2628,$AE$2:$AF$7,2,0))</f>
        <v>0.5</v>
      </c>
      <c r="F2628">
        <f t="shared" si="88"/>
        <v>0.5</v>
      </c>
    </row>
    <row r="2629" spans="1:6">
      <c r="A2629" s="30">
        <f t="shared" si="87"/>
        <v>45719</v>
      </c>
      <c r="B2629" s="32" t="s">
        <v>199</v>
      </c>
      <c r="C2629" t="s">
        <v>208</v>
      </c>
      <c r="D2629">
        <f>IF(B2629=$AB$2,$AC$2,$AC$3)</f>
        <v>1</v>
      </c>
      <c r="E2629">
        <f>IF(ISBLANK(C2629),0,VLOOKUP(C2629,$AE$2:$AF$7,2,0))</f>
        <v>0.5</v>
      </c>
      <c r="F2629">
        <f t="shared" si="88"/>
        <v>0.5</v>
      </c>
    </row>
    <row r="2630" spans="1:6">
      <c r="A2630" s="30">
        <f t="shared" si="87"/>
        <v>45720</v>
      </c>
      <c r="B2630" s="32" t="s">
        <v>199</v>
      </c>
      <c r="C2630" t="s">
        <v>208</v>
      </c>
      <c r="D2630">
        <f>IF(B2630=$AB$2,$AC$2,$AC$3)</f>
        <v>1</v>
      </c>
      <c r="E2630">
        <f>IF(ISBLANK(C2630),0,VLOOKUP(C2630,$AE$2:$AF$7,2,0))</f>
        <v>0.5</v>
      </c>
      <c r="F2630">
        <f t="shared" si="88"/>
        <v>0.5</v>
      </c>
    </row>
    <row r="2631" spans="1:6">
      <c r="A2631" s="30">
        <f t="shared" si="87"/>
        <v>45721</v>
      </c>
      <c r="B2631" s="32" t="s">
        <v>199</v>
      </c>
      <c r="C2631" t="s">
        <v>208</v>
      </c>
      <c r="D2631">
        <f>IF(B2631=$AB$2,$AC$2,$AC$3)</f>
        <v>1</v>
      </c>
      <c r="E2631">
        <f>IF(ISBLANK(C2631),0,VLOOKUP(C2631,$AE$2:$AF$7,2,0))</f>
        <v>0.5</v>
      </c>
      <c r="F2631">
        <f t="shared" si="88"/>
        <v>0.5</v>
      </c>
    </row>
    <row r="2632" spans="1:6">
      <c r="A2632" s="30">
        <f t="shared" si="87"/>
        <v>45722</v>
      </c>
      <c r="B2632" s="32" t="s">
        <v>199</v>
      </c>
      <c r="C2632" t="s">
        <v>208</v>
      </c>
      <c r="D2632">
        <f>IF(B2632=$AB$2,$AC$2,$AC$3)</f>
        <v>1</v>
      </c>
      <c r="E2632">
        <f>IF(ISBLANK(C2632),0,VLOOKUP(C2632,$AE$2:$AF$7,2,0))</f>
        <v>0.5</v>
      </c>
      <c r="F2632">
        <f t="shared" si="88"/>
        <v>0.5</v>
      </c>
    </row>
    <row r="2633" spans="1:6">
      <c r="A2633" s="30">
        <f t="shared" si="87"/>
        <v>45723</v>
      </c>
      <c r="B2633" s="32" t="s">
        <v>199</v>
      </c>
      <c r="C2633" t="s">
        <v>208</v>
      </c>
      <c r="D2633">
        <f>IF(B2633=$AB$2,$AC$2,$AC$3)</f>
        <v>1</v>
      </c>
      <c r="E2633">
        <f>IF(ISBLANK(C2633),0,VLOOKUP(C2633,$AE$2:$AF$7,2,0))</f>
        <v>0.5</v>
      </c>
      <c r="F2633">
        <f t="shared" si="88"/>
        <v>0.5</v>
      </c>
    </row>
    <row r="2634" spans="1:6">
      <c r="A2634" s="30">
        <f t="shared" si="87"/>
        <v>45724</v>
      </c>
      <c r="B2634" s="32" t="s">
        <v>199</v>
      </c>
      <c r="C2634" t="s">
        <v>208</v>
      </c>
      <c r="D2634">
        <f>IF(B2634=$AB$2,$AC$2,$AC$3)</f>
        <v>1</v>
      </c>
      <c r="E2634">
        <f>IF(ISBLANK(C2634),0,VLOOKUP(C2634,$AE$2:$AF$7,2,0))</f>
        <v>0.5</v>
      </c>
      <c r="F2634">
        <f t="shared" si="88"/>
        <v>0.5</v>
      </c>
    </row>
    <row r="2635" spans="1:6">
      <c r="A2635" s="30">
        <f t="shared" si="87"/>
        <v>45725</v>
      </c>
      <c r="B2635" s="32" t="s">
        <v>199</v>
      </c>
      <c r="C2635" t="s">
        <v>208</v>
      </c>
      <c r="D2635">
        <f>IF(B2635=$AB$2,$AC$2,$AC$3)</f>
        <v>1</v>
      </c>
      <c r="E2635">
        <f>IF(ISBLANK(C2635),0,VLOOKUP(C2635,$AE$2:$AF$7,2,0))</f>
        <v>0.5</v>
      </c>
      <c r="F2635">
        <f t="shared" si="88"/>
        <v>0.5</v>
      </c>
    </row>
    <row r="2636" spans="1:6">
      <c r="A2636" s="30">
        <f t="shared" si="87"/>
        <v>45726</v>
      </c>
      <c r="B2636" s="32" t="s">
        <v>199</v>
      </c>
      <c r="C2636" t="s">
        <v>208</v>
      </c>
      <c r="D2636">
        <f>IF(B2636=$AB$2,$AC$2,$AC$3)</f>
        <v>1</v>
      </c>
      <c r="E2636">
        <f>IF(ISBLANK(C2636),0,VLOOKUP(C2636,$AE$2:$AF$7,2,0))</f>
        <v>0.5</v>
      </c>
      <c r="F2636">
        <f t="shared" si="88"/>
        <v>0.5</v>
      </c>
    </row>
    <row r="2637" spans="1:6">
      <c r="A2637" s="30">
        <f t="shared" si="87"/>
        <v>45727</v>
      </c>
      <c r="B2637" s="32" t="s">
        <v>199</v>
      </c>
      <c r="C2637" t="s">
        <v>208</v>
      </c>
      <c r="D2637">
        <f>IF(B2637=$AB$2,$AC$2,$AC$3)</f>
        <v>1</v>
      </c>
      <c r="E2637">
        <f>IF(ISBLANK(C2637),0,VLOOKUP(C2637,$AE$2:$AF$7,2,0))</f>
        <v>0.5</v>
      </c>
      <c r="F2637">
        <f t="shared" si="88"/>
        <v>0.5</v>
      </c>
    </row>
    <row r="2638" spans="1:6">
      <c r="A2638" s="30">
        <f t="shared" si="87"/>
        <v>45728</v>
      </c>
      <c r="B2638" s="32" t="s">
        <v>199</v>
      </c>
      <c r="C2638" t="s">
        <v>208</v>
      </c>
      <c r="D2638">
        <f>IF(B2638=$AB$2,$AC$2,$AC$3)</f>
        <v>1</v>
      </c>
      <c r="E2638">
        <f>IF(ISBLANK(C2638),0,VLOOKUP(C2638,$AE$2:$AF$7,2,0))</f>
        <v>0.5</v>
      </c>
      <c r="F2638">
        <f t="shared" si="88"/>
        <v>0.5</v>
      </c>
    </row>
    <row r="2639" spans="1:6">
      <c r="A2639" s="30">
        <f t="shared" si="87"/>
        <v>45729</v>
      </c>
      <c r="B2639" s="32" t="s">
        <v>199</v>
      </c>
      <c r="C2639" t="s">
        <v>208</v>
      </c>
      <c r="D2639">
        <f>IF(B2639=$AB$2,$AC$2,$AC$3)</f>
        <v>1</v>
      </c>
      <c r="E2639">
        <f>IF(ISBLANK(C2639),0,VLOOKUP(C2639,$AE$2:$AF$7,2,0))</f>
        <v>0.5</v>
      </c>
      <c r="F2639">
        <f t="shared" si="88"/>
        <v>0.5</v>
      </c>
    </row>
    <row r="2640" spans="1:6">
      <c r="A2640" s="30">
        <f t="shared" si="87"/>
        <v>45730</v>
      </c>
      <c r="B2640" s="32" t="s">
        <v>199</v>
      </c>
      <c r="C2640" t="s">
        <v>208</v>
      </c>
      <c r="D2640">
        <f>IF(B2640=$AB$2,$AC$2,$AC$3)</f>
        <v>1</v>
      </c>
      <c r="E2640">
        <f>IF(ISBLANK(C2640),0,VLOOKUP(C2640,$AE$2:$AF$7,2,0))</f>
        <v>0.5</v>
      </c>
      <c r="F2640">
        <f t="shared" si="88"/>
        <v>0.5</v>
      </c>
    </row>
    <row r="2641" spans="1:6">
      <c r="A2641" s="30">
        <f t="shared" si="87"/>
        <v>45731</v>
      </c>
      <c r="B2641" s="32" t="s">
        <v>199</v>
      </c>
      <c r="C2641" t="s">
        <v>208</v>
      </c>
      <c r="D2641">
        <f>IF(B2641=$AB$2,$AC$2,$AC$3)</f>
        <v>1</v>
      </c>
      <c r="E2641">
        <f>IF(ISBLANK(C2641),0,VLOOKUP(C2641,$AE$2:$AF$7,2,0))</f>
        <v>0.5</v>
      </c>
      <c r="F2641">
        <f t="shared" si="88"/>
        <v>0.5</v>
      </c>
    </row>
    <row r="2642" spans="1:6">
      <c r="A2642" s="30">
        <f t="shared" si="87"/>
        <v>45732</v>
      </c>
      <c r="B2642" s="32" t="s">
        <v>199</v>
      </c>
      <c r="C2642" t="s">
        <v>208</v>
      </c>
      <c r="D2642">
        <f>IF(B2642=$AB$2,$AC$2,$AC$3)</f>
        <v>1</v>
      </c>
      <c r="E2642">
        <f>IF(ISBLANK(C2642),0,VLOOKUP(C2642,$AE$2:$AF$7,2,0))</f>
        <v>0.5</v>
      </c>
      <c r="F2642">
        <f t="shared" si="88"/>
        <v>0.5</v>
      </c>
    </row>
    <row r="2643" spans="1:6">
      <c r="A2643" s="30">
        <f t="shared" si="87"/>
        <v>45733</v>
      </c>
      <c r="B2643" s="32" t="s">
        <v>199</v>
      </c>
      <c r="C2643" t="s">
        <v>208</v>
      </c>
      <c r="D2643">
        <f>IF(B2643=$AB$2,$AC$2,$AC$3)</f>
        <v>1</v>
      </c>
      <c r="E2643">
        <f>IF(ISBLANK(C2643),0,VLOOKUP(C2643,$AE$2:$AF$7,2,0))</f>
        <v>0.5</v>
      </c>
      <c r="F2643">
        <f t="shared" si="88"/>
        <v>0.5</v>
      </c>
    </row>
    <row r="2644" spans="1:6">
      <c r="A2644" s="30">
        <f t="shared" si="87"/>
        <v>45734</v>
      </c>
      <c r="B2644" s="32" t="s">
        <v>199</v>
      </c>
      <c r="C2644" t="s">
        <v>208</v>
      </c>
      <c r="D2644">
        <f>IF(B2644=$AB$2,$AC$2,$AC$3)</f>
        <v>1</v>
      </c>
      <c r="E2644">
        <f>IF(ISBLANK(C2644),0,VLOOKUP(C2644,$AE$2:$AF$7,2,0))</f>
        <v>0.5</v>
      </c>
      <c r="F2644">
        <f t="shared" si="88"/>
        <v>0.5</v>
      </c>
    </row>
    <row r="2645" spans="1:6">
      <c r="A2645" s="30">
        <f t="shared" si="87"/>
        <v>45735</v>
      </c>
      <c r="B2645" s="32" t="s">
        <v>199</v>
      </c>
      <c r="C2645" t="s">
        <v>208</v>
      </c>
      <c r="D2645">
        <f>IF(B2645=$AB$2,$AC$2,$AC$3)</f>
        <v>1</v>
      </c>
      <c r="E2645">
        <f>IF(ISBLANK(C2645),0,VLOOKUP(C2645,$AE$2:$AF$7,2,0))</f>
        <v>0.5</v>
      </c>
      <c r="F2645">
        <f t="shared" si="88"/>
        <v>0.5</v>
      </c>
    </row>
    <row r="2646" spans="1:6">
      <c r="A2646" s="30">
        <f t="shared" si="87"/>
        <v>45736</v>
      </c>
      <c r="B2646" s="32" t="s">
        <v>199</v>
      </c>
      <c r="C2646" t="s">
        <v>208</v>
      </c>
      <c r="D2646">
        <f>IF(B2646=$AB$2,$AC$2,$AC$3)</f>
        <v>1</v>
      </c>
      <c r="E2646">
        <f>IF(ISBLANK(C2646),0,VLOOKUP(C2646,$AE$2:$AF$7,2,0))</f>
        <v>0.5</v>
      </c>
      <c r="F2646">
        <f t="shared" si="88"/>
        <v>0.5</v>
      </c>
    </row>
    <row r="2647" spans="1:6">
      <c r="A2647" s="30">
        <f t="shared" si="87"/>
        <v>45737</v>
      </c>
      <c r="B2647" s="32" t="s">
        <v>199</v>
      </c>
      <c r="C2647" t="s">
        <v>208</v>
      </c>
      <c r="D2647">
        <f>IF(B2647=$AB$2,$AC$2,$AC$3)</f>
        <v>1</v>
      </c>
      <c r="E2647">
        <f>IF(ISBLANK(C2647),0,VLOOKUP(C2647,$AE$2:$AF$7,2,0))</f>
        <v>0.5</v>
      </c>
      <c r="F2647">
        <f t="shared" si="88"/>
        <v>0.5</v>
      </c>
    </row>
    <row r="2648" spans="1:6">
      <c r="A2648" s="30">
        <f t="shared" si="87"/>
        <v>45738</v>
      </c>
      <c r="B2648" s="32" t="s">
        <v>199</v>
      </c>
      <c r="C2648" t="s">
        <v>208</v>
      </c>
      <c r="D2648">
        <f>IF(B2648=$AB$2,$AC$2,$AC$3)</f>
        <v>1</v>
      </c>
      <c r="E2648">
        <f>IF(ISBLANK(C2648),0,VLOOKUP(C2648,$AE$2:$AF$7,2,0))</f>
        <v>0.5</v>
      </c>
      <c r="F2648">
        <f t="shared" si="88"/>
        <v>0.5</v>
      </c>
    </row>
    <row r="2649" spans="1:6">
      <c r="A2649" s="30">
        <f t="shared" si="87"/>
        <v>45739</v>
      </c>
      <c r="B2649" s="32" t="s">
        <v>199</v>
      </c>
      <c r="C2649" t="s">
        <v>208</v>
      </c>
      <c r="D2649">
        <f>IF(B2649=$AB$2,$AC$2,$AC$3)</f>
        <v>1</v>
      </c>
      <c r="E2649">
        <f>IF(ISBLANK(C2649),0,VLOOKUP(C2649,$AE$2:$AF$7,2,0))</f>
        <v>0.5</v>
      </c>
      <c r="F2649">
        <f t="shared" si="88"/>
        <v>0.5</v>
      </c>
    </row>
    <row r="2650" spans="1:6">
      <c r="A2650" s="30">
        <f t="shared" si="87"/>
        <v>45740</v>
      </c>
      <c r="B2650" s="32" t="s">
        <v>199</v>
      </c>
      <c r="C2650" t="s">
        <v>208</v>
      </c>
      <c r="D2650">
        <f>IF(B2650=$AB$2,$AC$2,$AC$3)</f>
        <v>1</v>
      </c>
      <c r="E2650">
        <f>IF(ISBLANK(C2650),0,VLOOKUP(C2650,$AE$2:$AF$7,2,0))</f>
        <v>0.5</v>
      </c>
      <c r="F2650">
        <f t="shared" si="88"/>
        <v>0.5</v>
      </c>
    </row>
    <row r="2651" spans="1:6">
      <c r="A2651" s="30">
        <f t="shared" si="87"/>
        <v>45741</v>
      </c>
      <c r="B2651" s="32" t="s">
        <v>199</v>
      </c>
      <c r="C2651" t="s">
        <v>208</v>
      </c>
      <c r="D2651">
        <f>IF(B2651=$AB$2,$AC$2,$AC$3)</f>
        <v>1</v>
      </c>
      <c r="E2651">
        <f>IF(ISBLANK(C2651),0,VLOOKUP(C2651,$AE$2:$AF$7,2,0))</f>
        <v>0.5</v>
      </c>
      <c r="F2651">
        <f t="shared" si="88"/>
        <v>0.5</v>
      </c>
    </row>
    <row r="2652" spans="1:6">
      <c r="A2652" s="30">
        <f t="shared" si="87"/>
        <v>45742</v>
      </c>
      <c r="B2652" s="32" t="s">
        <v>199</v>
      </c>
      <c r="C2652" t="s">
        <v>208</v>
      </c>
      <c r="D2652">
        <f>IF(B2652=$AB$2,$AC$2,$AC$3)</f>
        <v>1</v>
      </c>
      <c r="E2652">
        <f>IF(ISBLANK(C2652),0,VLOOKUP(C2652,$AE$2:$AF$7,2,0))</f>
        <v>0.5</v>
      </c>
      <c r="F2652">
        <f t="shared" si="88"/>
        <v>0.5</v>
      </c>
    </row>
    <row r="2653" spans="1:6">
      <c r="A2653" s="30">
        <f t="shared" si="87"/>
        <v>45743</v>
      </c>
      <c r="B2653" s="32" t="s">
        <v>199</v>
      </c>
      <c r="C2653" t="s">
        <v>208</v>
      </c>
      <c r="D2653">
        <f>IF(B2653=$AB$2,$AC$2,$AC$3)</f>
        <v>1</v>
      </c>
      <c r="E2653">
        <f>IF(ISBLANK(C2653),0,VLOOKUP(C2653,$AE$2:$AF$7,2,0))</f>
        <v>0.5</v>
      </c>
      <c r="F2653">
        <f t="shared" si="88"/>
        <v>0.5</v>
      </c>
    </row>
    <row r="2654" spans="1:6">
      <c r="A2654" s="30">
        <f t="shared" si="87"/>
        <v>45744</v>
      </c>
      <c r="B2654" s="32" t="s">
        <v>199</v>
      </c>
      <c r="C2654" t="s">
        <v>207</v>
      </c>
      <c r="D2654">
        <f>IF(B2654=$AB$2,$AC$2,$AC$3)</f>
        <v>1</v>
      </c>
      <c r="E2654">
        <f>IF(ISBLANK(C2654),0,VLOOKUP(C2654,$AE$2:$AF$7,2,0))</f>
        <v>0.5</v>
      </c>
      <c r="F2654">
        <f t="shared" si="88"/>
        <v>0.5</v>
      </c>
    </row>
    <row r="2655" spans="1:6">
      <c r="A2655" s="30">
        <f t="shared" si="87"/>
        <v>45745</v>
      </c>
      <c r="B2655" s="32" t="s">
        <v>199</v>
      </c>
      <c r="C2655" t="s">
        <v>207</v>
      </c>
      <c r="D2655">
        <f>IF(B2655=$AB$2,$AC$2,$AC$3)</f>
        <v>1</v>
      </c>
      <c r="E2655">
        <f>IF(ISBLANK(C2655),0,VLOOKUP(C2655,$AE$2:$AF$7,2,0))</f>
        <v>0.5</v>
      </c>
      <c r="F2655">
        <f t="shared" si="88"/>
        <v>0.5</v>
      </c>
    </row>
    <row r="2656" spans="1:6">
      <c r="A2656" s="30">
        <f t="shared" si="87"/>
        <v>45746</v>
      </c>
      <c r="B2656" s="32" t="s">
        <v>199</v>
      </c>
      <c r="C2656" t="s">
        <v>207</v>
      </c>
      <c r="D2656">
        <f>IF(B2656=$AB$2,$AC$2,$AC$3)</f>
        <v>1</v>
      </c>
      <c r="E2656">
        <f>IF(ISBLANK(C2656),0,VLOOKUP(C2656,$AE$2:$AF$7,2,0))</f>
        <v>0.5</v>
      </c>
      <c r="F2656">
        <f t="shared" si="88"/>
        <v>0.5</v>
      </c>
    </row>
    <row r="2657" spans="1:6">
      <c r="A2657" s="30">
        <f t="shared" si="87"/>
        <v>45747</v>
      </c>
      <c r="B2657" s="32" t="s">
        <v>199</v>
      </c>
      <c r="C2657" t="s">
        <v>207</v>
      </c>
      <c r="D2657">
        <f>IF(B2657=$AB$2,$AC$2,$AC$3)</f>
        <v>1</v>
      </c>
      <c r="E2657">
        <f>IF(ISBLANK(C2657),0,VLOOKUP(C2657,$AE$2:$AF$7,2,0))</f>
        <v>0.5</v>
      </c>
      <c r="F2657">
        <f t="shared" si="88"/>
        <v>0.5</v>
      </c>
    </row>
    <row r="2658" spans="1:6">
      <c r="A2658" s="30">
        <f t="shared" si="87"/>
        <v>45748</v>
      </c>
      <c r="B2658" s="32" t="s">
        <v>199</v>
      </c>
      <c r="C2658" t="s">
        <v>207</v>
      </c>
      <c r="D2658">
        <f>IF(B2658=$AB$2,$AC$2,$AC$3)</f>
        <v>1</v>
      </c>
      <c r="E2658">
        <f>IF(ISBLANK(C2658),0,VLOOKUP(C2658,$AE$2:$AF$7,2,0))</f>
        <v>0.5</v>
      </c>
      <c r="F2658">
        <f t="shared" si="88"/>
        <v>0.5</v>
      </c>
    </row>
    <row r="2659" spans="1:6">
      <c r="A2659" s="30">
        <f t="shared" si="87"/>
        <v>45749</v>
      </c>
      <c r="B2659" s="32" t="s">
        <v>199</v>
      </c>
      <c r="C2659" t="s">
        <v>207</v>
      </c>
      <c r="D2659">
        <f>IF(B2659=$AB$2,$AC$2,$AC$3)</f>
        <v>1</v>
      </c>
      <c r="E2659">
        <f>IF(ISBLANK(C2659),0,VLOOKUP(C2659,$AE$2:$AF$7,2,0))</f>
        <v>0.5</v>
      </c>
      <c r="F2659">
        <f t="shared" si="88"/>
        <v>0.5</v>
      </c>
    </row>
    <row r="2660" spans="1:6">
      <c r="A2660" s="30">
        <f t="shared" si="87"/>
        <v>45750</v>
      </c>
      <c r="B2660" s="32" t="s">
        <v>199</v>
      </c>
      <c r="C2660" t="s">
        <v>207</v>
      </c>
      <c r="D2660">
        <f>IF(B2660=$AB$2,$AC$2,$AC$3)</f>
        <v>1</v>
      </c>
      <c r="E2660">
        <f>IF(ISBLANK(C2660),0,VLOOKUP(C2660,$AE$2:$AF$7,2,0))</f>
        <v>0.5</v>
      </c>
      <c r="F2660">
        <f t="shared" si="88"/>
        <v>0.5</v>
      </c>
    </row>
    <row r="2661" spans="1:6">
      <c r="A2661" s="30">
        <f t="shared" si="87"/>
        <v>45751</v>
      </c>
      <c r="B2661" s="32" t="s">
        <v>199</v>
      </c>
      <c r="C2661" t="s">
        <v>207</v>
      </c>
      <c r="D2661">
        <f>IF(B2661=$AB$2,$AC$2,$AC$3)</f>
        <v>1</v>
      </c>
      <c r="E2661">
        <f>IF(ISBLANK(C2661),0,VLOOKUP(C2661,$AE$2:$AF$7,2,0))</f>
        <v>0.5</v>
      </c>
      <c r="F2661">
        <f t="shared" si="88"/>
        <v>0.5</v>
      </c>
    </row>
    <row r="2662" spans="1:6">
      <c r="A2662" s="30">
        <f t="shared" si="87"/>
        <v>45752</v>
      </c>
      <c r="B2662" s="32" t="s">
        <v>199</v>
      </c>
      <c r="C2662" t="s">
        <v>207</v>
      </c>
      <c r="D2662">
        <f>IF(B2662=$AB$2,$AC$2,$AC$3)</f>
        <v>1</v>
      </c>
      <c r="E2662">
        <f>IF(ISBLANK(C2662),0,VLOOKUP(C2662,$AE$2:$AF$7,2,0))</f>
        <v>0.5</v>
      </c>
      <c r="F2662">
        <f t="shared" si="88"/>
        <v>0.5</v>
      </c>
    </row>
    <row r="2663" spans="1:6">
      <c r="A2663" s="30">
        <f t="shared" si="87"/>
        <v>45753</v>
      </c>
      <c r="B2663" s="32" t="s">
        <v>199</v>
      </c>
      <c r="C2663" t="s">
        <v>207</v>
      </c>
      <c r="D2663">
        <f>IF(B2663=$AB$2,$AC$2,$AC$3)</f>
        <v>1</v>
      </c>
      <c r="E2663">
        <f>IF(ISBLANK(C2663),0,VLOOKUP(C2663,$AE$2:$AF$7,2,0))</f>
        <v>0.5</v>
      </c>
      <c r="F2663">
        <f t="shared" si="88"/>
        <v>0.5</v>
      </c>
    </row>
    <row r="2664" spans="1:6">
      <c r="A2664" s="30">
        <f t="shared" si="87"/>
        <v>45754</v>
      </c>
      <c r="B2664" s="32" t="s">
        <v>199</v>
      </c>
      <c r="C2664" t="s">
        <v>207</v>
      </c>
      <c r="D2664">
        <f>IF(B2664=$AB$2,$AC$2,$AC$3)</f>
        <v>1</v>
      </c>
      <c r="E2664">
        <f>IF(ISBLANK(C2664),0,VLOOKUP(C2664,$AE$2:$AF$7,2,0))</f>
        <v>0.5</v>
      </c>
      <c r="F2664">
        <f t="shared" si="88"/>
        <v>0.5</v>
      </c>
    </row>
    <row r="2665" spans="1:6">
      <c r="A2665" s="30">
        <f t="shared" si="87"/>
        <v>45755</v>
      </c>
      <c r="B2665" s="32" t="s">
        <v>199</v>
      </c>
      <c r="C2665" t="s">
        <v>207</v>
      </c>
      <c r="D2665">
        <f>IF(B2665=$AB$2,$AC$2,$AC$3)</f>
        <v>1</v>
      </c>
      <c r="E2665">
        <f>IF(ISBLANK(C2665),0,VLOOKUP(C2665,$AE$2:$AF$7,2,0))</f>
        <v>0.5</v>
      </c>
      <c r="F2665">
        <f t="shared" si="88"/>
        <v>0.5</v>
      </c>
    </row>
    <row r="2666" spans="1:6">
      <c r="A2666" s="30">
        <f t="shared" si="87"/>
        <v>45756</v>
      </c>
      <c r="B2666" s="32" t="s">
        <v>199</v>
      </c>
      <c r="C2666" t="s">
        <v>207</v>
      </c>
      <c r="D2666">
        <f>IF(B2666=$AB$2,$AC$2,$AC$3)</f>
        <v>1</v>
      </c>
      <c r="E2666">
        <f>IF(ISBLANK(C2666),0,VLOOKUP(C2666,$AE$2:$AF$7,2,0))</f>
        <v>0.5</v>
      </c>
      <c r="F2666">
        <f t="shared" si="88"/>
        <v>0.5</v>
      </c>
    </row>
    <row r="2667" spans="1:6">
      <c r="A2667" s="30">
        <f t="shared" si="87"/>
        <v>45757</v>
      </c>
      <c r="B2667" s="32" t="s">
        <v>199</v>
      </c>
      <c r="C2667" t="s">
        <v>207</v>
      </c>
      <c r="D2667">
        <f>IF(B2667=$AB$2,$AC$2,$AC$3)</f>
        <v>1</v>
      </c>
      <c r="E2667">
        <f>IF(ISBLANK(C2667),0,VLOOKUP(C2667,$AE$2:$AF$7,2,0))</f>
        <v>0.5</v>
      </c>
      <c r="F2667">
        <f t="shared" si="88"/>
        <v>0.5</v>
      </c>
    </row>
    <row r="2668" spans="1:6">
      <c r="A2668" s="30">
        <f t="shared" si="87"/>
        <v>45758</v>
      </c>
      <c r="B2668" s="32" t="s">
        <v>199</v>
      </c>
      <c r="C2668" t="s">
        <v>207</v>
      </c>
      <c r="D2668">
        <f>IF(B2668=$AB$2,$AC$2,$AC$3)</f>
        <v>1</v>
      </c>
      <c r="E2668">
        <f>IF(ISBLANK(C2668),0,VLOOKUP(C2668,$AE$2:$AF$7,2,0))</f>
        <v>0.5</v>
      </c>
      <c r="F2668">
        <f t="shared" si="88"/>
        <v>0.5</v>
      </c>
    </row>
    <row r="2669" spans="1:6">
      <c r="A2669" s="30">
        <f t="shared" si="87"/>
        <v>45759</v>
      </c>
      <c r="B2669" s="32" t="s">
        <v>199</v>
      </c>
      <c r="C2669" t="s">
        <v>207</v>
      </c>
      <c r="D2669">
        <f>IF(B2669=$AB$2,$AC$2,$AC$3)</f>
        <v>1</v>
      </c>
      <c r="E2669">
        <f>IF(ISBLANK(C2669),0,VLOOKUP(C2669,$AE$2:$AF$7,2,0))</f>
        <v>0.5</v>
      </c>
      <c r="F2669">
        <f t="shared" si="88"/>
        <v>0.5</v>
      </c>
    </row>
    <row r="2670" spans="1:6">
      <c r="A2670" s="30">
        <f t="shared" si="87"/>
        <v>45760</v>
      </c>
      <c r="B2670" s="32" t="s">
        <v>199</v>
      </c>
      <c r="C2670" t="s">
        <v>207</v>
      </c>
      <c r="D2670">
        <f>IF(B2670=$AB$2,$AC$2,$AC$3)</f>
        <v>1</v>
      </c>
      <c r="E2670">
        <f>IF(ISBLANK(C2670),0,VLOOKUP(C2670,$AE$2:$AF$7,2,0))</f>
        <v>0.5</v>
      </c>
      <c r="F2670">
        <f t="shared" si="88"/>
        <v>0.5</v>
      </c>
    </row>
    <row r="2671" spans="1:6">
      <c r="A2671" s="30">
        <f t="shared" si="87"/>
        <v>45761</v>
      </c>
      <c r="B2671" s="32" t="s">
        <v>199</v>
      </c>
      <c r="C2671" t="s">
        <v>207</v>
      </c>
      <c r="D2671">
        <f>IF(B2671=$AB$2,$AC$2,$AC$3)</f>
        <v>1</v>
      </c>
      <c r="E2671">
        <f>IF(ISBLANK(C2671),0,VLOOKUP(C2671,$AE$2:$AF$7,2,0))</f>
        <v>0.5</v>
      </c>
      <c r="F2671">
        <f t="shared" si="88"/>
        <v>0.5</v>
      </c>
    </row>
    <row r="2672" spans="1:6">
      <c r="A2672" s="30">
        <f t="shared" si="87"/>
        <v>45762</v>
      </c>
      <c r="B2672" s="32" t="s">
        <v>199</v>
      </c>
      <c r="C2672" t="s">
        <v>207</v>
      </c>
      <c r="D2672">
        <f>IF(B2672=$AB$2,$AC$2,$AC$3)</f>
        <v>1</v>
      </c>
      <c r="E2672">
        <f>IF(ISBLANK(C2672),0,VLOOKUP(C2672,$AE$2:$AF$7,2,0))</f>
        <v>0.5</v>
      </c>
      <c r="F2672">
        <f t="shared" si="88"/>
        <v>0.5</v>
      </c>
    </row>
    <row r="2673" spans="1:6">
      <c r="A2673" s="30">
        <f t="shared" si="87"/>
        <v>45763</v>
      </c>
      <c r="B2673" s="32" t="s">
        <v>199</v>
      </c>
      <c r="C2673" t="s">
        <v>207</v>
      </c>
      <c r="D2673">
        <f>IF(B2673=$AB$2,$AC$2,$AC$3)</f>
        <v>1</v>
      </c>
      <c r="E2673">
        <f>IF(ISBLANK(C2673),0,VLOOKUP(C2673,$AE$2:$AF$7,2,0))</f>
        <v>0.5</v>
      </c>
      <c r="F2673">
        <f t="shared" si="88"/>
        <v>0.5</v>
      </c>
    </row>
    <row r="2674" spans="1:6">
      <c r="A2674" s="30">
        <f t="shared" si="87"/>
        <v>45764</v>
      </c>
      <c r="B2674" s="32" t="s">
        <v>199</v>
      </c>
      <c r="C2674" t="s">
        <v>207</v>
      </c>
      <c r="D2674">
        <f>IF(B2674=$AB$2,$AC$2,$AC$3)</f>
        <v>1</v>
      </c>
      <c r="E2674">
        <f>IF(ISBLANK(C2674),0,VLOOKUP(C2674,$AE$2:$AF$7,2,0))</f>
        <v>0.5</v>
      </c>
      <c r="F2674">
        <f t="shared" si="88"/>
        <v>0.5</v>
      </c>
    </row>
    <row r="2675" spans="1:6">
      <c r="A2675" s="30">
        <f t="shared" si="87"/>
        <v>45765</v>
      </c>
      <c r="B2675" s="32" t="s">
        <v>199</v>
      </c>
      <c r="C2675" t="s">
        <v>207</v>
      </c>
      <c r="D2675">
        <f>IF(B2675=$AB$2,$AC$2,$AC$3)</f>
        <v>1</v>
      </c>
      <c r="E2675">
        <f>IF(ISBLANK(C2675),0,VLOOKUP(C2675,$AE$2:$AF$7,2,0))</f>
        <v>0.5</v>
      </c>
      <c r="F2675">
        <f t="shared" si="88"/>
        <v>0.5</v>
      </c>
    </row>
    <row r="2676" spans="1:6">
      <c r="A2676" s="30">
        <f t="shared" si="87"/>
        <v>45766</v>
      </c>
      <c r="B2676" s="32" t="s">
        <v>199</v>
      </c>
      <c r="C2676" t="s">
        <v>207</v>
      </c>
      <c r="D2676">
        <f>IF(B2676=$AB$2,$AC$2,$AC$3)</f>
        <v>1</v>
      </c>
      <c r="E2676">
        <f>IF(ISBLANK(C2676),0,VLOOKUP(C2676,$AE$2:$AF$7,2,0))</f>
        <v>0.5</v>
      </c>
      <c r="F2676">
        <f t="shared" si="88"/>
        <v>0.5</v>
      </c>
    </row>
    <row r="2677" spans="1:6">
      <c r="A2677" s="30">
        <f t="shared" si="87"/>
        <v>45767</v>
      </c>
      <c r="B2677" s="32" t="s">
        <v>199</v>
      </c>
      <c r="C2677" t="s">
        <v>207</v>
      </c>
      <c r="D2677">
        <f>IF(B2677=$AB$2,$AC$2,$AC$3)</f>
        <v>1</v>
      </c>
      <c r="E2677">
        <f>IF(ISBLANK(C2677),0,VLOOKUP(C2677,$AE$2:$AF$7,2,0))</f>
        <v>0.5</v>
      </c>
      <c r="F2677">
        <f t="shared" si="88"/>
        <v>0.5</v>
      </c>
    </row>
    <row r="2678" spans="1:6">
      <c r="A2678" s="30">
        <f t="shared" si="87"/>
        <v>45768</v>
      </c>
      <c r="B2678" s="32" t="s">
        <v>199</v>
      </c>
      <c r="C2678" t="s">
        <v>207</v>
      </c>
      <c r="D2678">
        <f>IF(B2678=$AB$2,$AC$2,$AC$3)</f>
        <v>1</v>
      </c>
      <c r="E2678">
        <f>IF(ISBLANK(C2678),0,VLOOKUP(C2678,$AE$2:$AF$7,2,0))</f>
        <v>0.5</v>
      </c>
      <c r="F2678">
        <f t="shared" si="88"/>
        <v>0.5</v>
      </c>
    </row>
    <row r="2679" spans="1:6">
      <c r="A2679" s="30">
        <f t="shared" si="87"/>
        <v>45769</v>
      </c>
      <c r="B2679" s="32" t="s">
        <v>199</v>
      </c>
      <c r="C2679" t="s">
        <v>207</v>
      </c>
      <c r="D2679">
        <f>IF(B2679=$AB$2,$AC$2,$AC$3)</f>
        <v>1</v>
      </c>
      <c r="E2679">
        <f>IF(ISBLANK(C2679),0,VLOOKUP(C2679,$AE$2:$AF$7,2,0))</f>
        <v>0.5</v>
      </c>
      <c r="F2679">
        <f t="shared" si="88"/>
        <v>0.5</v>
      </c>
    </row>
    <row r="2680" spans="1:6">
      <c r="A2680" s="30">
        <f t="shared" si="87"/>
        <v>45770</v>
      </c>
      <c r="B2680" s="32" t="s">
        <v>199</v>
      </c>
      <c r="C2680" t="s">
        <v>207</v>
      </c>
      <c r="D2680">
        <f>IF(B2680=$AB$2,$AC$2,$AC$3)</f>
        <v>1</v>
      </c>
      <c r="E2680">
        <f>IF(ISBLANK(C2680),0,VLOOKUP(C2680,$AE$2:$AF$7,2,0))</f>
        <v>0.5</v>
      </c>
      <c r="F2680">
        <f t="shared" si="88"/>
        <v>0.5</v>
      </c>
    </row>
    <row r="2681" spans="1:6">
      <c r="A2681" s="30">
        <f t="shared" si="87"/>
        <v>45771</v>
      </c>
      <c r="B2681" s="32" t="s">
        <v>199</v>
      </c>
      <c r="C2681" t="s">
        <v>207</v>
      </c>
      <c r="D2681">
        <f>IF(B2681=$AB$2,$AC$2,$AC$3)</f>
        <v>1</v>
      </c>
      <c r="E2681">
        <f>IF(ISBLANK(C2681),0,VLOOKUP(C2681,$AE$2:$AF$7,2,0))</f>
        <v>0.5</v>
      </c>
      <c r="F2681">
        <f t="shared" si="88"/>
        <v>0.5</v>
      </c>
    </row>
    <row r="2682" spans="1:6">
      <c r="A2682" s="30">
        <f t="shared" si="87"/>
        <v>45772</v>
      </c>
      <c r="B2682" s="32" t="s">
        <v>199</v>
      </c>
      <c r="C2682" t="s">
        <v>207</v>
      </c>
      <c r="D2682">
        <f>IF(B2682=$AB$2,$AC$2,$AC$3)</f>
        <v>1</v>
      </c>
      <c r="E2682">
        <f>IF(ISBLANK(C2682),0,VLOOKUP(C2682,$AE$2:$AF$7,2,0))</f>
        <v>0.5</v>
      </c>
      <c r="F2682">
        <f t="shared" si="88"/>
        <v>0.5</v>
      </c>
    </row>
    <row r="2683" spans="1:6">
      <c r="A2683" s="30">
        <f t="shared" si="87"/>
        <v>45773</v>
      </c>
      <c r="B2683" s="32" t="s">
        <v>199</v>
      </c>
      <c r="C2683" t="s">
        <v>207</v>
      </c>
      <c r="D2683">
        <f>IF(B2683=$AB$2,$AC$2,$AC$3)</f>
        <v>1</v>
      </c>
      <c r="E2683">
        <f>IF(ISBLANK(C2683),0,VLOOKUP(C2683,$AE$2:$AF$7,2,0))</f>
        <v>0.5</v>
      </c>
      <c r="F2683">
        <f t="shared" si="88"/>
        <v>0.5</v>
      </c>
    </row>
    <row r="2684" spans="1:6">
      <c r="A2684" s="30">
        <f t="shared" si="87"/>
        <v>45774</v>
      </c>
      <c r="B2684" s="32" t="s">
        <v>199</v>
      </c>
      <c r="C2684" t="s">
        <v>207</v>
      </c>
      <c r="D2684">
        <f>IF(B2684=$AB$2,$AC$2,$AC$3)</f>
        <v>1</v>
      </c>
      <c r="E2684">
        <f>IF(ISBLANK(C2684),0,VLOOKUP(C2684,$AE$2:$AF$7,2,0))</f>
        <v>0.5</v>
      </c>
      <c r="F2684">
        <f t="shared" si="88"/>
        <v>0.5</v>
      </c>
    </row>
    <row r="2685" spans="1:6">
      <c r="A2685" s="30">
        <f t="shared" si="87"/>
        <v>45775</v>
      </c>
      <c r="B2685" s="32" t="s">
        <v>199</v>
      </c>
      <c r="C2685" t="s">
        <v>207</v>
      </c>
      <c r="D2685">
        <f>IF(B2685=$AB$2,$AC$2,$AC$3)</f>
        <v>1</v>
      </c>
      <c r="E2685">
        <f>IF(ISBLANK(C2685),0,VLOOKUP(C2685,$AE$2:$AF$7,2,0))</f>
        <v>0.5</v>
      </c>
      <c r="F2685">
        <f t="shared" si="88"/>
        <v>0.5</v>
      </c>
    </row>
    <row r="2686" spans="1:6">
      <c r="A2686" s="30">
        <f t="shared" si="87"/>
        <v>45776</v>
      </c>
      <c r="B2686" s="32" t="s">
        <v>199</v>
      </c>
      <c r="C2686" t="s">
        <v>207</v>
      </c>
      <c r="D2686">
        <f>IF(B2686=$AB$2,$AC$2,$AC$3)</f>
        <v>1</v>
      </c>
      <c r="E2686">
        <f>IF(ISBLANK(C2686),0,VLOOKUP(C2686,$AE$2:$AF$7,2,0))</f>
        <v>0.5</v>
      </c>
      <c r="F2686">
        <f t="shared" si="88"/>
        <v>0.5</v>
      </c>
    </row>
    <row r="2687" spans="1:6">
      <c r="A2687" s="30">
        <f t="shared" si="87"/>
        <v>45777</v>
      </c>
      <c r="B2687" s="32" t="s">
        <v>199</v>
      </c>
      <c r="C2687" t="s">
        <v>207</v>
      </c>
      <c r="D2687">
        <f>IF(B2687=$AB$2,$AC$2,$AC$3)</f>
        <v>1</v>
      </c>
      <c r="E2687">
        <f>IF(ISBLANK(C2687),0,VLOOKUP(C2687,$AE$2:$AF$7,2,0))</f>
        <v>0.5</v>
      </c>
      <c r="F2687">
        <f t="shared" si="88"/>
        <v>0.5</v>
      </c>
    </row>
    <row r="2688" spans="1:6">
      <c r="A2688" s="30">
        <f t="shared" si="87"/>
        <v>45778</v>
      </c>
      <c r="B2688" s="32" t="s">
        <v>199</v>
      </c>
      <c r="C2688" t="s">
        <v>207</v>
      </c>
      <c r="D2688">
        <f>IF(B2688=$AB$2,$AC$2,$AC$3)</f>
        <v>1</v>
      </c>
      <c r="E2688">
        <f>IF(ISBLANK(C2688),0,VLOOKUP(C2688,$AE$2:$AF$7,2,0))</f>
        <v>0.5</v>
      </c>
      <c r="F2688">
        <f t="shared" si="88"/>
        <v>0.5</v>
      </c>
    </row>
    <row r="2689" spans="1:6">
      <c r="A2689" s="30">
        <f t="shared" si="87"/>
        <v>45779</v>
      </c>
      <c r="B2689" s="32" t="s">
        <v>199</v>
      </c>
      <c r="C2689" t="s">
        <v>207</v>
      </c>
      <c r="D2689">
        <f>IF(B2689=$AB$2,$AC$2,$AC$3)</f>
        <v>1</v>
      </c>
      <c r="E2689">
        <f>IF(ISBLANK(C2689),0,VLOOKUP(C2689,$AE$2:$AF$7,2,0))</f>
        <v>0.5</v>
      </c>
      <c r="F2689">
        <f t="shared" si="88"/>
        <v>0.5</v>
      </c>
    </row>
    <row r="2690" spans="1:6">
      <c r="A2690" s="30">
        <f t="shared" ref="A2690:A2738" si="89">A2689+1</f>
        <v>45780</v>
      </c>
      <c r="B2690" s="32" t="s">
        <v>199</v>
      </c>
      <c r="C2690" t="s">
        <v>207</v>
      </c>
      <c r="D2690">
        <f>IF(B2690=$AB$2,$AC$2,$AC$3)</f>
        <v>1</v>
      </c>
      <c r="E2690">
        <f>IF(ISBLANK(C2690),0,VLOOKUP(C2690,$AE$2:$AF$7,2,0))</f>
        <v>0.5</v>
      </c>
      <c r="F2690">
        <f t="shared" si="88"/>
        <v>0.5</v>
      </c>
    </row>
    <row r="2691" spans="1:6">
      <c r="A2691" s="30">
        <f t="shared" si="89"/>
        <v>45781</v>
      </c>
      <c r="B2691" s="32" t="s">
        <v>199</v>
      </c>
      <c r="C2691" t="s">
        <v>207</v>
      </c>
      <c r="D2691">
        <f>IF(B2691=$AB$2,$AC$2,$AC$3)</f>
        <v>1</v>
      </c>
      <c r="E2691">
        <f>IF(ISBLANK(C2691),0,VLOOKUP(C2691,$AE$2:$AF$7,2,0))</f>
        <v>0.5</v>
      </c>
      <c r="F2691">
        <f t="shared" ref="F2691:F2754" si="90">D2691*E2691</f>
        <v>0.5</v>
      </c>
    </row>
    <row r="2692" spans="1:6">
      <c r="A2692" s="30">
        <f t="shared" si="89"/>
        <v>45782</v>
      </c>
      <c r="B2692" s="32" t="s">
        <v>199</v>
      </c>
      <c r="C2692" t="s">
        <v>207</v>
      </c>
      <c r="D2692">
        <f>IF(B2692=$AB$2,$AC$2,$AC$3)</f>
        <v>1</v>
      </c>
      <c r="E2692">
        <f>IF(ISBLANK(C2692),0,VLOOKUP(C2692,$AE$2:$AF$7,2,0))</f>
        <v>0.5</v>
      </c>
      <c r="F2692">
        <f t="shared" si="90"/>
        <v>0.5</v>
      </c>
    </row>
    <row r="2693" spans="1:6">
      <c r="A2693" s="30">
        <f t="shared" si="89"/>
        <v>45783</v>
      </c>
      <c r="B2693" s="32" t="s">
        <v>199</v>
      </c>
      <c r="C2693" t="s">
        <v>207</v>
      </c>
      <c r="D2693">
        <f>IF(B2693=$AB$2,$AC$2,$AC$3)</f>
        <v>1</v>
      </c>
      <c r="E2693">
        <f>IF(ISBLANK(C2693),0,VLOOKUP(C2693,$AE$2:$AF$7,2,0))</f>
        <v>0.5</v>
      </c>
      <c r="F2693">
        <f t="shared" si="90"/>
        <v>0.5</v>
      </c>
    </row>
    <row r="2694" spans="1:6">
      <c r="A2694" s="30">
        <f t="shared" si="89"/>
        <v>45784</v>
      </c>
      <c r="B2694" s="32" t="s">
        <v>199</v>
      </c>
      <c r="C2694" t="s">
        <v>207</v>
      </c>
      <c r="D2694">
        <f>IF(B2694=$AB$2,$AC$2,$AC$3)</f>
        <v>1</v>
      </c>
      <c r="E2694">
        <f>IF(ISBLANK(C2694),0,VLOOKUP(C2694,$AE$2:$AF$7,2,0))</f>
        <v>0.5</v>
      </c>
      <c r="F2694">
        <f t="shared" si="90"/>
        <v>0.5</v>
      </c>
    </row>
    <row r="2695" spans="1:6">
      <c r="A2695" s="30">
        <f t="shared" si="89"/>
        <v>45785</v>
      </c>
      <c r="B2695" s="32" t="s">
        <v>199</v>
      </c>
      <c r="C2695" t="s">
        <v>207</v>
      </c>
      <c r="D2695">
        <f>IF(B2695=$AB$2,$AC$2,$AC$3)</f>
        <v>1</v>
      </c>
      <c r="E2695">
        <f>IF(ISBLANK(C2695),0,VLOOKUP(C2695,$AE$2:$AF$7,2,0))</f>
        <v>0.5</v>
      </c>
      <c r="F2695">
        <f t="shared" si="90"/>
        <v>0.5</v>
      </c>
    </row>
    <row r="2696" spans="1:6">
      <c r="A2696" s="30">
        <f t="shared" si="89"/>
        <v>45786</v>
      </c>
      <c r="B2696" s="32" t="s">
        <v>199</v>
      </c>
      <c r="C2696" t="s">
        <v>207</v>
      </c>
      <c r="D2696">
        <f>IF(B2696=$AB$2,$AC$2,$AC$3)</f>
        <v>1</v>
      </c>
      <c r="E2696">
        <f>IF(ISBLANK(C2696),0,VLOOKUP(C2696,$AE$2:$AF$7,2,0))</f>
        <v>0.5</v>
      </c>
      <c r="F2696">
        <f t="shared" si="90"/>
        <v>0.5</v>
      </c>
    </row>
    <row r="2697" spans="1:6">
      <c r="A2697" s="30">
        <f t="shared" si="89"/>
        <v>45787</v>
      </c>
      <c r="B2697" s="32" t="s">
        <v>199</v>
      </c>
      <c r="C2697" t="s">
        <v>207</v>
      </c>
      <c r="D2697">
        <f>IF(B2697=$AB$2,$AC$2,$AC$3)</f>
        <v>1</v>
      </c>
      <c r="E2697">
        <f>IF(ISBLANK(C2697),0,VLOOKUP(C2697,$AE$2:$AF$7,2,0))</f>
        <v>0.5</v>
      </c>
      <c r="F2697">
        <f t="shared" si="90"/>
        <v>0.5</v>
      </c>
    </row>
    <row r="2698" spans="1:6">
      <c r="A2698" s="30">
        <f t="shared" si="89"/>
        <v>45788</v>
      </c>
      <c r="B2698" s="32" t="s">
        <v>199</v>
      </c>
      <c r="C2698" t="s">
        <v>207</v>
      </c>
      <c r="D2698">
        <f>IF(B2698=$AB$2,$AC$2,$AC$3)</f>
        <v>1</v>
      </c>
      <c r="E2698">
        <f>IF(ISBLANK(C2698),0,VLOOKUP(C2698,$AE$2:$AF$7,2,0))</f>
        <v>0.5</v>
      </c>
      <c r="F2698">
        <f t="shared" si="90"/>
        <v>0.5</v>
      </c>
    </row>
    <row r="2699" spans="1:6">
      <c r="A2699" s="30">
        <f t="shared" si="89"/>
        <v>45789</v>
      </c>
      <c r="B2699" s="32" t="s">
        <v>199</v>
      </c>
      <c r="C2699" t="s">
        <v>207</v>
      </c>
      <c r="D2699">
        <f>IF(B2699=$AB$2,$AC$2,$AC$3)</f>
        <v>1</v>
      </c>
      <c r="E2699">
        <f>IF(ISBLANK(C2699),0,VLOOKUP(C2699,$AE$2:$AF$7,2,0))</f>
        <v>0.5</v>
      </c>
      <c r="F2699">
        <f t="shared" si="90"/>
        <v>0.5</v>
      </c>
    </row>
    <row r="2700" spans="1:6">
      <c r="A2700" s="30">
        <f t="shared" si="89"/>
        <v>45790</v>
      </c>
      <c r="B2700" s="32" t="s">
        <v>199</v>
      </c>
      <c r="C2700" t="s">
        <v>207</v>
      </c>
      <c r="D2700">
        <f>IF(B2700=$AB$2,$AC$2,$AC$3)</f>
        <v>1</v>
      </c>
      <c r="E2700">
        <f>IF(ISBLANK(C2700),0,VLOOKUP(C2700,$AE$2:$AF$7,2,0))</f>
        <v>0.5</v>
      </c>
      <c r="F2700">
        <f t="shared" si="90"/>
        <v>0.5</v>
      </c>
    </row>
    <row r="2701" spans="1:6">
      <c r="A2701" s="30">
        <f t="shared" si="89"/>
        <v>45791</v>
      </c>
      <c r="B2701" s="32" t="s">
        <v>199</v>
      </c>
      <c r="C2701" t="s">
        <v>207</v>
      </c>
      <c r="D2701">
        <f>IF(B2701=$AB$2,$AC$2,$AC$3)</f>
        <v>1</v>
      </c>
      <c r="E2701">
        <f>IF(ISBLANK(C2701),0,VLOOKUP(C2701,$AE$2:$AF$7,2,0))</f>
        <v>0.5</v>
      </c>
      <c r="F2701">
        <f t="shared" si="90"/>
        <v>0.5</v>
      </c>
    </row>
    <row r="2702" spans="1:6">
      <c r="A2702" s="30">
        <f t="shared" si="89"/>
        <v>45792</v>
      </c>
      <c r="B2702" s="32" t="s">
        <v>199</v>
      </c>
      <c r="C2702" t="s">
        <v>207</v>
      </c>
      <c r="D2702">
        <f>IF(B2702=$AB$2,$AC$2,$AC$3)</f>
        <v>1</v>
      </c>
      <c r="E2702">
        <f>IF(ISBLANK(C2702),0,VLOOKUP(C2702,$AE$2:$AF$7,2,0))</f>
        <v>0.5</v>
      </c>
      <c r="F2702">
        <f t="shared" si="90"/>
        <v>0.5</v>
      </c>
    </row>
    <row r="2703" spans="1:6">
      <c r="A2703" s="30">
        <f t="shared" si="89"/>
        <v>45793</v>
      </c>
      <c r="B2703" s="32" t="s">
        <v>199</v>
      </c>
      <c r="C2703" t="s">
        <v>207</v>
      </c>
      <c r="D2703">
        <f>IF(B2703=$AB$2,$AC$2,$AC$3)</f>
        <v>1</v>
      </c>
      <c r="E2703">
        <f>IF(ISBLANK(C2703),0,VLOOKUP(C2703,$AE$2:$AF$7,2,0))</f>
        <v>0.5</v>
      </c>
      <c r="F2703">
        <f t="shared" si="90"/>
        <v>0.5</v>
      </c>
    </row>
    <row r="2704" spans="1:6">
      <c r="A2704" s="30">
        <f t="shared" si="89"/>
        <v>45794</v>
      </c>
      <c r="B2704" s="32" t="s">
        <v>199</v>
      </c>
      <c r="C2704" t="s">
        <v>207</v>
      </c>
      <c r="D2704">
        <f>IF(B2704=$AB$2,$AC$2,$AC$3)</f>
        <v>1</v>
      </c>
      <c r="E2704">
        <f>IF(ISBLANK(C2704),0,VLOOKUP(C2704,$AE$2:$AF$7,2,0))</f>
        <v>0.5</v>
      </c>
      <c r="F2704">
        <f t="shared" si="90"/>
        <v>0.5</v>
      </c>
    </row>
    <row r="2705" spans="1:6">
      <c r="A2705" s="30">
        <f t="shared" si="89"/>
        <v>45795</v>
      </c>
      <c r="B2705" s="32" t="s">
        <v>199</v>
      </c>
      <c r="C2705" t="s">
        <v>207</v>
      </c>
      <c r="D2705">
        <f>IF(B2705=$AB$2,$AC$2,$AC$3)</f>
        <v>1</v>
      </c>
      <c r="E2705">
        <f>IF(ISBLANK(C2705),0,VLOOKUP(C2705,$AE$2:$AF$7,2,0))</f>
        <v>0.5</v>
      </c>
      <c r="F2705">
        <f t="shared" si="90"/>
        <v>0.5</v>
      </c>
    </row>
    <row r="2706" spans="1:6">
      <c r="A2706" s="30">
        <f t="shared" si="89"/>
        <v>45796</v>
      </c>
      <c r="B2706" s="32" t="s">
        <v>199</v>
      </c>
      <c r="C2706" t="s">
        <v>207</v>
      </c>
      <c r="D2706">
        <f>IF(B2706=$AB$2,$AC$2,$AC$3)</f>
        <v>1</v>
      </c>
      <c r="E2706">
        <f>IF(ISBLANK(C2706),0,VLOOKUP(C2706,$AE$2:$AF$7,2,0))</f>
        <v>0.5</v>
      </c>
      <c r="F2706">
        <f t="shared" si="90"/>
        <v>0.5</v>
      </c>
    </row>
    <row r="2707" spans="1:6">
      <c r="A2707" s="30">
        <f t="shared" si="89"/>
        <v>45797</v>
      </c>
      <c r="B2707" s="32" t="s">
        <v>199</v>
      </c>
      <c r="C2707" t="s">
        <v>207</v>
      </c>
      <c r="D2707">
        <f>IF(B2707=$AB$2,$AC$2,$AC$3)</f>
        <v>1</v>
      </c>
      <c r="E2707">
        <f>IF(ISBLANK(C2707),0,VLOOKUP(C2707,$AE$2:$AF$7,2,0))</f>
        <v>0.5</v>
      </c>
      <c r="F2707">
        <f t="shared" si="90"/>
        <v>0.5</v>
      </c>
    </row>
    <row r="2708" spans="1:6">
      <c r="A2708" s="30">
        <f t="shared" si="89"/>
        <v>45798</v>
      </c>
      <c r="B2708" s="32" t="s">
        <v>199</v>
      </c>
      <c r="C2708" t="s">
        <v>207</v>
      </c>
      <c r="D2708">
        <f>IF(B2708=$AB$2,$AC$2,$AC$3)</f>
        <v>1</v>
      </c>
      <c r="E2708">
        <f>IF(ISBLANK(C2708),0,VLOOKUP(C2708,$AE$2:$AF$7,2,0))</f>
        <v>0.5</v>
      </c>
      <c r="F2708">
        <f t="shared" si="90"/>
        <v>0.5</v>
      </c>
    </row>
    <row r="2709" spans="1:6">
      <c r="A2709" s="30">
        <f t="shared" si="89"/>
        <v>45799</v>
      </c>
      <c r="B2709" s="32" t="s">
        <v>199</v>
      </c>
      <c r="C2709" t="s">
        <v>207</v>
      </c>
      <c r="D2709">
        <f>IF(B2709=$AB$2,$AC$2,$AC$3)</f>
        <v>1</v>
      </c>
      <c r="E2709">
        <f>IF(ISBLANK(C2709),0,VLOOKUP(C2709,$AE$2:$AF$7,2,0))</f>
        <v>0.5</v>
      </c>
      <c r="F2709">
        <f t="shared" si="90"/>
        <v>0.5</v>
      </c>
    </row>
    <row r="2710" spans="1:6">
      <c r="A2710" s="30">
        <f t="shared" si="89"/>
        <v>45800</v>
      </c>
      <c r="B2710" s="32" t="s">
        <v>199</v>
      </c>
      <c r="C2710" t="s">
        <v>207</v>
      </c>
      <c r="D2710">
        <f>IF(B2710=$AB$2,$AC$2,$AC$3)</f>
        <v>1</v>
      </c>
      <c r="E2710">
        <f>IF(ISBLANK(C2710),0,VLOOKUP(C2710,$AE$2:$AF$7,2,0))</f>
        <v>0.5</v>
      </c>
      <c r="F2710">
        <f t="shared" si="90"/>
        <v>0.5</v>
      </c>
    </row>
    <row r="2711" spans="1:6">
      <c r="A2711" s="30">
        <f t="shared" si="89"/>
        <v>45801</v>
      </c>
      <c r="B2711" s="32" t="s">
        <v>199</v>
      </c>
      <c r="C2711" t="s">
        <v>207</v>
      </c>
      <c r="D2711">
        <f>IF(B2711=$AB$2,$AC$2,$AC$3)</f>
        <v>1</v>
      </c>
      <c r="E2711">
        <f>IF(ISBLANK(C2711),0,VLOOKUP(C2711,$AE$2:$AF$7,2,0))</f>
        <v>0.5</v>
      </c>
      <c r="F2711">
        <f t="shared" si="90"/>
        <v>0.5</v>
      </c>
    </row>
    <row r="2712" spans="1:6">
      <c r="A2712" s="30">
        <f t="shared" si="89"/>
        <v>45802</v>
      </c>
      <c r="B2712" s="32" t="s">
        <v>199</v>
      </c>
      <c r="C2712" t="s">
        <v>207</v>
      </c>
      <c r="D2712">
        <f>IF(B2712=$AB$2,$AC$2,$AC$3)</f>
        <v>1</v>
      </c>
      <c r="E2712">
        <f>IF(ISBLANK(C2712),0,VLOOKUP(C2712,$AE$2:$AF$7,2,0))</f>
        <v>0.5</v>
      </c>
      <c r="F2712">
        <f t="shared" si="90"/>
        <v>0.5</v>
      </c>
    </row>
    <row r="2713" spans="1:6">
      <c r="A2713" s="30">
        <f t="shared" si="89"/>
        <v>45803</v>
      </c>
      <c r="B2713" s="32" t="s">
        <v>199</v>
      </c>
      <c r="C2713" t="s">
        <v>207</v>
      </c>
      <c r="D2713">
        <f>IF(B2713=$AB$2,$AC$2,$AC$3)</f>
        <v>1</v>
      </c>
      <c r="E2713">
        <f>IF(ISBLANK(C2713),0,VLOOKUP(C2713,$AE$2:$AF$7,2,0))</f>
        <v>0.5</v>
      </c>
      <c r="F2713">
        <f t="shared" si="90"/>
        <v>0.5</v>
      </c>
    </row>
    <row r="2714" spans="1:6">
      <c r="A2714" s="30">
        <f t="shared" si="89"/>
        <v>45804</v>
      </c>
      <c r="B2714" s="32" t="s">
        <v>199</v>
      </c>
      <c r="C2714" t="s">
        <v>207</v>
      </c>
      <c r="D2714">
        <f>IF(B2714=$AB$2,$AC$2,$AC$3)</f>
        <v>1</v>
      </c>
      <c r="E2714">
        <f>IF(ISBLANK(C2714),0,VLOOKUP(C2714,$AE$2:$AF$7,2,0))</f>
        <v>0.5</v>
      </c>
      <c r="F2714">
        <f t="shared" si="90"/>
        <v>0.5</v>
      </c>
    </row>
    <row r="2715" spans="1:6">
      <c r="A2715" s="30">
        <f t="shared" si="89"/>
        <v>45805</v>
      </c>
      <c r="B2715" s="32" t="s">
        <v>199</v>
      </c>
      <c r="C2715" t="s">
        <v>207</v>
      </c>
      <c r="D2715">
        <f>IF(B2715=$AB$2,$AC$2,$AC$3)</f>
        <v>1</v>
      </c>
      <c r="E2715">
        <f>IF(ISBLANK(C2715),0,VLOOKUP(C2715,$AE$2:$AF$7,2,0))</f>
        <v>0.5</v>
      </c>
      <c r="F2715">
        <f t="shared" si="90"/>
        <v>0.5</v>
      </c>
    </row>
    <row r="2716" spans="1:6">
      <c r="A2716" s="30">
        <f t="shared" si="89"/>
        <v>45806</v>
      </c>
      <c r="B2716" s="32" t="s">
        <v>199</v>
      </c>
      <c r="C2716" t="s">
        <v>207</v>
      </c>
      <c r="D2716">
        <f>IF(B2716=$AB$2,$AC$2,$AC$3)</f>
        <v>1</v>
      </c>
      <c r="E2716">
        <f>IF(ISBLANK(C2716),0,VLOOKUP(C2716,$AE$2:$AF$7,2,0))</f>
        <v>0.5</v>
      </c>
      <c r="F2716">
        <f t="shared" si="90"/>
        <v>0.5</v>
      </c>
    </row>
    <row r="2717" spans="1:6">
      <c r="A2717" s="30">
        <f t="shared" si="89"/>
        <v>45807</v>
      </c>
      <c r="B2717" s="32" t="s">
        <v>199</v>
      </c>
      <c r="C2717" t="s">
        <v>207</v>
      </c>
      <c r="D2717">
        <f>IF(B2717=$AB$2,$AC$2,$AC$3)</f>
        <v>1</v>
      </c>
      <c r="E2717">
        <f>IF(ISBLANK(C2717),0,VLOOKUP(C2717,$AE$2:$AF$7,2,0))</f>
        <v>0.5</v>
      </c>
      <c r="F2717">
        <f t="shared" si="90"/>
        <v>0.5</v>
      </c>
    </row>
    <row r="2718" spans="1:6">
      <c r="A2718" s="30">
        <f t="shared" si="89"/>
        <v>45808</v>
      </c>
      <c r="B2718" s="32" t="s">
        <v>199</v>
      </c>
      <c r="C2718" t="s">
        <v>207</v>
      </c>
      <c r="D2718">
        <f>IF(B2718=$AB$2,$AC$2,$AC$3)</f>
        <v>1</v>
      </c>
      <c r="E2718">
        <f>IF(ISBLANK(C2718),0,VLOOKUP(C2718,$AE$2:$AF$7,2,0))</f>
        <v>0.5</v>
      </c>
      <c r="F2718">
        <f t="shared" si="90"/>
        <v>0.5</v>
      </c>
    </row>
    <row r="2719" spans="1:6">
      <c r="A2719" s="30">
        <f t="shared" si="89"/>
        <v>45809</v>
      </c>
      <c r="B2719" s="32" t="s">
        <v>199</v>
      </c>
      <c r="C2719" t="s">
        <v>207</v>
      </c>
      <c r="D2719">
        <f>IF(B2719=$AB$2,$AC$2,$AC$3)</f>
        <v>1</v>
      </c>
      <c r="E2719">
        <f>IF(ISBLANK(C2719),0,VLOOKUP(C2719,$AE$2:$AF$7,2,0))</f>
        <v>0.5</v>
      </c>
      <c r="F2719">
        <f t="shared" si="90"/>
        <v>0.5</v>
      </c>
    </row>
    <row r="2720" spans="1:6">
      <c r="A2720" s="30">
        <f t="shared" si="89"/>
        <v>45810</v>
      </c>
      <c r="B2720" s="32" t="s">
        <v>199</v>
      </c>
      <c r="C2720" t="s">
        <v>207</v>
      </c>
      <c r="D2720">
        <f>IF(B2720=$AB$2,$AC$2,$AC$3)</f>
        <v>1</v>
      </c>
      <c r="E2720">
        <f>IF(ISBLANK(C2720),0,VLOOKUP(C2720,$AE$2:$AF$7,2,0))</f>
        <v>0.5</v>
      </c>
      <c r="F2720">
        <f t="shared" si="90"/>
        <v>0.5</v>
      </c>
    </row>
    <row r="2721" spans="1:6">
      <c r="A2721" s="30">
        <f t="shared" si="89"/>
        <v>45811</v>
      </c>
      <c r="B2721" s="32" t="s">
        <v>199</v>
      </c>
      <c r="C2721" t="s">
        <v>207</v>
      </c>
      <c r="D2721">
        <f>IF(B2721=$AB$2,$AC$2,$AC$3)</f>
        <v>1</v>
      </c>
      <c r="E2721">
        <f>IF(ISBLANK(C2721),0,VLOOKUP(C2721,$AE$2:$AF$7,2,0))</f>
        <v>0.5</v>
      </c>
      <c r="F2721">
        <f t="shared" si="90"/>
        <v>0.5</v>
      </c>
    </row>
    <row r="2722" spans="1:6">
      <c r="A2722" s="30">
        <f t="shared" si="89"/>
        <v>45812</v>
      </c>
      <c r="B2722" s="32" t="s">
        <v>199</v>
      </c>
      <c r="C2722" t="s">
        <v>207</v>
      </c>
      <c r="D2722">
        <f>IF(B2722=$AB$2,$AC$2,$AC$3)</f>
        <v>1</v>
      </c>
      <c r="E2722">
        <f>IF(ISBLANK(C2722),0,VLOOKUP(C2722,$AE$2:$AF$7,2,0))</f>
        <v>0.5</v>
      </c>
      <c r="F2722">
        <f t="shared" si="90"/>
        <v>0.5</v>
      </c>
    </row>
    <row r="2723" spans="1:6">
      <c r="A2723" s="30">
        <f t="shared" si="89"/>
        <v>45813</v>
      </c>
      <c r="B2723" s="32" t="s">
        <v>199</v>
      </c>
      <c r="C2723" t="s">
        <v>207</v>
      </c>
      <c r="D2723">
        <f>IF(B2723=$AB$2,$AC$2,$AC$3)</f>
        <v>1</v>
      </c>
      <c r="E2723">
        <f>IF(ISBLANK(C2723),0,VLOOKUP(C2723,$AE$2:$AF$7,2,0))</f>
        <v>0.5</v>
      </c>
      <c r="F2723">
        <f t="shared" si="90"/>
        <v>0.5</v>
      </c>
    </row>
    <row r="2724" spans="1:6">
      <c r="A2724" s="30">
        <f t="shared" si="89"/>
        <v>45814</v>
      </c>
      <c r="B2724" s="32" t="s">
        <v>199</v>
      </c>
      <c r="C2724" t="s">
        <v>207</v>
      </c>
      <c r="D2724">
        <f>IF(B2724=$AB$2,$AC$2,$AC$3)</f>
        <v>1</v>
      </c>
      <c r="E2724">
        <f>IF(ISBLANK(C2724),0,VLOOKUP(C2724,$AE$2:$AF$7,2,0))</f>
        <v>0.5</v>
      </c>
      <c r="F2724">
        <f t="shared" si="90"/>
        <v>0.5</v>
      </c>
    </row>
    <row r="2725" spans="1:6">
      <c r="A2725" s="30">
        <f t="shared" si="89"/>
        <v>45815</v>
      </c>
      <c r="B2725" s="32" t="s">
        <v>199</v>
      </c>
      <c r="C2725" t="s">
        <v>207</v>
      </c>
      <c r="D2725">
        <f>IF(B2725=$AB$2,$AC$2,$AC$3)</f>
        <v>1</v>
      </c>
      <c r="E2725">
        <f>IF(ISBLANK(C2725),0,VLOOKUP(C2725,$AE$2:$AF$7,2,0))</f>
        <v>0.5</v>
      </c>
      <c r="F2725">
        <f t="shared" si="90"/>
        <v>0.5</v>
      </c>
    </row>
    <row r="2726" spans="1:6">
      <c r="A2726" s="30">
        <f t="shared" si="89"/>
        <v>45816</v>
      </c>
      <c r="B2726" s="32" t="s">
        <v>199</v>
      </c>
      <c r="C2726" t="s">
        <v>207</v>
      </c>
      <c r="D2726">
        <f>IF(B2726=$AB$2,$AC$2,$AC$3)</f>
        <v>1</v>
      </c>
      <c r="E2726">
        <f>IF(ISBLANK(C2726),0,VLOOKUP(C2726,$AE$2:$AF$7,2,0))</f>
        <v>0.5</v>
      </c>
      <c r="F2726">
        <f t="shared" si="90"/>
        <v>0.5</v>
      </c>
    </row>
    <row r="2727" spans="1:6">
      <c r="A2727" s="30">
        <f t="shared" si="89"/>
        <v>45817</v>
      </c>
      <c r="B2727" s="32" t="s">
        <v>199</v>
      </c>
      <c r="C2727" t="s">
        <v>207</v>
      </c>
      <c r="D2727">
        <f>IF(B2727=$AB$2,$AC$2,$AC$3)</f>
        <v>1</v>
      </c>
      <c r="E2727">
        <f>IF(ISBLANK(C2727),0,VLOOKUP(C2727,$AE$2:$AF$7,2,0))</f>
        <v>0.5</v>
      </c>
      <c r="F2727">
        <f t="shared" si="90"/>
        <v>0.5</v>
      </c>
    </row>
    <row r="2728" spans="1:6">
      <c r="A2728" s="30">
        <f t="shared" si="89"/>
        <v>45818</v>
      </c>
      <c r="B2728" s="32" t="s">
        <v>199</v>
      </c>
      <c r="C2728" t="s">
        <v>207</v>
      </c>
      <c r="D2728">
        <f>IF(B2728=$AB$2,$AC$2,$AC$3)</f>
        <v>1</v>
      </c>
      <c r="E2728">
        <f>IF(ISBLANK(C2728),0,VLOOKUP(C2728,$AE$2:$AF$7,2,0))</f>
        <v>0.5</v>
      </c>
      <c r="F2728">
        <f t="shared" si="90"/>
        <v>0.5</v>
      </c>
    </row>
    <row r="2729" spans="1:6">
      <c r="A2729" s="30">
        <f t="shared" si="89"/>
        <v>45819</v>
      </c>
      <c r="B2729" s="32" t="s">
        <v>199</v>
      </c>
      <c r="C2729" t="s">
        <v>207</v>
      </c>
      <c r="D2729">
        <f>IF(B2729=$AB$2,$AC$2,$AC$3)</f>
        <v>1</v>
      </c>
      <c r="E2729">
        <f>IF(ISBLANK(C2729),0,VLOOKUP(C2729,$AE$2:$AF$7,2,0))</f>
        <v>0.5</v>
      </c>
      <c r="F2729">
        <f t="shared" si="90"/>
        <v>0.5</v>
      </c>
    </row>
    <row r="2730" spans="1:6">
      <c r="A2730" s="30">
        <f t="shared" si="89"/>
        <v>45820</v>
      </c>
      <c r="B2730" s="32" t="s">
        <v>199</v>
      </c>
      <c r="C2730" t="s">
        <v>207</v>
      </c>
      <c r="D2730">
        <f>IF(B2730=$AB$2,$AC$2,$AC$3)</f>
        <v>1</v>
      </c>
      <c r="E2730">
        <f>IF(ISBLANK(C2730),0,VLOOKUP(C2730,$AE$2:$AF$7,2,0))</f>
        <v>0.5</v>
      </c>
      <c r="F2730">
        <f t="shared" si="90"/>
        <v>0.5</v>
      </c>
    </row>
    <row r="2731" spans="1:6">
      <c r="A2731" s="30">
        <f t="shared" si="89"/>
        <v>45821</v>
      </c>
      <c r="B2731" s="32" t="s">
        <v>199</v>
      </c>
      <c r="C2731" t="s">
        <v>207</v>
      </c>
      <c r="D2731">
        <f>IF(B2731=$AB$2,$AC$2,$AC$3)</f>
        <v>1</v>
      </c>
      <c r="E2731">
        <f>IF(ISBLANK(C2731),0,VLOOKUP(C2731,$AE$2:$AF$7,2,0))</f>
        <v>0.5</v>
      </c>
      <c r="F2731">
        <f t="shared" si="90"/>
        <v>0.5</v>
      </c>
    </row>
    <row r="2732" spans="1:6">
      <c r="A2732" s="30">
        <f t="shared" si="89"/>
        <v>45822</v>
      </c>
      <c r="B2732" s="32" t="s">
        <v>199</v>
      </c>
      <c r="C2732" t="s">
        <v>207</v>
      </c>
      <c r="D2732">
        <f>IF(B2732=$AB$2,$AC$2,$AC$3)</f>
        <v>1</v>
      </c>
      <c r="E2732">
        <f>IF(ISBLANK(C2732),0,VLOOKUP(C2732,$AE$2:$AF$7,2,0))</f>
        <v>0.5</v>
      </c>
      <c r="F2732">
        <f t="shared" si="90"/>
        <v>0.5</v>
      </c>
    </row>
    <row r="2733" spans="1:6">
      <c r="A2733" s="30">
        <f t="shared" si="89"/>
        <v>45823</v>
      </c>
      <c r="B2733" s="32" t="s">
        <v>199</v>
      </c>
      <c r="C2733" t="s">
        <v>207</v>
      </c>
      <c r="D2733">
        <f>IF(B2733=$AB$2,$AC$2,$AC$3)</f>
        <v>1</v>
      </c>
      <c r="E2733">
        <f>IF(ISBLANK(C2733),0,VLOOKUP(C2733,$AE$2:$AF$7,2,0))</f>
        <v>0.5</v>
      </c>
      <c r="F2733">
        <f t="shared" si="90"/>
        <v>0.5</v>
      </c>
    </row>
    <row r="2734" spans="1:6">
      <c r="A2734" s="30">
        <f t="shared" si="89"/>
        <v>45824</v>
      </c>
      <c r="B2734" s="32" t="s">
        <v>199</v>
      </c>
      <c r="C2734" t="s">
        <v>207</v>
      </c>
      <c r="D2734">
        <f>IF(B2734=$AB$2,$AC$2,$AC$3)</f>
        <v>1</v>
      </c>
      <c r="E2734">
        <f>IF(ISBLANK(C2734),0,VLOOKUP(C2734,$AE$2:$AF$7,2,0))</f>
        <v>0.5</v>
      </c>
      <c r="F2734">
        <f t="shared" si="90"/>
        <v>0.5</v>
      </c>
    </row>
    <row r="2735" spans="1:6">
      <c r="A2735" s="30">
        <f t="shared" si="89"/>
        <v>45825</v>
      </c>
      <c r="B2735" s="32" t="s">
        <v>199</v>
      </c>
      <c r="C2735" t="s">
        <v>207</v>
      </c>
      <c r="D2735">
        <f>IF(B2735=$AB$2,$AC$2,$AC$3)</f>
        <v>1</v>
      </c>
      <c r="E2735">
        <f>IF(ISBLANK(C2735),0,VLOOKUP(C2735,$AE$2:$AF$7,2,0))</f>
        <v>0.5</v>
      </c>
      <c r="F2735">
        <f t="shared" si="90"/>
        <v>0.5</v>
      </c>
    </row>
    <row r="2736" spans="1:6">
      <c r="A2736" s="30">
        <f t="shared" si="89"/>
        <v>45826</v>
      </c>
      <c r="B2736" s="32" t="s">
        <v>199</v>
      </c>
      <c r="C2736" t="s">
        <v>207</v>
      </c>
      <c r="D2736">
        <f>IF(B2736=$AB$2,$AC$2,$AC$3)</f>
        <v>1</v>
      </c>
      <c r="E2736">
        <f>IF(ISBLANK(C2736),0,VLOOKUP(C2736,$AE$2:$AF$7,2,0))</f>
        <v>0.5</v>
      </c>
      <c r="F2736">
        <f t="shared" si="90"/>
        <v>0.5</v>
      </c>
    </row>
    <row r="2737" spans="1:6">
      <c r="A2737" s="30">
        <f t="shared" si="89"/>
        <v>45827</v>
      </c>
      <c r="B2737" s="32" t="s">
        <v>199</v>
      </c>
      <c r="C2737" t="s">
        <v>207</v>
      </c>
      <c r="D2737">
        <f>IF(B2737=$AB$2,$AC$2,$AC$3)</f>
        <v>1</v>
      </c>
      <c r="E2737">
        <f>IF(ISBLANK(C2737),0,VLOOKUP(C2737,$AE$2:$AF$7,2,0))</f>
        <v>0.5</v>
      </c>
      <c r="F2737">
        <f t="shared" si="90"/>
        <v>0.5</v>
      </c>
    </row>
    <row r="2738" spans="1:6">
      <c r="A2738" s="30">
        <f t="shared" si="89"/>
        <v>45828</v>
      </c>
      <c r="B2738" s="32" t="s">
        <v>199</v>
      </c>
      <c r="C2738" t="s">
        <v>207</v>
      </c>
      <c r="D2738">
        <f>IF(B2738=$AB$2,$AC$2,$AC$3)</f>
        <v>1</v>
      </c>
      <c r="E2738">
        <f>IF(ISBLANK(C2738),0,VLOOKUP(C2738,$AE$2:$AF$7,2,0))</f>
        <v>0.5</v>
      </c>
      <c r="F2738">
        <f t="shared" si="90"/>
        <v>0.5</v>
      </c>
    </row>
    <row r="2739" spans="1:6">
      <c r="A2739" s="30">
        <f>A2738+1</f>
        <v>45829</v>
      </c>
      <c r="B2739" s="32" t="s">
        <v>199</v>
      </c>
      <c r="C2739" t="s">
        <v>207</v>
      </c>
      <c r="D2739">
        <f>IF(B2739=$AB$2,$AC$2,$AC$3)</f>
        <v>1</v>
      </c>
      <c r="E2739">
        <f>IF(ISBLANK(C2739),0,VLOOKUP(C2739,$AE$2:$AF$7,2,0))</f>
        <v>0.5</v>
      </c>
      <c r="F2739">
        <f t="shared" si="90"/>
        <v>0.5</v>
      </c>
    </row>
    <row r="2740" spans="1:6">
      <c r="A2740" s="30">
        <f t="shared" ref="A2740:A2803" si="91">A2739+1</f>
        <v>45830</v>
      </c>
      <c r="B2740" s="32" t="s">
        <v>199</v>
      </c>
      <c r="C2740" t="s">
        <v>207</v>
      </c>
      <c r="D2740">
        <f>IF(B2740=$AB$2,$AC$2,$AC$3)</f>
        <v>1</v>
      </c>
      <c r="E2740">
        <f>IF(ISBLANK(C2740),0,VLOOKUP(C2740,$AE$2:$AF$7,2,0))</f>
        <v>0.5</v>
      </c>
      <c r="F2740">
        <f t="shared" si="90"/>
        <v>0.5</v>
      </c>
    </row>
    <row r="2741" spans="1:6">
      <c r="A2741" s="30">
        <f t="shared" si="91"/>
        <v>45831</v>
      </c>
      <c r="B2741" s="32" t="s">
        <v>199</v>
      </c>
      <c r="C2741" t="s">
        <v>207</v>
      </c>
      <c r="D2741">
        <f>IF(B2741=$AB$2,$AC$2,$AC$3)</f>
        <v>1</v>
      </c>
      <c r="E2741">
        <f>IF(ISBLANK(C2741),0,VLOOKUP(C2741,$AE$2:$AF$7,2,0))</f>
        <v>0.5</v>
      </c>
      <c r="F2741">
        <f t="shared" si="90"/>
        <v>0.5</v>
      </c>
    </row>
    <row r="2742" spans="1:6">
      <c r="A2742" s="30">
        <f t="shared" si="91"/>
        <v>45832</v>
      </c>
      <c r="B2742" s="32" t="s">
        <v>199</v>
      </c>
      <c r="C2742" t="s">
        <v>207</v>
      </c>
      <c r="D2742">
        <f>IF(B2742=$AB$2,$AC$2,$AC$3)</f>
        <v>1</v>
      </c>
      <c r="E2742">
        <f>IF(ISBLANK(C2742),0,VLOOKUP(C2742,$AE$2:$AF$7,2,0))</f>
        <v>0.5</v>
      </c>
      <c r="F2742">
        <f t="shared" si="90"/>
        <v>0.5</v>
      </c>
    </row>
    <row r="2743" spans="1:6">
      <c r="A2743" s="30">
        <f t="shared" si="91"/>
        <v>45833</v>
      </c>
      <c r="B2743" s="32" t="s">
        <v>199</v>
      </c>
      <c r="C2743" t="s">
        <v>207</v>
      </c>
      <c r="D2743">
        <f>IF(B2743=$AB$2,$AC$2,$AC$3)</f>
        <v>1</v>
      </c>
      <c r="E2743">
        <f>IF(ISBLANK(C2743),0,VLOOKUP(C2743,$AE$2:$AF$7,2,0))</f>
        <v>0.5</v>
      </c>
      <c r="F2743">
        <f t="shared" si="90"/>
        <v>0.5</v>
      </c>
    </row>
    <row r="2744" spans="1:6">
      <c r="A2744" s="30">
        <f t="shared" si="91"/>
        <v>45834</v>
      </c>
      <c r="B2744" s="32" t="s">
        <v>199</v>
      </c>
      <c r="C2744" t="s">
        <v>207</v>
      </c>
      <c r="D2744">
        <f>IF(B2744=$AB$2,$AC$2,$AC$3)</f>
        <v>1</v>
      </c>
      <c r="E2744">
        <f>IF(ISBLANK(C2744),0,VLOOKUP(C2744,$AE$2:$AF$7,2,0))</f>
        <v>0.5</v>
      </c>
      <c r="F2744">
        <f t="shared" si="90"/>
        <v>0.5</v>
      </c>
    </row>
    <row r="2745" spans="1:6">
      <c r="A2745" s="30">
        <f t="shared" si="91"/>
        <v>45835</v>
      </c>
      <c r="B2745" s="32" t="s">
        <v>199</v>
      </c>
      <c r="C2745" t="s">
        <v>207</v>
      </c>
      <c r="D2745">
        <f>IF(B2745=$AB$2,$AC$2,$AC$3)</f>
        <v>1</v>
      </c>
      <c r="E2745">
        <f>IF(ISBLANK(C2745),0,VLOOKUP(C2745,$AE$2:$AF$7,2,0))</f>
        <v>0.5</v>
      </c>
      <c r="F2745">
        <f t="shared" si="90"/>
        <v>0.5</v>
      </c>
    </row>
    <row r="2746" spans="1:6">
      <c r="A2746" s="30">
        <f t="shared" si="91"/>
        <v>45836</v>
      </c>
      <c r="B2746" s="32" t="s">
        <v>199</v>
      </c>
      <c r="C2746" t="s">
        <v>207</v>
      </c>
      <c r="D2746">
        <f>IF(B2746=$AB$2,$AC$2,$AC$3)</f>
        <v>1</v>
      </c>
      <c r="E2746">
        <f>IF(ISBLANK(C2746),0,VLOOKUP(C2746,$AE$2:$AF$7,2,0))</f>
        <v>0.5</v>
      </c>
      <c r="F2746">
        <f t="shared" si="90"/>
        <v>0.5</v>
      </c>
    </row>
    <row r="2747" spans="1:6">
      <c r="A2747" s="30">
        <f t="shared" si="91"/>
        <v>45837</v>
      </c>
      <c r="B2747" s="32" t="s">
        <v>199</v>
      </c>
      <c r="C2747" t="s">
        <v>207</v>
      </c>
      <c r="D2747">
        <f>IF(B2747=$AB$2,$AC$2,$AC$3)</f>
        <v>1</v>
      </c>
      <c r="E2747">
        <f>IF(ISBLANK(C2747),0,VLOOKUP(C2747,$AE$2:$AF$7,2,0))</f>
        <v>0.5</v>
      </c>
      <c r="F2747">
        <f t="shared" si="90"/>
        <v>0.5</v>
      </c>
    </row>
    <row r="2748" spans="1:6">
      <c r="A2748" s="30">
        <f t="shared" si="91"/>
        <v>45838</v>
      </c>
      <c r="B2748" s="32" t="s">
        <v>199</v>
      </c>
      <c r="C2748" t="s">
        <v>207</v>
      </c>
      <c r="D2748">
        <f>IF(B2748=$AB$2,$AC$2,$AC$3)</f>
        <v>1</v>
      </c>
      <c r="E2748">
        <f>IF(ISBLANK(C2748),0,VLOOKUP(C2748,$AE$2:$AF$7,2,0))</f>
        <v>0.5</v>
      </c>
      <c r="F2748">
        <f t="shared" si="90"/>
        <v>0.5</v>
      </c>
    </row>
    <row r="2749" spans="1:6">
      <c r="A2749" s="30">
        <f t="shared" si="91"/>
        <v>45839</v>
      </c>
      <c r="B2749" s="32" t="s">
        <v>199</v>
      </c>
      <c r="C2749" t="s">
        <v>207</v>
      </c>
      <c r="D2749">
        <f>IF(B2749=$AB$2,$AC$2,$AC$3)</f>
        <v>1</v>
      </c>
      <c r="E2749">
        <f>IF(ISBLANK(C2749),0,VLOOKUP(C2749,$AE$2:$AF$7,2,0))</f>
        <v>0.5</v>
      </c>
      <c r="F2749">
        <f t="shared" si="90"/>
        <v>0.5</v>
      </c>
    </row>
    <row r="2750" spans="1:6">
      <c r="A2750" s="30">
        <f t="shared" si="91"/>
        <v>45840</v>
      </c>
      <c r="B2750" s="32" t="s">
        <v>199</v>
      </c>
      <c r="C2750" t="s">
        <v>207</v>
      </c>
      <c r="D2750">
        <f>IF(B2750=$AB$2,$AC$2,$AC$3)</f>
        <v>1</v>
      </c>
      <c r="E2750">
        <f>IF(ISBLANK(C2750),0,VLOOKUP(C2750,$AE$2:$AF$7,2,0))</f>
        <v>0.5</v>
      </c>
      <c r="F2750">
        <f t="shared" si="90"/>
        <v>0.5</v>
      </c>
    </row>
    <row r="2751" spans="1:6">
      <c r="A2751" s="30">
        <f t="shared" si="91"/>
        <v>45841</v>
      </c>
      <c r="B2751" s="32" t="s">
        <v>199</v>
      </c>
      <c r="C2751" t="s">
        <v>207</v>
      </c>
      <c r="D2751">
        <f>IF(B2751=$AB$2,$AC$2,$AC$3)</f>
        <v>1</v>
      </c>
      <c r="E2751">
        <f>IF(ISBLANK(C2751),0,VLOOKUP(C2751,$AE$2:$AF$7,2,0))</f>
        <v>0.5</v>
      </c>
      <c r="F2751">
        <f t="shared" si="90"/>
        <v>0.5</v>
      </c>
    </row>
    <row r="2752" spans="1:6">
      <c r="A2752" s="30">
        <f t="shared" si="91"/>
        <v>45842</v>
      </c>
      <c r="B2752" s="32" t="s">
        <v>199</v>
      </c>
      <c r="C2752" t="s">
        <v>207</v>
      </c>
      <c r="D2752">
        <f>IF(B2752=$AB$2,$AC$2,$AC$3)</f>
        <v>1</v>
      </c>
      <c r="E2752">
        <f>IF(ISBLANK(C2752),0,VLOOKUP(C2752,$AE$2:$AF$7,2,0))</f>
        <v>0.5</v>
      </c>
      <c r="F2752">
        <f t="shared" si="90"/>
        <v>0.5</v>
      </c>
    </row>
    <row r="2753" spans="1:6">
      <c r="A2753" s="30">
        <f t="shared" si="91"/>
        <v>45843</v>
      </c>
      <c r="B2753" s="32" t="s">
        <v>199</v>
      </c>
      <c r="C2753" t="s">
        <v>207</v>
      </c>
      <c r="D2753">
        <f>IF(B2753=$AB$2,$AC$2,$AC$3)</f>
        <v>1</v>
      </c>
      <c r="E2753">
        <f>IF(ISBLANK(C2753),0,VLOOKUP(C2753,$AE$2:$AF$7,2,0))</f>
        <v>0.5</v>
      </c>
      <c r="F2753">
        <f t="shared" si="90"/>
        <v>0.5</v>
      </c>
    </row>
    <row r="2754" spans="1:6">
      <c r="A2754" s="30">
        <f t="shared" si="91"/>
        <v>45844</v>
      </c>
      <c r="B2754" s="32" t="s">
        <v>199</v>
      </c>
      <c r="C2754" t="s">
        <v>207</v>
      </c>
      <c r="D2754">
        <f>IF(B2754=$AB$2,$AC$2,$AC$3)</f>
        <v>1</v>
      </c>
      <c r="E2754">
        <f>IF(ISBLANK(C2754),0,VLOOKUP(C2754,$AE$2:$AF$7,2,0))</f>
        <v>0.5</v>
      </c>
      <c r="F2754">
        <f t="shared" si="90"/>
        <v>0.5</v>
      </c>
    </row>
    <row r="2755" spans="1:6">
      <c r="A2755" s="30">
        <f t="shared" si="91"/>
        <v>45845</v>
      </c>
      <c r="B2755" s="32" t="s">
        <v>199</v>
      </c>
      <c r="C2755" t="s">
        <v>207</v>
      </c>
      <c r="D2755">
        <f>IF(B2755=$AB$2,$AC$2,$AC$3)</f>
        <v>1</v>
      </c>
      <c r="E2755">
        <f>IF(ISBLANK(C2755),0,VLOOKUP(C2755,$AE$2:$AF$7,2,0))</f>
        <v>0.5</v>
      </c>
      <c r="F2755">
        <f t="shared" ref="F2755:F2818" si="92">D2755*E2755</f>
        <v>0.5</v>
      </c>
    </row>
    <row r="2756" spans="1:6">
      <c r="A2756" s="30">
        <f t="shared" si="91"/>
        <v>45846</v>
      </c>
      <c r="B2756" s="32" t="s">
        <v>199</v>
      </c>
      <c r="C2756" t="s">
        <v>207</v>
      </c>
      <c r="D2756">
        <f>IF(B2756=$AB$2,$AC$2,$AC$3)</f>
        <v>1</v>
      </c>
      <c r="E2756">
        <f>IF(ISBLANK(C2756),0,VLOOKUP(C2756,$AE$2:$AF$7,2,0))</f>
        <v>0.5</v>
      </c>
      <c r="F2756">
        <f t="shared" si="92"/>
        <v>0.5</v>
      </c>
    </row>
    <row r="2757" spans="1:6">
      <c r="A2757" s="30">
        <f t="shared" si="91"/>
        <v>45847</v>
      </c>
      <c r="B2757" s="32" t="s">
        <v>199</v>
      </c>
      <c r="C2757" t="s">
        <v>207</v>
      </c>
      <c r="D2757">
        <f>IF(B2757=$AB$2,$AC$2,$AC$3)</f>
        <v>1</v>
      </c>
      <c r="E2757">
        <f>IF(ISBLANK(C2757),0,VLOOKUP(C2757,$AE$2:$AF$7,2,0))</f>
        <v>0.5</v>
      </c>
      <c r="F2757">
        <f t="shared" si="92"/>
        <v>0.5</v>
      </c>
    </row>
    <row r="2758" spans="1:6">
      <c r="A2758" s="30">
        <f t="shared" si="91"/>
        <v>45848</v>
      </c>
      <c r="B2758" s="32" t="s">
        <v>199</v>
      </c>
      <c r="C2758" t="s">
        <v>207</v>
      </c>
      <c r="D2758">
        <f>IF(B2758=$AB$2,$AC$2,$AC$3)</f>
        <v>1</v>
      </c>
      <c r="E2758">
        <f>IF(ISBLANK(C2758),0,VLOOKUP(C2758,$AE$2:$AF$7,2,0))</f>
        <v>0.5</v>
      </c>
      <c r="F2758">
        <f t="shared" si="92"/>
        <v>0.5</v>
      </c>
    </row>
    <row r="2759" spans="1:6">
      <c r="A2759" s="30">
        <f t="shared" si="91"/>
        <v>45849</v>
      </c>
      <c r="B2759" s="32" t="s">
        <v>199</v>
      </c>
      <c r="C2759" t="s">
        <v>207</v>
      </c>
      <c r="D2759">
        <f>IF(B2759=$AB$2,$AC$2,$AC$3)</f>
        <v>1</v>
      </c>
      <c r="E2759">
        <f>IF(ISBLANK(C2759),0,VLOOKUP(C2759,$AE$2:$AF$7,2,0))</f>
        <v>0.5</v>
      </c>
      <c r="F2759">
        <f t="shared" si="92"/>
        <v>0.5</v>
      </c>
    </row>
    <row r="2760" spans="1:6">
      <c r="A2760" s="30">
        <f t="shared" si="91"/>
        <v>45850</v>
      </c>
      <c r="B2760" s="32" t="s">
        <v>199</v>
      </c>
      <c r="C2760" t="s">
        <v>207</v>
      </c>
      <c r="D2760">
        <f>IF(B2760=$AB$2,$AC$2,$AC$3)</f>
        <v>1</v>
      </c>
      <c r="E2760">
        <f>IF(ISBLANK(C2760),0,VLOOKUP(C2760,$AE$2:$AF$7,2,0))</f>
        <v>0.5</v>
      </c>
      <c r="F2760">
        <f t="shared" si="92"/>
        <v>0.5</v>
      </c>
    </row>
    <row r="2761" spans="1:6">
      <c r="A2761" s="30">
        <f t="shared" si="91"/>
        <v>45851</v>
      </c>
      <c r="B2761" s="32" t="s">
        <v>199</v>
      </c>
      <c r="C2761" t="s">
        <v>207</v>
      </c>
      <c r="D2761">
        <f>IF(B2761=$AB$2,$AC$2,$AC$3)</f>
        <v>1</v>
      </c>
      <c r="E2761">
        <f>IF(ISBLANK(C2761),0,VLOOKUP(C2761,$AE$2:$AF$7,2,0))</f>
        <v>0.5</v>
      </c>
      <c r="F2761">
        <f t="shared" si="92"/>
        <v>0.5</v>
      </c>
    </row>
    <row r="2762" spans="1:6">
      <c r="A2762" s="30">
        <f t="shared" si="91"/>
        <v>45852</v>
      </c>
      <c r="B2762" s="32" t="s">
        <v>199</v>
      </c>
      <c r="C2762" t="s">
        <v>207</v>
      </c>
      <c r="D2762">
        <f>IF(B2762=$AB$2,$AC$2,$AC$3)</f>
        <v>1</v>
      </c>
      <c r="E2762">
        <f>IF(ISBLANK(C2762),0,VLOOKUP(C2762,$AE$2:$AF$7,2,0))</f>
        <v>0.5</v>
      </c>
      <c r="F2762">
        <f t="shared" si="92"/>
        <v>0.5</v>
      </c>
    </row>
    <row r="2763" spans="1:6">
      <c r="A2763" s="30">
        <f t="shared" si="91"/>
        <v>45853</v>
      </c>
      <c r="B2763" s="32" t="s">
        <v>199</v>
      </c>
      <c r="C2763" t="s">
        <v>207</v>
      </c>
      <c r="D2763">
        <f>IF(B2763=$AB$2,$AC$2,$AC$3)</f>
        <v>1</v>
      </c>
      <c r="E2763">
        <f>IF(ISBLANK(C2763),0,VLOOKUP(C2763,$AE$2:$AF$7,2,0))</f>
        <v>0.5</v>
      </c>
      <c r="F2763">
        <f t="shared" si="92"/>
        <v>0.5</v>
      </c>
    </row>
    <row r="2764" spans="1:6">
      <c r="A2764" s="30">
        <f t="shared" si="91"/>
        <v>45854</v>
      </c>
      <c r="B2764" s="32" t="s">
        <v>199</v>
      </c>
      <c r="C2764" t="s">
        <v>207</v>
      </c>
      <c r="D2764">
        <f>IF(B2764=$AB$2,$AC$2,$AC$3)</f>
        <v>1</v>
      </c>
      <c r="E2764">
        <f>IF(ISBLANK(C2764),0,VLOOKUP(C2764,$AE$2:$AF$7,2,0))</f>
        <v>0.5</v>
      </c>
      <c r="F2764">
        <f t="shared" si="92"/>
        <v>0.5</v>
      </c>
    </row>
    <row r="2765" spans="1:6">
      <c r="A2765" s="30">
        <f t="shared" si="91"/>
        <v>45855</v>
      </c>
      <c r="B2765" s="32" t="s">
        <v>199</v>
      </c>
      <c r="C2765" t="s">
        <v>207</v>
      </c>
      <c r="D2765">
        <f>IF(B2765=$AB$2,$AC$2,$AC$3)</f>
        <v>1</v>
      </c>
      <c r="E2765">
        <f>IF(ISBLANK(C2765),0,VLOOKUP(C2765,$AE$2:$AF$7,2,0))</f>
        <v>0.5</v>
      </c>
      <c r="F2765">
        <f t="shared" si="92"/>
        <v>0.5</v>
      </c>
    </row>
    <row r="2766" spans="1:6">
      <c r="A2766" s="30">
        <f t="shared" si="91"/>
        <v>45856</v>
      </c>
      <c r="B2766" s="32" t="s">
        <v>199</v>
      </c>
      <c r="C2766" t="s">
        <v>207</v>
      </c>
      <c r="D2766">
        <f>IF(B2766=$AB$2,$AC$2,$AC$3)</f>
        <v>1</v>
      </c>
      <c r="E2766">
        <f>IF(ISBLANK(C2766),0,VLOOKUP(C2766,$AE$2:$AF$7,2,0))</f>
        <v>0.5</v>
      </c>
      <c r="F2766">
        <f t="shared" si="92"/>
        <v>0.5</v>
      </c>
    </row>
    <row r="2767" spans="1:6">
      <c r="A2767" s="30">
        <f t="shared" si="91"/>
        <v>45857</v>
      </c>
      <c r="B2767" s="32" t="s">
        <v>199</v>
      </c>
      <c r="C2767" t="s">
        <v>207</v>
      </c>
      <c r="D2767">
        <f>IF(B2767=$AB$2,$AC$2,$AC$3)</f>
        <v>1</v>
      </c>
      <c r="E2767">
        <f>IF(ISBLANK(C2767),0,VLOOKUP(C2767,$AE$2:$AF$7,2,0))</f>
        <v>0.5</v>
      </c>
      <c r="F2767">
        <f t="shared" si="92"/>
        <v>0.5</v>
      </c>
    </row>
    <row r="2768" spans="1:6">
      <c r="A2768" s="30">
        <f t="shared" si="91"/>
        <v>45858</v>
      </c>
      <c r="B2768" s="32" t="s">
        <v>199</v>
      </c>
      <c r="C2768" t="s">
        <v>207</v>
      </c>
      <c r="D2768">
        <f>IF(B2768=$AB$2,$AC$2,$AC$3)</f>
        <v>1</v>
      </c>
      <c r="E2768">
        <f>IF(ISBLANK(C2768),0,VLOOKUP(C2768,$AE$2:$AF$7,2,0))</f>
        <v>0.5</v>
      </c>
      <c r="F2768">
        <f t="shared" si="92"/>
        <v>0.5</v>
      </c>
    </row>
    <row r="2769" spans="1:6">
      <c r="A2769" s="30">
        <f t="shared" si="91"/>
        <v>45859</v>
      </c>
      <c r="B2769" s="32" t="s">
        <v>199</v>
      </c>
      <c r="C2769" t="s">
        <v>207</v>
      </c>
      <c r="D2769">
        <f>IF(B2769=$AB$2,$AC$2,$AC$3)</f>
        <v>1</v>
      </c>
      <c r="E2769">
        <f>IF(ISBLANK(C2769),0,VLOOKUP(C2769,$AE$2:$AF$7,2,0))</f>
        <v>0.5</v>
      </c>
      <c r="F2769">
        <f t="shared" si="92"/>
        <v>0.5</v>
      </c>
    </row>
    <row r="2770" spans="1:6">
      <c r="A2770" s="30">
        <f t="shared" si="91"/>
        <v>45860</v>
      </c>
      <c r="B2770" s="32" t="s">
        <v>199</v>
      </c>
      <c r="C2770" t="s">
        <v>207</v>
      </c>
      <c r="D2770">
        <f>IF(B2770=$AB$2,$AC$2,$AC$3)</f>
        <v>1</v>
      </c>
      <c r="E2770">
        <f>IF(ISBLANK(C2770),0,VLOOKUP(C2770,$AE$2:$AF$7,2,0))</f>
        <v>0.5</v>
      </c>
      <c r="F2770">
        <f t="shared" si="92"/>
        <v>0.5</v>
      </c>
    </row>
    <row r="2771" spans="1:6">
      <c r="A2771" s="30">
        <f t="shared" si="91"/>
        <v>45861</v>
      </c>
      <c r="B2771" s="32" t="s">
        <v>199</v>
      </c>
      <c r="C2771" t="s">
        <v>207</v>
      </c>
      <c r="D2771">
        <f>IF(B2771=$AB$2,$AC$2,$AC$3)</f>
        <v>1</v>
      </c>
      <c r="E2771">
        <f>IF(ISBLANK(C2771),0,VLOOKUP(C2771,$AE$2:$AF$7,2,0))</f>
        <v>0.5</v>
      </c>
      <c r="F2771">
        <f t="shared" si="92"/>
        <v>0.5</v>
      </c>
    </row>
    <row r="2772" spans="1:6">
      <c r="A2772" s="30">
        <f t="shared" si="91"/>
        <v>45862</v>
      </c>
      <c r="B2772" s="32" t="s">
        <v>199</v>
      </c>
      <c r="C2772" t="s">
        <v>207</v>
      </c>
      <c r="D2772">
        <f>IF(B2772=$AB$2,$AC$2,$AC$3)</f>
        <v>1</v>
      </c>
      <c r="E2772">
        <f>IF(ISBLANK(C2772),0,VLOOKUP(C2772,$AE$2:$AF$7,2,0))</f>
        <v>0.5</v>
      </c>
      <c r="F2772">
        <f t="shared" si="92"/>
        <v>0.5</v>
      </c>
    </row>
    <row r="2773" spans="1:6">
      <c r="A2773" s="30">
        <f t="shared" si="91"/>
        <v>45863</v>
      </c>
      <c r="B2773" s="32" t="s">
        <v>199</v>
      </c>
      <c r="C2773" t="s">
        <v>207</v>
      </c>
      <c r="D2773">
        <f>IF(B2773=$AB$2,$AC$2,$AC$3)</f>
        <v>1</v>
      </c>
      <c r="E2773">
        <f>IF(ISBLANK(C2773),0,VLOOKUP(C2773,$AE$2:$AF$7,2,0))</f>
        <v>0.5</v>
      </c>
      <c r="F2773">
        <f t="shared" si="92"/>
        <v>0.5</v>
      </c>
    </row>
    <row r="2774" spans="1:6">
      <c r="A2774" s="30">
        <f t="shared" si="91"/>
        <v>45864</v>
      </c>
      <c r="B2774" s="32" t="s">
        <v>199</v>
      </c>
      <c r="C2774" t="s">
        <v>207</v>
      </c>
      <c r="D2774">
        <f>IF(B2774=$AB$2,$AC$2,$AC$3)</f>
        <v>1</v>
      </c>
      <c r="E2774">
        <f>IF(ISBLANK(C2774),0,VLOOKUP(C2774,$AE$2:$AF$7,2,0))</f>
        <v>0.5</v>
      </c>
      <c r="F2774">
        <f t="shared" si="92"/>
        <v>0.5</v>
      </c>
    </row>
    <row r="2775" spans="1:6">
      <c r="A2775" s="30">
        <f t="shared" si="91"/>
        <v>45865</v>
      </c>
      <c r="B2775" s="32" t="s">
        <v>199</v>
      </c>
      <c r="C2775" t="s">
        <v>207</v>
      </c>
      <c r="D2775">
        <f>IF(B2775=$AB$2,$AC$2,$AC$3)</f>
        <v>1</v>
      </c>
      <c r="E2775">
        <f>IF(ISBLANK(C2775),0,VLOOKUP(C2775,$AE$2:$AF$7,2,0))</f>
        <v>0.5</v>
      </c>
      <c r="F2775">
        <f t="shared" si="92"/>
        <v>0.5</v>
      </c>
    </row>
    <row r="2776" spans="1:6">
      <c r="A2776" s="30">
        <f t="shared" si="91"/>
        <v>45866</v>
      </c>
      <c r="B2776" s="32" t="s">
        <v>199</v>
      </c>
      <c r="C2776" t="s">
        <v>207</v>
      </c>
      <c r="D2776">
        <f>IF(B2776=$AB$2,$AC$2,$AC$3)</f>
        <v>1</v>
      </c>
      <c r="E2776">
        <f>IF(ISBLANK(C2776),0,VLOOKUP(C2776,$AE$2:$AF$7,2,0))</f>
        <v>0.5</v>
      </c>
      <c r="F2776">
        <f t="shared" si="92"/>
        <v>0.5</v>
      </c>
    </row>
    <row r="2777" spans="1:6">
      <c r="A2777" s="30">
        <f t="shared" si="91"/>
        <v>45867</v>
      </c>
      <c r="B2777" s="32" t="s">
        <v>199</v>
      </c>
      <c r="C2777" t="s">
        <v>207</v>
      </c>
      <c r="D2777">
        <f>IF(B2777=$AB$2,$AC$2,$AC$3)</f>
        <v>1</v>
      </c>
      <c r="E2777">
        <f>IF(ISBLANK(C2777),0,VLOOKUP(C2777,$AE$2:$AF$7,2,0))</f>
        <v>0.5</v>
      </c>
      <c r="F2777">
        <f t="shared" si="92"/>
        <v>0.5</v>
      </c>
    </row>
    <row r="2778" spans="1:6">
      <c r="A2778" s="30">
        <f t="shared" si="91"/>
        <v>45868</v>
      </c>
      <c r="B2778" s="32" t="s">
        <v>199</v>
      </c>
      <c r="C2778" t="s">
        <v>207</v>
      </c>
      <c r="D2778">
        <f>IF(B2778=$AB$2,$AC$2,$AC$3)</f>
        <v>1</v>
      </c>
      <c r="E2778">
        <f>IF(ISBLANK(C2778),0,VLOOKUP(C2778,$AE$2:$AF$7,2,0))</f>
        <v>0.5</v>
      </c>
      <c r="F2778">
        <f t="shared" si="92"/>
        <v>0.5</v>
      </c>
    </row>
    <row r="2779" spans="1:6">
      <c r="A2779" s="30">
        <f t="shared" si="91"/>
        <v>45869</v>
      </c>
      <c r="B2779" s="32" t="s">
        <v>199</v>
      </c>
      <c r="C2779" t="s">
        <v>207</v>
      </c>
      <c r="D2779">
        <f>IF(B2779=$AB$2,$AC$2,$AC$3)</f>
        <v>1</v>
      </c>
      <c r="E2779">
        <f>IF(ISBLANK(C2779),0,VLOOKUP(C2779,$AE$2:$AF$7,2,0))</f>
        <v>0.5</v>
      </c>
      <c r="F2779">
        <f t="shared" si="92"/>
        <v>0.5</v>
      </c>
    </row>
    <row r="2780" spans="1:6">
      <c r="A2780" s="30">
        <f t="shared" si="91"/>
        <v>45870</v>
      </c>
      <c r="B2780" s="32" t="s">
        <v>199</v>
      </c>
      <c r="C2780" t="s">
        <v>207</v>
      </c>
      <c r="D2780">
        <f>IF(B2780=$AB$2,$AC$2,$AC$3)</f>
        <v>1</v>
      </c>
      <c r="E2780">
        <f>IF(ISBLANK(C2780),0,VLOOKUP(C2780,$AE$2:$AF$7,2,0))</f>
        <v>0.5</v>
      </c>
      <c r="F2780">
        <f t="shared" si="92"/>
        <v>0.5</v>
      </c>
    </row>
    <row r="2781" spans="1:6">
      <c r="A2781" s="30">
        <f t="shared" si="91"/>
        <v>45871</v>
      </c>
      <c r="B2781" s="32" t="s">
        <v>199</v>
      </c>
      <c r="C2781" t="s">
        <v>207</v>
      </c>
      <c r="D2781">
        <f>IF(B2781=$AB$2,$AC$2,$AC$3)</f>
        <v>1</v>
      </c>
      <c r="E2781">
        <f>IF(ISBLANK(C2781),0,VLOOKUP(C2781,$AE$2:$AF$7,2,0))</f>
        <v>0.5</v>
      </c>
      <c r="F2781">
        <f t="shared" si="92"/>
        <v>0.5</v>
      </c>
    </row>
    <row r="2782" spans="1:6">
      <c r="A2782" s="30">
        <f t="shared" si="91"/>
        <v>45872</v>
      </c>
      <c r="B2782" s="32" t="s">
        <v>199</v>
      </c>
      <c r="C2782" t="s">
        <v>207</v>
      </c>
      <c r="D2782">
        <f>IF(B2782=$AB$2,$AC$2,$AC$3)</f>
        <v>1</v>
      </c>
      <c r="E2782">
        <f>IF(ISBLANK(C2782),0,VLOOKUP(C2782,$AE$2:$AF$7,2,0))</f>
        <v>0.5</v>
      </c>
      <c r="F2782">
        <f t="shared" si="92"/>
        <v>0.5</v>
      </c>
    </row>
    <row r="2783" spans="1:6">
      <c r="A2783" s="30">
        <f t="shared" si="91"/>
        <v>45873</v>
      </c>
      <c r="B2783" s="32" t="s">
        <v>199</v>
      </c>
      <c r="C2783" t="s">
        <v>207</v>
      </c>
      <c r="D2783">
        <f>IF(B2783=$AB$2,$AC$2,$AC$3)</f>
        <v>1</v>
      </c>
      <c r="E2783">
        <f>IF(ISBLANK(C2783),0,VLOOKUP(C2783,$AE$2:$AF$7,2,0))</f>
        <v>0.5</v>
      </c>
      <c r="F2783">
        <f t="shared" si="92"/>
        <v>0.5</v>
      </c>
    </row>
    <row r="2784" spans="1:6">
      <c r="A2784" s="30">
        <f t="shared" si="91"/>
        <v>45874</v>
      </c>
      <c r="B2784" s="32" t="s">
        <v>199</v>
      </c>
      <c r="C2784" t="s">
        <v>207</v>
      </c>
      <c r="D2784">
        <f>IF(B2784=$AB$2,$AC$2,$AC$3)</f>
        <v>1</v>
      </c>
      <c r="E2784">
        <f>IF(ISBLANK(C2784),0,VLOOKUP(C2784,$AE$2:$AF$7,2,0))</f>
        <v>0.5</v>
      </c>
      <c r="F2784">
        <f t="shared" si="92"/>
        <v>0.5</v>
      </c>
    </row>
    <row r="2785" spans="1:6">
      <c r="A2785" s="30">
        <f t="shared" si="91"/>
        <v>45875</v>
      </c>
      <c r="B2785" s="32" t="s">
        <v>199</v>
      </c>
      <c r="C2785" t="s">
        <v>207</v>
      </c>
      <c r="D2785">
        <f>IF(B2785=$AB$2,$AC$2,$AC$3)</f>
        <v>1</v>
      </c>
      <c r="E2785">
        <f>IF(ISBLANK(C2785),0,VLOOKUP(C2785,$AE$2:$AF$7,2,0))</f>
        <v>0.5</v>
      </c>
      <c r="F2785">
        <f t="shared" si="92"/>
        <v>0.5</v>
      </c>
    </row>
    <row r="2786" spans="1:6">
      <c r="A2786" s="30">
        <f t="shared" si="91"/>
        <v>45876</v>
      </c>
      <c r="B2786" s="32" t="s">
        <v>199</v>
      </c>
      <c r="C2786" t="s">
        <v>207</v>
      </c>
      <c r="D2786">
        <f>IF(B2786=$AB$2,$AC$2,$AC$3)</f>
        <v>1</v>
      </c>
      <c r="E2786">
        <f>IF(ISBLANK(C2786),0,VLOOKUP(C2786,$AE$2:$AF$7,2,0))</f>
        <v>0.5</v>
      </c>
      <c r="F2786">
        <f t="shared" si="92"/>
        <v>0.5</v>
      </c>
    </row>
    <row r="2787" spans="1:6">
      <c r="A2787" s="30">
        <f t="shared" si="91"/>
        <v>45877</v>
      </c>
      <c r="B2787" s="32" t="s">
        <v>199</v>
      </c>
      <c r="C2787" t="s">
        <v>207</v>
      </c>
      <c r="D2787">
        <f>IF(B2787=$AB$2,$AC$2,$AC$3)</f>
        <v>1</v>
      </c>
      <c r="E2787">
        <f>IF(ISBLANK(C2787),0,VLOOKUP(C2787,$AE$2:$AF$7,2,0))</f>
        <v>0.5</v>
      </c>
      <c r="F2787">
        <f t="shared" si="92"/>
        <v>0.5</v>
      </c>
    </row>
    <row r="2788" spans="1:6">
      <c r="A2788" s="30">
        <f t="shared" si="91"/>
        <v>45878</v>
      </c>
      <c r="B2788" s="32" t="s">
        <v>199</v>
      </c>
      <c r="C2788" t="s">
        <v>207</v>
      </c>
      <c r="D2788">
        <f>IF(B2788=$AB$2,$AC$2,$AC$3)</f>
        <v>1</v>
      </c>
      <c r="E2788">
        <f>IF(ISBLANK(C2788),0,VLOOKUP(C2788,$AE$2:$AF$7,2,0))</f>
        <v>0.5</v>
      </c>
      <c r="F2788">
        <f t="shared" si="92"/>
        <v>0.5</v>
      </c>
    </row>
    <row r="2789" spans="1:6">
      <c r="A2789" s="30">
        <f t="shared" si="91"/>
        <v>45879</v>
      </c>
      <c r="B2789" s="32" t="s">
        <v>199</v>
      </c>
      <c r="C2789" t="s">
        <v>207</v>
      </c>
      <c r="D2789">
        <f>IF(B2789=$AB$2,$AC$2,$AC$3)</f>
        <v>1</v>
      </c>
      <c r="E2789">
        <f>IF(ISBLANK(C2789),0,VLOOKUP(C2789,$AE$2:$AF$7,2,0))</f>
        <v>0.5</v>
      </c>
      <c r="F2789">
        <f t="shared" si="92"/>
        <v>0.5</v>
      </c>
    </row>
    <row r="2790" spans="1:6">
      <c r="A2790" s="30">
        <f t="shared" si="91"/>
        <v>45880</v>
      </c>
      <c r="B2790" s="32" t="s">
        <v>199</v>
      </c>
      <c r="C2790" t="s">
        <v>207</v>
      </c>
      <c r="D2790">
        <f>IF(B2790=$AB$2,$AC$2,$AC$3)</f>
        <v>1</v>
      </c>
      <c r="E2790">
        <f>IF(ISBLANK(C2790),0,VLOOKUP(C2790,$AE$2:$AF$7,2,0))</f>
        <v>0.5</v>
      </c>
      <c r="F2790">
        <f t="shared" si="92"/>
        <v>0.5</v>
      </c>
    </row>
    <row r="2791" spans="1:6">
      <c r="A2791" s="30">
        <f t="shared" si="91"/>
        <v>45881</v>
      </c>
      <c r="B2791" s="32" t="s">
        <v>199</v>
      </c>
      <c r="C2791" t="s">
        <v>207</v>
      </c>
      <c r="D2791">
        <f>IF(B2791=$AB$2,$AC$2,$AC$3)</f>
        <v>1</v>
      </c>
      <c r="E2791">
        <f>IF(ISBLANK(C2791),0,VLOOKUP(C2791,$AE$2:$AF$7,2,0))</f>
        <v>0.5</v>
      </c>
      <c r="F2791">
        <f t="shared" si="92"/>
        <v>0.5</v>
      </c>
    </row>
    <row r="2792" spans="1:6">
      <c r="A2792" s="30">
        <f t="shared" si="91"/>
        <v>45882</v>
      </c>
      <c r="B2792" s="32" t="s">
        <v>199</v>
      </c>
      <c r="C2792" t="s">
        <v>207</v>
      </c>
      <c r="D2792">
        <f>IF(B2792=$AB$2,$AC$2,$AC$3)</f>
        <v>1</v>
      </c>
      <c r="E2792">
        <f>IF(ISBLANK(C2792),0,VLOOKUP(C2792,$AE$2:$AF$7,2,0))</f>
        <v>0.5</v>
      </c>
      <c r="F2792">
        <f t="shared" si="92"/>
        <v>0.5</v>
      </c>
    </row>
    <row r="2793" spans="1:6">
      <c r="A2793" s="30">
        <f t="shared" si="91"/>
        <v>45883</v>
      </c>
      <c r="B2793" s="32" t="s">
        <v>199</v>
      </c>
      <c r="C2793" t="s">
        <v>207</v>
      </c>
      <c r="D2793">
        <f>IF(B2793=$AB$2,$AC$2,$AC$3)</f>
        <v>1</v>
      </c>
      <c r="E2793">
        <f>IF(ISBLANK(C2793),0,VLOOKUP(C2793,$AE$2:$AF$7,2,0))</f>
        <v>0.5</v>
      </c>
      <c r="F2793">
        <f t="shared" si="92"/>
        <v>0.5</v>
      </c>
    </row>
    <row r="2794" spans="1:6">
      <c r="A2794" s="30">
        <f t="shared" si="91"/>
        <v>45884</v>
      </c>
      <c r="B2794" s="32" t="s">
        <v>199</v>
      </c>
      <c r="C2794" t="s">
        <v>207</v>
      </c>
      <c r="D2794">
        <f>IF(B2794=$AB$2,$AC$2,$AC$3)</f>
        <v>1</v>
      </c>
      <c r="E2794">
        <f>IF(ISBLANK(C2794),0,VLOOKUP(C2794,$AE$2:$AF$7,2,0))</f>
        <v>0.5</v>
      </c>
      <c r="F2794">
        <f t="shared" si="92"/>
        <v>0.5</v>
      </c>
    </row>
    <row r="2795" spans="1:6">
      <c r="A2795" s="30">
        <f t="shared" si="91"/>
        <v>45885</v>
      </c>
      <c r="B2795" s="32" t="s">
        <v>199</v>
      </c>
      <c r="C2795" t="s">
        <v>207</v>
      </c>
      <c r="D2795">
        <f>IF(B2795=$AB$2,$AC$2,$AC$3)</f>
        <v>1</v>
      </c>
      <c r="E2795">
        <f>IF(ISBLANK(C2795),0,VLOOKUP(C2795,$AE$2:$AF$7,2,0))</f>
        <v>0.5</v>
      </c>
      <c r="F2795">
        <f t="shared" si="92"/>
        <v>0.5</v>
      </c>
    </row>
    <row r="2796" spans="1:6">
      <c r="A2796" s="30">
        <f t="shared" si="91"/>
        <v>45886</v>
      </c>
      <c r="B2796" s="32" t="s">
        <v>199</v>
      </c>
      <c r="C2796" t="s">
        <v>207</v>
      </c>
      <c r="D2796">
        <f>IF(B2796=$AB$2,$AC$2,$AC$3)</f>
        <v>1</v>
      </c>
      <c r="E2796">
        <f>IF(ISBLANK(C2796),0,VLOOKUP(C2796,$AE$2:$AF$7,2,0))</f>
        <v>0.5</v>
      </c>
      <c r="F2796">
        <f t="shared" si="92"/>
        <v>0.5</v>
      </c>
    </row>
    <row r="2797" spans="1:6">
      <c r="A2797" s="30">
        <f t="shared" si="91"/>
        <v>45887</v>
      </c>
      <c r="B2797" s="32" t="s">
        <v>199</v>
      </c>
      <c r="C2797" t="s">
        <v>207</v>
      </c>
      <c r="D2797">
        <f>IF(B2797=$AB$2,$AC$2,$AC$3)</f>
        <v>1</v>
      </c>
      <c r="E2797">
        <f>IF(ISBLANK(C2797),0,VLOOKUP(C2797,$AE$2:$AF$7,2,0))</f>
        <v>0.5</v>
      </c>
      <c r="F2797">
        <f t="shared" si="92"/>
        <v>0.5</v>
      </c>
    </row>
    <row r="2798" spans="1:6">
      <c r="A2798" s="30">
        <f t="shared" si="91"/>
        <v>45888</v>
      </c>
      <c r="B2798" s="32" t="s">
        <v>199</v>
      </c>
      <c r="C2798" t="s">
        <v>207</v>
      </c>
      <c r="D2798">
        <f>IF(B2798=$AB$2,$AC$2,$AC$3)</f>
        <v>1</v>
      </c>
      <c r="E2798">
        <f>IF(ISBLANK(C2798),0,VLOOKUP(C2798,$AE$2:$AF$7,2,0))</f>
        <v>0.5</v>
      </c>
      <c r="F2798">
        <f t="shared" si="92"/>
        <v>0.5</v>
      </c>
    </row>
    <row r="2799" spans="1:6">
      <c r="A2799" s="30">
        <f t="shared" si="91"/>
        <v>45889</v>
      </c>
      <c r="B2799" s="32" t="s">
        <v>199</v>
      </c>
      <c r="C2799" t="s">
        <v>207</v>
      </c>
      <c r="D2799">
        <f>IF(B2799=$AB$2,$AC$2,$AC$3)</f>
        <v>1</v>
      </c>
      <c r="E2799">
        <f>IF(ISBLANK(C2799),0,VLOOKUP(C2799,$AE$2:$AF$7,2,0))</f>
        <v>0.5</v>
      </c>
      <c r="F2799">
        <f t="shared" si="92"/>
        <v>0.5</v>
      </c>
    </row>
    <row r="2800" spans="1:6">
      <c r="A2800" s="30">
        <f t="shared" si="91"/>
        <v>45890</v>
      </c>
      <c r="B2800" s="32" t="s">
        <v>199</v>
      </c>
      <c r="C2800" t="s">
        <v>207</v>
      </c>
      <c r="D2800">
        <f>IF(B2800=$AB$2,$AC$2,$AC$3)</f>
        <v>1</v>
      </c>
      <c r="E2800">
        <f>IF(ISBLANK(C2800),0,VLOOKUP(C2800,$AE$2:$AF$7,2,0))</f>
        <v>0.5</v>
      </c>
      <c r="F2800">
        <f t="shared" si="92"/>
        <v>0.5</v>
      </c>
    </row>
    <row r="2801" spans="1:6">
      <c r="A2801" s="30">
        <f t="shared" si="91"/>
        <v>45891</v>
      </c>
      <c r="B2801" s="32" t="s">
        <v>199</v>
      </c>
      <c r="C2801" t="s">
        <v>207</v>
      </c>
      <c r="D2801">
        <f>IF(B2801=$AB$2,$AC$2,$AC$3)</f>
        <v>1</v>
      </c>
      <c r="E2801">
        <f>IF(ISBLANK(C2801),0,VLOOKUP(C2801,$AE$2:$AF$7,2,0))</f>
        <v>0.5</v>
      </c>
      <c r="F2801">
        <f t="shared" si="92"/>
        <v>0.5</v>
      </c>
    </row>
    <row r="2802" spans="1:6">
      <c r="A2802" s="30">
        <f t="shared" si="91"/>
        <v>45892</v>
      </c>
      <c r="B2802" s="32" t="s">
        <v>199</v>
      </c>
      <c r="C2802" t="s">
        <v>207</v>
      </c>
      <c r="D2802">
        <f>IF(B2802=$AB$2,$AC$2,$AC$3)</f>
        <v>1</v>
      </c>
      <c r="E2802">
        <f>IF(ISBLANK(C2802),0,VLOOKUP(C2802,$AE$2:$AF$7,2,0))</f>
        <v>0.5</v>
      </c>
      <c r="F2802">
        <f t="shared" si="92"/>
        <v>0.5</v>
      </c>
    </row>
    <row r="2803" spans="1:6">
      <c r="A2803" s="30">
        <f t="shared" si="91"/>
        <v>45893</v>
      </c>
      <c r="B2803" s="32" t="s">
        <v>199</v>
      </c>
      <c r="C2803" t="s">
        <v>207</v>
      </c>
      <c r="D2803">
        <f>IF(B2803=$AB$2,$AC$2,$AC$3)</f>
        <v>1</v>
      </c>
      <c r="E2803">
        <f>IF(ISBLANK(C2803),0,VLOOKUP(C2803,$AE$2:$AF$7,2,0))</f>
        <v>0.5</v>
      </c>
      <c r="F2803">
        <f t="shared" si="92"/>
        <v>0.5</v>
      </c>
    </row>
    <row r="2804" spans="1:6">
      <c r="A2804" s="30">
        <f t="shared" ref="A2804:A2852" si="93">A2803+1</f>
        <v>45894</v>
      </c>
      <c r="B2804" s="32" t="s">
        <v>199</v>
      </c>
      <c r="C2804" t="s">
        <v>207</v>
      </c>
      <c r="D2804">
        <f>IF(B2804=$AB$2,$AC$2,$AC$3)</f>
        <v>1</v>
      </c>
      <c r="E2804">
        <f>IF(ISBLANK(C2804),0,VLOOKUP(C2804,$AE$2:$AF$7,2,0))</f>
        <v>0.5</v>
      </c>
      <c r="F2804">
        <f t="shared" si="92"/>
        <v>0.5</v>
      </c>
    </row>
    <row r="2805" spans="1:6">
      <c r="A2805" s="30">
        <f t="shared" si="93"/>
        <v>45895</v>
      </c>
      <c r="B2805" s="32" t="s">
        <v>199</v>
      </c>
      <c r="C2805" t="s">
        <v>207</v>
      </c>
      <c r="D2805">
        <f>IF(B2805=$AB$2,$AC$2,$AC$3)</f>
        <v>1</v>
      </c>
      <c r="E2805">
        <f>IF(ISBLANK(C2805),0,VLOOKUP(C2805,$AE$2:$AF$7,2,0))</f>
        <v>0.5</v>
      </c>
      <c r="F2805">
        <f t="shared" si="92"/>
        <v>0.5</v>
      </c>
    </row>
    <row r="2806" spans="1:6">
      <c r="A2806" s="30">
        <f t="shared" si="93"/>
        <v>45896</v>
      </c>
      <c r="B2806" s="32" t="s">
        <v>199</v>
      </c>
      <c r="C2806" t="s">
        <v>207</v>
      </c>
      <c r="D2806">
        <f>IF(B2806=$AB$2,$AC$2,$AC$3)</f>
        <v>1</v>
      </c>
      <c r="E2806">
        <f>IF(ISBLANK(C2806),0,VLOOKUP(C2806,$AE$2:$AF$7,2,0))</f>
        <v>0.5</v>
      </c>
      <c r="F2806">
        <f t="shared" si="92"/>
        <v>0.5</v>
      </c>
    </row>
    <row r="2807" spans="1:6">
      <c r="A2807" s="30">
        <f t="shared" si="93"/>
        <v>45897</v>
      </c>
      <c r="B2807" s="32" t="s">
        <v>199</v>
      </c>
      <c r="C2807" t="s">
        <v>207</v>
      </c>
      <c r="D2807">
        <f>IF(B2807=$AB$2,$AC$2,$AC$3)</f>
        <v>1</v>
      </c>
      <c r="E2807">
        <f>IF(ISBLANK(C2807),0,VLOOKUP(C2807,$AE$2:$AF$7,2,0))</f>
        <v>0.5</v>
      </c>
      <c r="F2807">
        <f t="shared" si="92"/>
        <v>0.5</v>
      </c>
    </row>
    <row r="2808" spans="1:6">
      <c r="A2808" s="30">
        <f t="shared" si="93"/>
        <v>45898</v>
      </c>
      <c r="B2808" s="32" t="s">
        <v>199</v>
      </c>
      <c r="C2808" t="s">
        <v>207</v>
      </c>
      <c r="D2808">
        <f>IF(B2808=$AB$2,$AC$2,$AC$3)</f>
        <v>1</v>
      </c>
      <c r="E2808">
        <f>IF(ISBLANK(C2808),0,VLOOKUP(C2808,$AE$2:$AF$7,2,0))</f>
        <v>0.5</v>
      </c>
      <c r="F2808">
        <f t="shared" si="92"/>
        <v>0.5</v>
      </c>
    </row>
    <row r="2809" spans="1:6">
      <c r="A2809" s="30">
        <f t="shared" si="93"/>
        <v>45899</v>
      </c>
      <c r="B2809" s="32" t="s">
        <v>199</v>
      </c>
      <c r="C2809" t="s">
        <v>207</v>
      </c>
      <c r="D2809">
        <f>IF(B2809=$AB$2,$AC$2,$AC$3)</f>
        <v>1</v>
      </c>
      <c r="E2809">
        <f>IF(ISBLANK(C2809),0,VLOOKUP(C2809,$AE$2:$AF$7,2,0))</f>
        <v>0.5</v>
      </c>
      <c r="F2809">
        <f t="shared" si="92"/>
        <v>0.5</v>
      </c>
    </row>
    <row r="2810" spans="1:6">
      <c r="A2810" s="30">
        <f t="shared" si="93"/>
        <v>45900</v>
      </c>
      <c r="B2810" s="32" t="s">
        <v>199</v>
      </c>
      <c r="C2810" t="s">
        <v>207</v>
      </c>
      <c r="D2810">
        <f>IF(B2810=$AB$2,$AC$2,$AC$3)</f>
        <v>1</v>
      </c>
      <c r="E2810">
        <f>IF(ISBLANK(C2810),0,VLOOKUP(C2810,$AE$2:$AF$7,2,0))</f>
        <v>0.5</v>
      </c>
      <c r="F2810">
        <f t="shared" si="92"/>
        <v>0.5</v>
      </c>
    </row>
    <row r="2811" spans="1:6">
      <c r="A2811" s="30">
        <f t="shared" si="93"/>
        <v>45901</v>
      </c>
      <c r="B2811" s="32" t="s">
        <v>199</v>
      </c>
      <c r="C2811" t="s">
        <v>207</v>
      </c>
      <c r="D2811">
        <f>IF(B2811=$AB$2,$AC$2,$AC$3)</f>
        <v>1</v>
      </c>
      <c r="E2811">
        <f>IF(ISBLANK(C2811),0,VLOOKUP(C2811,$AE$2:$AF$7,2,0))</f>
        <v>0.5</v>
      </c>
      <c r="F2811">
        <f t="shared" si="92"/>
        <v>0.5</v>
      </c>
    </row>
    <row r="2812" spans="1:6">
      <c r="A2812" s="30">
        <f t="shared" si="93"/>
        <v>45902</v>
      </c>
      <c r="B2812" s="32" t="s">
        <v>199</v>
      </c>
      <c r="C2812" t="s">
        <v>207</v>
      </c>
      <c r="D2812">
        <f>IF(B2812=$AB$2,$AC$2,$AC$3)</f>
        <v>1</v>
      </c>
      <c r="E2812">
        <f>IF(ISBLANK(C2812),0,VLOOKUP(C2812,$AE$2:$AF$7,2,0))</f>
        <v>0.5</v>
      </c>
      <c r="F2812">
        <f t="shared" si="92"/>
        <v>0.5</v>
      </c>
    </row>
    <row r="2813" spans="1:6">
      <c r="A2813" s="30">
        <f t="shared" si="93"/>
        <v>45903</v>
      </c>
      <c r="B2813" s="32" t="s">
        <v>199</v>
      </c>
      <c r="C2813" t="s">
        <v>207</v>
      </c>
      <c r="D2813">
        <f>IF(B2813=$AB$2,$AC$2,$AC$3)</f>
        <v>1</v>
      </c>
      <c r="E2813">
        <f>IF(ISBLANK(C2813),0,VLOOKUP(C2813,$AE$2:$AF$7,2,0))</f>
        <v>0.5</v>
      </c>
      <c r="F2813">
        <f t="shared" si="92"/>
        <v>0.5</v>
      </c>
    </row>
    <row r="2814" spans="1:6">
      <c r="A2814" s="30">
        <f t="shared" si="93"/>
        <v>45904</v>
      </c>
      <c r="B2814" s="32" t="s">
        <v>199</v>
      </c>
      <c r="C2814" t="s">
        <v>207</v>
      </c>
      <c r="D2814">
        <f>IF(B2814=$AB$2,$AC$2,$AC$3)</f>
        <v>1</v>
      </c>
      <c r="E2814">
        <f>IF(ISBLANK(C2814),0,VLOOKUP(C2814,$AE$2:$AF$7,2,0))</f>
        <v>0.5</v>
      </c>
      <c r="F2814">
        <f t="shared" si="92"/>
        <v>0.5</v>
      </c>
    </row>
    <row r="2815" spans="1:6">
      <c r="A2815" s="30">
        <f t="shared" si="93"/>
        <v>45905</v>
      </c>
      <c r="B2815" s="32" t="s">
        <v>199</v>
      </c>
      <c r="C2815" t="s">
        <v>207</v>
      </c>
      <c r="D2815">
        <f>IF(B2815=$AB$2,$AC$2,$AC$3)</f>
        <v>1</v>
      </c>
      <c r="E2815">
        <f>IF(ISBLANK(C2815),0,VLOOKUP(C2815,$AE$2:$AF$7,2,0))</f>
        <v>0.5</v>
      </c>
      <c r="F2815">
        <f t="shared" si="92"/>
        <v>0.5</v>
      </c>
    </row>
    <row r="2816" spans="1:6">
      <c r="A2816" s="30">
        <f t="shared" si="93"/>
        <v>45906</v>
      </c>
      <c r="B2816" s="32" t="s">
        <v>199</v>
      </c>
      <c r="C2816" t="s">
        <v>207</v>
      </c>
      <c r="D2816">
        <f>IF(B2816=$AB$2,$AC$2,$AC$3)</f>
        <v>1</v>
      </c>
      <c r="E2816">
        <f>IF(ISBLANK(C2816),0,VLOOKUP(C2816,$AE$2:$AF$7,2,0))</f>
        <v>0.5</v>
      </c>
      <c r="F2816">
        <f t="shared" si="92"/>
        <v>0.5</v>
      </c>
    </row>
    <row r="2817" spans="1:6">
      <c r="A2817" s="30">
        <f t="shared" si="93"/>
        <v>45907</v>
      </c>
      <c r="B2817" s="32" t="s">
        <v>199</v>
      </c>
      <c r="C2817" t="s">
        <v>207</v>
      </c>
      <c r="D2817">
        <f>IF(B2817=$AB$2,$AC$2,$AC$3)</f>
        <v>1</v>
      </c>
      <c r="E2817">
        <f>IF(ISBLANK(C2817),0,VLOOKUP(C2817,$AE$2:$AF$7,2,0))</f>
        <v>0.5</v>
      </c>
      <c r="F2817">
        <f t="shared" si="92"/>
        <v>0.5</v>
      </c>
    </row>
    <row r="2818" spans="1:6">
      <c r="A2818" s="30">
        <f t="shared" si="93"/>
        <v>45908</v>
      </c>
      <c r="B2818" s="32" t="s">
        <v>199</v>
      </c>
      <c r="C2818" t="s">
        <v>207</v>
      </c>
      <c r="D2818">
        <f>IF(B2818=$AB$2,$AC$2,$AC$3)</f>
        <v>1</v>
      </c>
      <c r="E2818">
        <f>IF(ISBLANK(C2818),0,VLOOKUP(C2818,$AE$2:$AF$7,2,0))</f>
        <v>0.5</v>
      </c>
      <c r="F2818">
        <f t="shared" si="92"/>
        <v>0.5</v>
      </c>
    </row>
    <row r="2819" spans="1:6">
      <c r="A2819" s="30">
        <f t="shared" si="93"/>
        <v>45909</v>
      </c>
      <c r="B2819" s="32" t="s">
        <v>199</v>
      </c>
      <c r="C2819" t="s">
        <v>207</v>
      </c>
      <c r="D2819">
        <f>IF(B2819=$AB$2,$AC$2,$AC$3)</f>
        <v>1</v>
      </c>
      <c r="E2819">
        <f>IF(ISBLANK(C2819),0,VLOOKUP(C2819,$AE$2:$AF$7,2,0))</f>
        <v>0.5</v>
      </c>
      <c r="F2819">
        <f t="shared" ref="F2819:F2882" si="94">D2819*E2819</f>
        <v>0.5</v>
      </c>
    </row>
    <row r="2820" spans="1:6">
      <c r="A2820" s="30">
        <f t="shared" si="93"/>
        <v>45910</v>
      </c>
      <c r="B2820" s="32" t="s">
        <v>199</v>
      </c>
      <c r="C2820" t="s">
        <v>207</v>
      </c>
      <c r="D2820">
        <f>IF(B2820=$AB$2,$AC$2,$AC$3)</f>
        <v>1</v>
      </c>
      <c r="E2820">
        <f>IF(ISBLANK(C2820),0,VLOOKUP(C2820,$AE$2:$AF$7,2,0))</f>
        <v>0.5</v>
      </c>
      <c r="F2820">
        <f t="shared" si="94"/>
        <v>0.5</v>
      </c>
    </row>
    <row r="2821" spans="1:6">
      <c r="A2821" s="30">
        <f t="shared" si="93"/>
        <v>45911</v>
      </c>
      <c r="B2821" s="32" t="s">
        <v>199</v>
      </c>
      <c r="C2821" t="s">
        <v>207</v>
      </c>
      <c r="D2821">
        <f>IF(B2821=$AB$2,$AC$2,$AC$3)</f>
        <v>1</v>
      </c>
      <c r="E2821">
        <f>IF(ISBLANK(C2821),0,VLOOKUP(C2821,$AE$2:$AF$7,2,0))</f>
        <v>0.5</v>
      </c>
      <c r="F2821">
        <f t="shared" si="94"/>
        <v>0.5</v>
      </c>
    </row>
    <row r="2822" spans="1:6">
      <c r="A2822" s="30">
        <f t="shared" si="93"/>
        <v>45912</v>
      </c>
      <c r="B2822" s="32" t="s">
        <v>199</v>
      </c>
      <c r="C2822" t="s">
        <v>207</v>
      </c>
      <c r="D2822">
        <f>IF(B2822=$AB$2,$AC$2,$AC$3)</f>
        <v>1</v>
      </c>
      <c r="E2822">
        <f>IF(ISBLANK(C2822),0,VLOOKUP(C2822,$AE$2:$AF$7,2,0))</f>
        <v>0.5</v>
      </c>
      <c r="F2822">
        <f t="shared" si="94"/>
        <v>0.5</v>
      </c>
    </row>
    <row r="2823" spans="1:6">
      <c r="A2823" s="30">
        <f t="shared" si="93"/>
        <v>45913</v>
      </c>
      <c r="B2823" s="32" t="s">
        <v>199</v>
      </c>
      <c r="C2823" t="s">
        <v>207</v>
      </c>
      <c r="D2823">
        <f>IF(B2823=$AB$2,$AC$2,$AC$3)</f>
        <v>1</v>
      </c>
      <c r="E2823">
        <f>IF(ISBLANK(C2823),0,VLOOKUP(C2823,$AE$2:$AF$7,2,0))</f>
        <v>0.5</v>
      </c>
      <c r="F2823">
        <f t="shared" si="94"/>
        <v>0.5</v>
      </c>
    </row>
    <row r="2824" spans="1:6">
      <c r="A2824" s="30">
        <f t="shared" si="93"/>
        <v>45914</v>
      </c>
      <c r="B2824" s="32" t="s">
        <v>199</v>
      </c>
      <c r="C2824" t="s">
        <v>207</v>
      </c>
      <c r="D2824">
        <f>IF(B2824=$AB$2,$AC$2,$AC$3)</f>
        <v>1</v>
      </c>
      <c r="E2824">
        <f>IF(ISBLANK(C2824),0,VLOOKUP(C2824,$AE$2:$AF$7,2,0))</f>
        <v>0.5</v>
      </c>
      <c r="F2824">
        <f t="shared" si="94"/>
        <v>0.5</v>
      </c>
    </row>
    <row r="2825" spans="1:6">
      <c r="A2825" s="30">
        <f t="shared" si="93"/>
        <v>45915</v>
      </c>
      <c r="B2825" s="32" t="s">
        <v>199</v>
      </c>
      <c r="C2825" t="s">
        <v>207</v>
      </c>
      <c r="D2825">
        <f>IF(B2825=$AB$2,$AC$2,$AC$3)</f>
        <v>1</v>
      </c>
      <c r="E2825">
        <f>IF(ISBLANK(C2825),0,VLOOKUP(C2825,$AE$2:$AF$7,2,0))</f>
        <v>0.5</v>
      </c>
      <c r="F2825">
        <f t="shared" si="94"/>
        <v>0.5</v>
      </c>
    </row>
    <row r="2826" spans="1:6">
      <c r="A2826" s="30">
        <f t="shared" si="93"/>
        <v>45916</v>
      </c>
      <c r="B2826" s="32" t="s">
        <v>199</v>
      </c>
      <c r="C2826" t="s">
        <v>207</v>
      </c>
      <c r="D2826">
        <f>IF(B2826=$AB$2,$AC$2,$AC$3)</f>
        <v>1</v>
      </c>
      <c r="E2826">
        <f>IF(ISBLANK(C2826),0,VLOOKUP(C2826,$AE$2:$AF$7,2,0))</f>
        <v>0.5</v>
      </c>
      <c r="F2826">
        <f t="shared" si="94"/>
        <v>0.5</v>
      </c>
    </row>
    <row r="2827" spans="1:6">
      <c r="A2827" s="30">
        <f t="shared" si="93"/>
        <v>45917</v>
      </c>
      <c r="B2827" s="32" t="s">
        <v>199</v>
      </c>
      <c r="C2827" t="s">
        <v>207</v>
      </c>
      <c r="D2827">
        <f>IF(B2827=$AB$2,$AC$2,$AC$3)</f>
        <v>1</v>
      </c>
      <c r="E2827">
        <f>IF(ISBLANK(C2827),0,VLOOKUP(C2827,$AE$2:$AF$7,2,0))</f>
        <v>0.5</v>
      </c>
      <c r="F2827">
        <f t="shared" si="94"/>
        <v>0.5</v>
      </c>
    </row>
    <row r="2828" spans="1:6">
      <c r="A2828" s="30">
        <f t="shared" si="93"/>
        <v>45918</v>
      </c>
      <c r="B2828" s="32" t="s">
        <v>199</v>
      </c>
      <c r="C2828" t="s">
        <v>207</v>
      </c>
      <c r="D2828">
        <f>IF(B2828=$AB$2,$AC$2,$AC$3)</f>
        <v>1</v>
      </c>
      <c r="E2828">
        <f>IF(ISBLANK(C2828),0,VLOOKUP(C2828,$AE$2:$AF$7,2,0))</f>
        <v>0.5</v>
      </c>
      <c r="F2828">
        <f t="shared" si="94"/>
        <v>0.5</v>
      </c>
    </row>
    <row r="2829" spans="1:6">
      <c r="A2829" s="30">
        <f t="shared" si="93"/>
        <v>45919</v>
      </c>
      <c r="B2829" s="32" t="s">
        <v>199</v>
      </c>
      <c r="C2829" t="s">
        <v>207</v>
      </c>
      <c r="D2829">
        <f>IF(B2829=$AB$2,$AC$2,$AC$3)</f>
        <v>1</v>
      </c>
      <c r="E2829">
        <f>IF(ISBLANK(C2829),0,VLOOKUP(C2829,$AE$2:$AF$7,2,0))</f>
        <v>0.5</v>
      </c>
      <c r="F2829">
        <f t="shared" si="94"/>
        <v>0.5</v>
      </c>
    </row>
    <row r="2830" spans="1:6">
      <c r="A2830" s="30">
        <f t="shared" si="93"/>
        <v>45920</v>
      </c>
      <c r="B2830" s="32" t="s">
        <v>199</v>
      </c>
      <c r="C2830" t="s">
        <v>207</v>
      </c>
      <c r="D2830">
        <f>IF(B2830=$AB$2,$AC$2,$AC$3)</f>
        <v>1</v>
      </c>
      <c r="E2830">
        <f>IF(ISBLANK(C2830),0,VLOOKUP(C2830,$AE$2:$AF$7,2,0))</f>
        <v>0.5</v>
      </c>
      <c r="F2830">
        <f t="shared" si="94"/>
        <v>0.5</v>
      </c>
    </row>
    <row r="2831" spans="1:6">
      <c r="A2831" s="30">
        <f t="shared" si="93"/>
        <v>45921</v>
      </c>
      <c r="B2831" s="32" t="s">
        <v>199</v>
      </c>
      <c r="C2831" t="s">
        <v>207</v>
      </c>
      <c r="D2831">
        <f>IF(B2831=$AB$2,$AC$2,$AC$3)</f>
        <v>1</v>
      </c>
      <c r="E2831">
        <f>IF(ISBLANK(C2831),0,VLOOKUP(C2831,$AE$2:$AF$7,2,0))</f>
        <v>0.5</v>
      </c>
      <c r="F2831">
        <f t="shared" si="94"/>
        <v>0.5</v>
      </c>
    </row>
    <row r="2832" spans="1:6">
      <c r="A2832" s="30">
        <f t="shared" si="93"/>
        <v>45922</v>
      </c>
      <c r="B2832" s="32" t="s">
        <v>199</v>
      </c>
      <c r="C2832" t="s">
        <v>207</v>
      </c>
      <c r="D2832">
        <f>IF(B2832=$AB$2,$AC$2,$AC$3)</f>
        <v>1</v>
      </c>
      <c r="E2832">
        <f>IF(ISBLANK(C2832),0,VLOOKUP(C2832,$AE$2:$AF$7,2,0))</f>
        <v>0.5</v>
      </c>
      <c r="F2832">
        <f t="shared" si="94"/>
        <v>0.5</v>
      </c>
    </row>
    <row r="2833" spans="1:6">
      <c r="A2833" s="30">
        <f t="shared" si="93"/>
        <v>45923</v>
      </c>
      <c r="B2833" s="32" t="s">
        <v>199</v>
      </c>
      <c r="C2833" t="s">
        <v>207</v>
      </c>
      <c r="D2833">
        <f>IF(B2833=$AB$2,$AC$2,$AC$3)</f>
        <v>1</v>
      </c>
      <c r="E2833">
        <f>IF(ISBLANK(C2833),0,VLOOKUP(C2833,$AE$2:$AF$7,2,0))</f>
        <v>0.5</v>
      </c>
      <c r="F2833">
        <f t="shared" si="94"/>
        <v>0.5</v>
      </c>
    </row>
    <row r="2834" spans="1:6">
      <c r="A2834" s="30">
        <f t="shared" si="93"/>
        <v>45924</v>
      </c>
      <c r="B2834" s="32" t="s">
        <v>199</v>
      </c>
      <c r="C2834" t="s">
        <v>207</v>
      </c>
      <c r="D2834">
        <f>IF(B2834=$AB$2,$AC$2,$AC$3)</f>
        <v>1</v>
      </c>
      <c r="E2834">
        <f>IF(ISBLANK(C2834),0,VLOOKUP(C2834,$AE$2:$AF$7,2,0))</f>
        <v>0.5</v>
      </c>
      <c r="F2834">
        <f t="shared" si="94"/>
        <v>0.5</v>
      </c>
    </row>
    <row r="2835" spans="1:6">
      <c r="A2835" s="30">
        <f t="shared" si="93"/>
        <v>45925</v>
      </c>
      <c r="B2835" s="32" t="s">
        <v>199</v>
      </c>
      <c r="C2835" t="s">
        <v>207</v>
      </c>
      <c r="D2835">
        <f>IF(B2835=$AB$2,$AC$2,$AC$3)</f>
        <v>1</v>
      </c>
      <c r="E2835">
        <f>IF(ISBLANK(C2835),0,VLOOKUP(C2835,$AE$2:$AF$7,2,0))</f>
        <v>0.5</v>
      </c>
      <c r="F2835">
        <f t="shared" si="94"/>
        <v>0.5</v>
      </c>
    </row>
    <row r="2836" spans="1:6">
      <c r="A2836" s="30">
        <f t="shared" si="93"/>
        <v>45926</v>
      </c>
      <c r="B2836" s="32" t="s">
        <v>199</v>
      </c>
      <c r="C2836" t="s">
        <v>207</v>
      </c>
      <c r="D2836">
        <f>IF(B2836=$AB$2,$AC$2,$AC$3)</f>
        <v>1</v>
      </c>
      <c r="E2836">
        <f>IF(ISBLANK(C2836),0,VLOOKUP(C2836,$AE$2:$AF$7,2,0))</f>
        <v>0.5</v>
      </c>
      <c r="F2836">
        <f t="shared" si="94"/>
        <v>0.5</v>
      </c>
    </row>
    <row r="2837" spans="1:6">
      <c r="A2837" s="30">
        <f t="shared" si="93"/>
        <v>45927</v>
      </c>
      <c r="B2837" s="32" t="s">
        <v>199</v>
      </c>
      <c r="C2837" t="s">
        <v>207</v>
      </c>
      <c r="D2837">
        <f>IF(B2837=$AB$2,$AC$2,$AC$3)</f>
        <v>1</v>
      </c>
      <c r="E2837">
        <f>IF(ISBLANK(C2837),0,VLOOKUP(C2837,$AE$2:$AF$7,2,0))</f>
        <v>0.5</v>
      </c>
      <c r="F2837">
        <f t="shared" si="94"/>
        <v>0.5</v>
      </c>
    </row>
    <row r="2838" spans="1:6">
      <c r="A2838" s="30">
        <f t="shared" si="93"/>
        <v>45928</v>
      </c>
      <c r="B2838" s="32" t="s">
        <v>199</v>
      </c>
      <c r="C2838" t="s">
        <v>207</v>
      </c>
      <c r="D2838">
        <f>IF(B2838=$AB$2,$AC$2,$AC$3)</f>
        <v>1</v>
      </c>
      <c r="E2838">
        <f>IF(ISBLANK(C2838),0,VLOOKUP(C2838,$AE$2:$AF$7,2,0))</f>
        <v>0.5</v>
      </c>
      <c r="F2838">
        <f t="shared" si="94"/>
        <v>0.5</v>
      </c>
    </row>
    <row r="2839" spans="1:6">
      <c r="A2839" s="30">
        <f t="shared" si="93"/>
        <v>45929</v>
      </c>
      <c r="B2839" s="32" t="s">
        <v>199</v>
      </c>
      <c r="C2839" t="s">
        <v>207</v>
      </c>
      <c r="D2839">
        <f>IF(B2839=$AB$2,$AC$2,$AC$3)</f>
        <v>1</v>
      </c>
      <c r="E2839">
        <f>IF(ISBLANK(C2839),0,VLOOKUP(C2839,$AE$2:$AF$7,2,0))</f>
        <v>0.5</v>
      </c>
      <c r="F2839">
        <f t="shared" si="94"/>
        <v>0.5</v>
      </c>
    </row>
    <row r="2840" spans="1:6">
      <c r="A2840" s="30">
        <f t="shared" si="93"/>
        <v>45930</v>
      </c>
      <c r="B2840" s="32" t="s">
        <v>199</v>
      </c>
      <c r="C2840" t="s">
        <v>207</v>
      </c>
      <c r="D2840">
        <f>IF(B2840=$AB$2,$AC$2,$AC$3)</f>
        <v>1</v>
      </c>
      <c r="E2840">
        <f>IF(ISBLANK(C2840),0,VLOOKUP(C2840,$AE$2:$AF$7,2,0))</f>
        <v>0.5</v>
      </c>
      <c r="F2840">
        <f t="shared" si="94"/>
        <v>0.5</v>
      </c>
    </row>
    <row r="2841" spans="1:6">
      <c r="A2841" s="30">
        <f t="shared" si="93"/>
        <v>45931</v>
      </c>
      <c r="B2841" s="32" t="s">
        <v>199</v>
      </c>
      <c r="C2841" t="s">
        <v>207</v>
      </c>
      <c r="D2841">
        <f>IF(B2841=$AB$2,$AC$2,$AC$3)</f>
        <v>1</v>
      </c>
      <c r="E2841">
        <f>IF(ISBLANK(C2841),0,VLOOKUP(C2841,$AE$2:$AF$7,2,0))</f>
        <v>0.5</v>
      </c>
      <c r="F2841">
        <f t="shared" si="94"/>
        <v>0.5</v>
      </c>
    </row>
    <row r="2842" spans="1:6">
      <c r="A2842" s="30">
        <f t="shared" si="93"/>
        <v>45932</v>
      </c>
      <c r="B2842" s="32" t="s">
        <v>199</v>
      </c>
      <c r="C2842" t="s">
        <v>207</v>
      </c>
      <c r="D2842">
        <f>IF(B2842=$AB$2,$AC$2,$AC$3)</f>
        <v>1</v>
      </c>
      <c r="E2842">
        <f>IF(ISBLANK(C2842),0,VLOOKUP(C2842,$AE$2:$AF$7,2,0))</f>
        <v>0.5</v>
      </c>
      <c r="F2842">
        <f t="shared" si="94"/>
        <v>0.5</v>
      </c>
    </row>
    <row r="2843" spans="1:6">
      <c r="A2843" s="30">
        <f t="shared" si="93"/>
        <v>45933</v>
      </c>
      <c r="B2843" s="32" t="s">
        <v>199</v>
      </c>
      <c r="C2843" t="s">
        <v>207</v>
      </c>
      <c r="D2843">
        <f>IF(B2843=$AB$2,$AC$2,$AC$3)</f>
        <v>1</v>
      </c>
      <c r="E2843">
        <f>IF(ISBLANK(C2843),0,VLOOKUP(C2843,$AE$2:$AF$7,2,0))</f>
        <v>0.5</v>
      </c>
      <c r="F2843">
        <f t="shared" si="94"/>
        <v>0.5</v>
      </c>
    </row>
    <row r="2844" spans="1:6">
      <c r="A2844" s="30">
        <f t="shared" si="93"/>
        <v>45934</v>
      </c>
      <c r="B2844" s="32" t="s">
        <v>199</v>
      </c>
      <c r="C2844" t="s">
        <v>207</v>
      </c>
      <c r="D2844">
        <f>IF(B2844=$AB$2,$AC$2,$AC$3)</f>
        <v>1</v>
      </c>
      <c r="E2844">
        <f>IF(ISBLANK(C2844),0,VLOOKUP(C2844,$AE$2:$AF$7,2,0))</f>
        <v>0.5</v>
      </c>
      <c r="F2844">
        <f t="shared" si="94"/>
        <v>0.5</v>
      </c>
    </row>
    <row r="2845" spans="1:6">
      <c r="A2845" s="30">
        <f t="shared" si="93"/>
        <v>45935</v>
      </c>
      <c r="B2845" s="32" t="s">
        <v>199</v>
      </c>
      <c r="C2845" t="s">
        <v>207</v>
      </c>
      <c r="D2845">
        <f>IF(B2845=$AB$2,$AC$2,$AC$3)</f>
        <v>1</v>
      </c>
      <c r="E2845">
        <f>IF(ISBLANK(C2845),0,VLOOKUP(C2845,$AE$2:$AF$7,2,0))</f>
        <v>0.5</v>
      </c>
      <c r="F2845">
        <f t="shared" si="94"/>
        <v>0.5</v>
      </c>
    </row>
    <row r="2846" spans="1:6">
      <c r="A2846" s="30">
        <f t="shared" si="93"/>
        <v>45936</v>
      </c>
      <c r="B2846" s="32" t="s">
        <v>199</v>
      </c>
      <c r="C2846" t="s">
        <v>207</v>
      </c>
      <c r="D2846">
        <f>IF(B2846=$AB$2,$AC$2,$AC$3)</f>
        <v>1</v>
      </c>
      <c r="E2846">
        <f>IF(ISBLANK(C2846),0,VLOOKUP(C2846,$AE$2:$AF$7,2,0))</f>
        <v>0.5</v>
      </c>
      <c r="F2846">
        <f t="shared" si="94"/>
        <v>0.5</v>
      </c>
    </row>
    <row r="2847" spans="1:6">
      <c r="A2847" s="30">
        <f t="shared" si="93"/>
        <v>45937</v>
      </c>
      <c r="B2847" s="32" t="s">
        <v>199</v>
      </c>
      <c r="C2847" t="s">
        <v>207</v>
      </c>
      <c r="D2847">
        <f>IF(B2847=$AB$2,$AC$2,$AC$3)</f>
        <v>1</v>
      </c>
      <c r="E2847">
        <f>IF(ISBLANK(C2847),0,VLOOKUP(C2847,$AE$2:$AF$7,2,0))</f>
        <v>0.5</v>
      </c>
      <c r="F2847">
        <f t="shared" si="94"/>
        <v>0.5</v>
      </c>
    </row>
    <row r="2848" spans="1:6">
      <c r="A2848" s="30">
        <f t="shared" si="93"/>
        <v>45938</v>
      </c>
      <c r="B2848" s="32" t="s">
        <v>199</v>
      </c>
      <c r="C2848" t="s">
        <v>207</v>
      </c>
      <c r="D2848">
        <f>IF(B2848=$AB$2,$AC$2,$AC$3)</f>
        <v>1</v>
      </c>
      <c r="E2848">
        <f>IF(ISBLANK(C2848),0,VLOOKUP(C2848,$AE$2:$AF$7,2,0))</f>
        <v>0.5</v>
      </c>
      <c r="F2848">
        <f t="shared" si="94"/>
        <v>0.5</v>
      </c>
    </row>
    <row r="2849" spans="1:6">
      <c r="A2849" s="30">
        <f t="shared" si="93"/>
        <v>45939</v>
      </c>
      <c r="B2849" s="32" t="s">
        <v>199</v>
      </c>
      <c r="C2849" t="s">
        <v>207</v>
      </c>
      <c r="D2849">
        <f>IF(B2849=$AB$2,$AC$2,$AC$3)</f>
        <v>1</v>
      </c>
      <c r="E2849">
        <f>IF(ISBLANK(C2849),0,VLOOKUP(C2849,$AE$2:$AF$7,2,0))</f>
        <v>0.5</v>
      </c>
      <c r="F2849">
        <f t="shared" si="94"/>
        <v>0.5</v>
      </c>
    </row>
    <row r="2850" spans="1:6">
      <c r="A2850" s="30">
        <f t="shared" si="93"/>
        <v>45940</v>
      </c>
      <c r="B2850" s="32" t="s">
        <v>199</v>
      </c>
      <c r="C2850" t="s">
        <v>207</v>
      </c>
      <c r="D2850">
        <f>IF(B2850=$AB$2,$AC$2,$AC$3)</f>
        <v>1</v>
      </c>
      <c r="E2850">
        <f>IF(ISBLANK(C2850),0,VLOOKUP(C2850,$AE$2:$AF$7,2,0))</f>
        <v>0.5</v>
      </c>
      <c r="F2850">
        <f t="shared" si="94"/>
        <v>0.5</v>
      </c>
    </row>
    <row r="2851" spans="1:6">
      <c r="A2851" s="30">
        <f t="shared" si="93"/>
        <v>45941</v>
      </c>
      <c r="B2851" s="32" t="s">
        <v>199</v>
      </c>
      <c r="C2851" t="s">
        <v>207</v>
      </c>
      <c r="D2851">
        <f>IF(B2851=$AB$2,$AC$2,$AC$3)</f>
        <v>1</v>
      </c>
      <c r="E2851">
        <f>IF(ISBLANK(C2851),0,VLOOKUP(C2851,$AE$2:$AF$7,2,0))</f>
        <v>0.5</v>
      </c>
      <c r="F2851">
        <f t="shared" si="94"/>
        <v>0.5</v>
      </c>
    </row>
    <row r="2852" spans="1:6">
      <c r="A2852" s="30">
        <f t="shared" si="93"/>
        <v>45942</v>
      </c>
      <c r="B2852" s="32" t="s">
        <v>199</v>
      </c>
      <c r="C2852" t="s">
        <v>207</v>
      </c>
      <c r="D2852">
        <f>IF(B2852=$AB$2,$AC$2,$AC$3)</f>
        <v>1</v>
      </c>
      <c r="E2852">
        <f>IF(ISBLANK(C2852),0,VLOOKUP(C2852,$AE$2:$AF$7,2,0))</f>
        <v>0.5</v>
      </c>
      <c r="F2852">
        <f t="shared" si="94"/>
        <v>0.5</v>
      </c>
    </row>
    <row r="2853" spans="1:6">
      <c r="A2853" s="30">
        <f>A2852+1</f>
        <v>45943</v>
      </c>
      <c r="B2853" s="32" t="s">
        <v>199</v>
      </c>
      <c r="C2853" t="s">
        <v>207</v>
      </c>
      <c r="D2853">
        <f>IF(B2853=$AB$2,$AC$2,$AC$3)</f>
        <v>1</v>
      </c>
      <c r="E2853">
        <f>IF(ISBLANK(C2853),0,VLOOKUP(C2853,$AE$2:$AF$7,2,0))</f>
        <v>0.5</v>
      </c>
      <c r="F2853">
        <f t="shared" si="94"/>
        <v>0.5</v>
      </c>
    </row>
    <row r="2854" spans="1:6">
      <c r="A2854" s="30">
        <f t="shared" ref="A2854:A2917" si="95">A2853+1</f>
        <v>45944</v>
      </c>
      <c r="B2854" s="32" t="s">
        <v>199</v>
      </c>
      <c r="C2854" t="s">
        <v>207</v>
      </c>
      <c r="D2854">
        <f>IF(B2854=$AB$2,$AC$2,$AC$3)</f>
        <v>1</v>
      </c>
      <c r="E2854">
        <f>IF(ISBLANK(C2854),0,VLOOKUP(C2854,$AE$2:$AF$7,2,0))</f>
        <v>0.5</v>
      </c>
      <c r="F2854">
        <f t="shared" si="94"/>
        <v>0.5</v>
      </c>
    </row>
    <row r="2855" spans="1:6">
      <c r="A2855" s="30">
        <f t="shared" si="95"/>
        <v>45945</v>
      </c>
      <c r="B2855" s="32" t="s">
        <v>199</v>
      </c>
      <c r="C2855" t="s">
        <v>207</v>
      </c>
      <c r="D2855">
        <f>IF(B2855=$AB$2,$AC$2,$AC$3)</f>
        <v>1</v>
      </c>
      <c r="E2855">
        <f>IF(ISBLANK(C2855),0,VLOOKUP(C2855,$AE$2:$AF$7,2,0))</f>
        <v>0.5</v>
      </c>
      <c r="F2855">
        <f t="shared" si="94"/>
        <v>0.5</v>
      </c>
    </row>
    <row r="2856" spans="1:6">
      <c r="A2856" s="30">
        <f t="shared" si="95"/>
        <v>45946</v>
      </c>
      <c r="B2856" s="32" t="s">
        <v>199</v>
      </c>
      <c r="C2856" t="s">
        <v>207</v>
      </c>
      <c r="D2856">
        <f>IF(B2856=$AB$2,$AC$2,$AC$3)</f>
        <v>1</v>
      </c>
      <c r="E2856">
        <f>IF(ISBLANK(C2856),0,VLOOKUP(C2856,$AE$2:$AF$7,2,0))</f>
        <v>0.5</v>
      </c>
      <c r="F2856">
        <f t="shared" si="94"/>
        <v>0.5</v>
      </c>
    </row>
    <row r="2857" spans="1:6">
      <c r="A2857" s="30">
        <f t="shared" si="95"/>
        <v>45947</v>
      </c>
      <c r="B2857" s="32" t="s">
        <v>199</v>
      </c>
      <c r="C2857" t="s">
        <v>207</v>
      </c>
      <c r="D2857">
        <f>IF(B2857=$AB$2,$AC$2,$AC$3)</f>
        <v>1</v>
      </c>
      <c r="E2857">
        <f>IF(ISBLANK(C2857),0,VLOOKUP(C2857,$AE$2:$AF$7,2,0))</f>
        <v>0.5</v>
      </c>
      <c r="F2857">
        <f t="shared" si="94"/>
        <v>0.5</v>
      </c>
    </row>
    <row r="2858" spans="1:6">
      <c r="A2858" s="30">
        <f t="shared" si="95"/>
        <v>45948</v>
      </c>
      <c r="B2858" s="32" t="s">
        <v>199</v>
      </c>
      <c r="C2858" t="s">
        <v>207</v>
      </c>
      <c r="D2858">
        <f>IF(B2858=$AB$2,$AC$2,$AC$3)</f>
        <v>1</v>
      </c>
      <c r="E2858">
        <f>IF(ISBLANK(C2858),0,VLOOKUP(C2858,$AE$2:$AF$7,2,0))</f>
        <v>0.5</v>
      </c>
      <c r="F2858">
        <f t="shared" si="94"/>
        <v>0.5</v>
      </c>
    </row>
    <row r="2859" spans="1:6">
      <c r="A2859" s="30">
        <f t="shared" si="95"/>
        <v>45949</v>
      </c>
      <c r="B2859" s="32" t="s">
        <v>199</v>
      </c>
      <c r="C2859" t="s">
        <v>207</v>
      </c>
      <c r="D2859">
        <f>IF(B2859=$AB$2,$AC$2,$AC$3)</f>
        <v>1</v>
      </c>
      <c r="E2859">
        <f>IF(ISBLANK(C2859),0,VLOOKUP(C2859,$AE$2:$AF$7,2,0))</f>
        <v>0.5</v>
      </c>
      <c r="F2859">
        <f t="shared" si="94"/>
        <v>0.5</v>
      </c>
    </row>
    <row r="2860" spans="1:6">
      <c r="A2860" s="30">
        <f t="shared" si="95"/>
        <v>45950</v>
      </c>
      <c r="B2860" s="32" t="s">
        <v>199</v>
      </c>
      <c r="C2860" t="s">
        <v>207</v>
      </c>
      <c r="D2860">
        <f>IF(B2860=$AB$2,$AC$2,$AC$3)</f>
        <v>1</v>
      </c>
      <c r="E2860">
        <f>IF(ISBLANK(C2860),0,VLOOKUP(C2860,$AE$2:$AF$7,2,0))</f>
        <v>0.5</v>
      </c>
      <c r="F2860">
        <f t="shared" si="94"/>
        <v>0.5</v>
      </c>
    </row>
    <row r="2861" spans="1:6">
      <c r="A2861" s="30">
        <f t="shared" si="95"/>
        <v>45951</v>
      </c>
      <c r="B2861" s="32" t="s">
        <v>199</v>
      </c>
      <c r="C2861" t="s">
        <v>207</v>
      </c>
      <c r="D2861">
        <f>IF(B2861=$AB$2,$AC$2,$AC$3)</f>
        <v>1</v>
      </c>
      <c r="E2861">
        <f>IF(ISBLANK(C2861),0,VLOOKUP(C2861,$AE$2:$AF$7,2,0))</f>
        <v>0.5</v>
      </c>
      <c r="F2861">
        <f t="shared" si="94"/>
        <v>0.5</v>
      </c>
    </row>
    <row r="2862" spans="1:6">
      <c r="A2862" s="30">
        <f t="shared" si="95"/>
        <v>45952</v>
      </c>
      <c r="B2862" s="32" t="s">
        <v>199</v>
      </c>
      <c r="C2862" t="s">
        <v>207</v>
      </c>
      <c r="D2862">
        <f>IF(B2862=$AB$2,$AC$2,$AC$3)</f>
        <v>1</v>
      </c>
      <c r="E2862">
        <f>IF(ISBLANK(C2862),0,VLOOKUP(C2862,$AE$2:$AF$7,2,0))</f>
        <v>0.5</v>
      </c>
      <c r="F2862">
        <f t="shared" si="94"/>
        <v>0.5</v>
      </c>
    </row>
    <row r="2863" spans="1:6">
      <c r="A2863" s="30">
        <f t="shared" si="95"/>
        <v>45953</v>
      </c>
      <c r="B2863" s="32" t="s">
        <v>199</v>
      </c>
      <c r="C2863" t="s">
        <v>207</v>
      </c>
      <c r="D2863">
        <f>IF(B2863=$AB$2,$AC$2,$AC$3)</f>
        <v>1</v>
      </c>
      <c r="E2863">
        <f>IF(ISBLANK(C2863),0,VLOOKUP(C2863,$AE$2:$AF$7,2,0))</f>
        <v>0.5</v>
      </c>
      <c r="F2863">
        <f t="shared" si="94"/>
        <v>0.5</v>
      </c>
    </row>
    <row r="2864" spans="1:6">
      <c r="A2864" s="30">
        <f t="shared" si="95"/>
        <v>45954</v>
      </c>
      <c r="B2864" s="32" t="s">
        <v>199</v>
      </c>
      <c r="C2864" t="s">
        <v>207</v>
      </c>
      <c r="D2864">
        <f>IF(B2864=$AB$2,$AC$2,$AC$3)</f>
        <v>1</v>
      </c>
      <c r="E2864">
        <f>IF(ISBLANK(C2864),0,VLOOKUP(C2864,$AE$2:$AF$7,2,0))</f>
        <v>0.5</v>
      </c>
      <c r="F2864">
        <f t="shared" si="94"/>
        <v>0.5</v>
      </c>
    </row>
    <row r="2865" spans="1:6">
      <c r="A2865" s="30">
        <f t="shared" si="95"/>
        <v>45955</v>
      </c>
      <c r="B2865" s="32" t="s">
        <v>199</v>
      </c>
      <c r="C2865" t="s">
        <v>207</v>
      </c>
      <c r="D2865">
        <f>IF(B2865=$AB$2,$AC$2,$AC$3)</f>
        <v>1</v>
      </c>
      <c r="E2865">
        <f>IF(ISBLANK(C2865),0,VLOOKUP(C2865,$AE$2:$AF$7,2,0))</f>
        <v>0.5</v>
      </c>
      <c r="F2865">
        <f t="shared" si="94"/>
        <v>0.5</v>
      </c>
    </row>
    <row r="2866" spans="1:6">
      <c r="A2866" s="30">
        <f t="shared" si="95"/>
        <v>45956</v>
      </c>
      <c r="B2866" s="32" t="s">
        <v>199</v>
      </c>
      <c r="C2866" t="s">
        <v>207</v>
      </c>
      <c r="D2866">
        <f>IF(B2866=$AB$2,$AC$2,$AC$3)</f>
        <v>1</v>
      </c>
      <c r="E2866">
        <f>IF(ISBLANK(C2866),0,VLOOKUP(C2866,$AE$2:$AF$7,2,0))</f>
        <v>0.5</v>
      </c>
      <c r="F2866">
        <f t="shared" si="94"/>
        <v>0.5</v>
      </c>
    </row>
    <row r="2867" spans="1:6">
      <c r="A2867" s="30">
        <f t="shared" si="95"/>
        <v>45957</v>
      </c>
      <c r="B2867" s="32" t="s">
        <v>199</v>
      </c>
      <c r="C2867" t="s">
        <v>207</v>
      </c>
      <c r="D2867">
        <f>IF(B2867=$AB$2,$AC$2,$AC$3)</f>
        <v>1</v>
      </c>
      <c r="E2867">
        <f>IF(ISBLANK(C2867),0,VLOOKUP(C2867,$AE$2:$AF$7,2,0))</f>
        <v>0.5</v>
      </c>
      <c r="F2867">
        <f t="shared" si="94"/>
        <v>0.5</v>
      </c>
    </row>
    <row r="2868" spans="1:6">
      <c r="A2868" s="30">
        <f t="shared" si="95"/>
        <v>45958</v>
      </c>
      <c r="B2868" s="32" t="s">
        <v>199</v>
      </c>
      <c r="C2868" t="s">
        <v>207</v>
      </c>
      <c r="D2868">
        <f>IF(B2868=$AB$2,$AC$2,$AC$3)</f>
        <v>1</v>
      </c>
      <c r="E2868">
        <f>IF(ISBLANK(C2868),0,VLOOKUP(C2868,$AE$2:$AF$7,2,0))</f>
        <v>0.5</v>
      </c>
      <c r="F2868">
        <f t="shared" si="94"/>
        <v>0.5</v>
      </c>
    </row>
    <row r="2869" spans="1:6">
      <c r="A2869" s="30">
        <f t="shared" si="95"/>
        <v>45959</v>
      </c>
      <c r="B2869" s="32" t="s">
        <v>199</v>
      </c>
      <c r="C2869" t="s">
        <v>207</v>
      </c>
      <c r="D2869">
        <f>IF(B2869=$AB$2,$AC$2,$AC$3)</f>
        <v>1</v>
      </c>
      <c r="E2869">
        <f>IF(ISBLANK(C2869),0,VLOOKUP(C2869,$AE$2:$AF$7,2,0))</f>
        <v>0.5</v>
      </c>
      <c r="F2869">
        <f t="shared" si="94"/>
        <v>0.5</v>
      </c>
    </row>
    <row r="2870" spans="1:6">
      <c r="A2870" s="30">
        <f t="shared" si="95"/>
        <v>45960</v>
      </c>
      <c r="B2870" s="32" t="s">
        <v>199</v>
      </c>
      <c r="C2870" t="s">
        <v>207</v>
      </c>
      <c r="D2870">
        <f>IF(B2870=$AB$2,$AC$2,$AC$3)</f>
        <v>1</v>
      </c>
      <c r="E2870">
        <f>IF(ISBLANK(C2870),0,VLOOKUP(C2870,$AE$2:$AF$7,2,0))</f>
        <v>0.5</v>
      </c>
      <c r="F2870">
        <f t="shared" si="94"/>
        <v>0.5</v>
      </c>
    </row>
    <row r="2871" spans="1:6">
      <c r="A2871" s="30">
        <f t="shared" si="95"/>
        <v>45961</v>
      </c>
      <c r="B2871" s="32" t="s">
        <v>199</v>
      </c>
      <c r="C2871" t="s">
        <v>207</v>
      </c>
      <c r="D2871">
        <f>IF(B2871=$AB$2,$AC$2,$AC$3)</f>
        <v>1</v>
      </c>
      <c r="E2871">
        <f>IF(ISBLANK(C2871),0,VLOOKUP(C2871,$AE$2:$AF$7,2,0))</f>
        <v>0.5</v>
      </c>
      <c r="F2871">
        <f t="shared" si="94"/>
        <v>0.5</v>
      </c>
    </row>
    <row r="2872" spans="1:6">
      <c r="A2872" s="30">
        <f t="shared" si="95"/>
        <v>45962</v>
      </c>
      <c r="B2872" s="32" t="s">
        <v>199</v>
      </c>
      <c r="C2872" t="s">
        <v>207</v>
      </c>
      <c r="D2872">
        <f>IF(B2872=$AB$2,$AC$2,$AC$3)</f>
        <v>1</v>
      </c>
      <c r="E2872">
        <f>IF(ISBLANK(C2872),0,VLOOKUP(C2872,$AE$2:$AF$7,2,0))</f>
        <v>0.5</v>
      </c>
      <c r="F2872">
        <f t="shared" si="94"/>
        <v>0.5</v>
      </c>
    </row>
    <row r="2873" spans="1:6">
      <c r="A2873" s="30">
        <f t="shared" si="95"/>
        <v>45963</v>
      </c>
      <c r="B2873" s="32" t="s">
        <v>199</v>
      </c>
      <c r="C2873" t="s">
        <v>207</v>
      </c>
      <c r="D2873">
        <f>IF(B2873=$AB$2,$AC$2,$AC$3)</f>
        <v>1</v>
      </c>
      <c r="E2873">
        <f>IF(ISBLANK(C2873),0,VLOOKUP(C2873,$AE$2:$AF$7,2,0))</f>
        <v>0.5</v>
      </c>
      <c r="F2873">
        <f t="shared" si="94"/>
        <v>0.5</v>
      </c>
    </row>
    <row r="2874" spans="1:6">
      <c r="A2874" s="30">
        <f t="shared" si="95"/>
        <v>45964</v>
      </c>
      <c r="B2874" s="32" t="s">
        <v>199</v>
      </c>
      <c r="C2874" t="s">
        <v>207</v>
      </c>
      <c r="D2874">
        <f>IF(B2874=$AB$2,$AC$2,$AC$3)</f>
        <v>1</v>
      </c>
      <c r="E2874">
        <f>IF(ISBLANK(C2874),0,VLOOKUP(C2874,$AE$2:$AF$7,2,0))</f>
        <v>0.5</v>
      </c>
      <c r="F2874">
        <f t="shared" si="94"/>
        <v>0.5</v>
      </c>
    </row>
    <row r="2875" spans="1:6">
      <c r="A2875" s="30">
        <f t="shared" si="95"/>
        <v>45965</v>
      </c>
      <c r="B2875" s="32" t="s">
        <v>199</v>
      </c>
      <c r="C2875" t="s">
        <v>207</v>
      </c>
      <c r="D2875">
        <f>IF(B2875=$AB$2,$AC$2,$AC$3)</f>
        <v>1</v>
      </c>
      <c r="E2875">
        <f>IF(ISBLANK(C2875),0,VLOOKUP(C2875,$AE$2:$AF$7,2,0))</f>
        <v>0.5</v>
      </c>
      <c r="F2875">
        <f t="shared" si="94"/>
        <v>0.5</v>
      </c>
    </row>
    <row r="2876" spans="1:6">
      <c r="A2876" s="30">
        <f t="shared" si="95"/>
        <v>45966</v>
      </c>
      <c r="B2876" s="32" t="s">
        <v>199</v>
      </c>
      <c r="C2876" t="s">
        <v>207</v>
      </c>
      <c r="D2876">
        <f>IF(B2876=$AB$2,$AC$2,$AC$3)</f>
        <v>1</v>
      </c>
      <c r="E2876">
        <f>IF(ISBLANK(C2876),0,VLOOKUP(C2876,$AE$2:$AF$7,2,0))</f>
        <v>0.5</v>
      </c>
      <c r="F2876">
        <f t="shared" si="94"/>
        <v>0.5</v>
      </c>
    </row>
    <row r="2877" spans="1:6">
      <c r="A2877" s="30">
        <f t="shared" si="95"/>
        <v>45967</v>
      </c>
      <c r="B2877" s="32" t="s">
        <v>199</v>
      </c>
      <c r="C2877" t="s">
        <v>207</v>
      </c>
      <c r="D2877">
        <f>IF(B2877=$AB$2,$AC$2,$AC$3)</f>
        <v>1</v>
      </c>
      <c r="E2877">
        <f>IF(ISBLANK(C2877),0,VLOOKUP(C2877,$AE$2:$AF$7,2,0))</f>
        <v>0.5</v>
      </c>
      <c r="F2877">
        <f t="shared" si="94"/>
        <v>0.5</v>
      </c>
    </row>
    <row r="2878" spans="1:6">
      <c r="A2878" s="30">
        <f t="shared" si="95"/>
        <v>45968</v>
      </c>
      <c r="B2878" s="32" t="s">
        <v>199</v>
      </c>
      <c r="C2878" t="s">
        <v>207</v>
      </c>
      <c r="D2878">
        <f>IF(B2878=$AB$2,$AC$2,$AC$3)</f>
        <v>1</v>
      </c>
      <c r="E2878">
        <f>IF(ISBLANK(C2878),0,VLOOKUP(C2878,$AE$2:$AF$7,2,0))</f>
        <v>0.5</v>
      </c>
      <c r="F2878">
        <f t="shared" si="94"/>
        <v>0.5</v>
      </c>
    </row>
    <row r="2879" spans="1:6">
      <c r="A2879" s="30">
        <f t="shared" si="95"/>
        <v>45969</v>
      </c>
      <c r="B2879" s="32" t="s">
        <v>199</v>
      </c>
      <c r="C2879" t="s">
        <v>207</v>
      </c>
      <c r="D2879">
        <f>IF(B2879=$AB$2,$AC$2,$AC$3)</f>
        <v>1</v>
      </c>
      <c r="E2879">
        <f>IF(ISBLANK(C2879),0,VLOOKUP(C2879,$AE$2:$AF$7,2,0))</f>
        <v>0.5</v>
      </c>
      <c r="F2879">
        <f t="shared" si="94"/>
        <v>0.5</v>
      </c>
    </row>
    <row r="2880" spans="1:6">
      <c r="A2880" s="30">
        <f t="shared" si="95"/>
        <v>45970</v>
      </c>
      <c r="B2880" s="32" t="s">
        <v>199</v>
      </c>
      <c r="C2880" t="s">
        <v>207</v>
      </c>
      <c r="D2880">
        <f>IF(B2880=$AB$2,$AC$2,$AC$3)</f>
        <v>1</v>
      </c>
      <c r="E2880">
        <f>IF(ISBLANK(C2880),0,VLOOKUP(C2880,$AE$2:$AF$7,2,0))</f>
        <v>0.5</v>
      </c>
      <c r="F2880">
        <f t="shared" si="94"/>
        <v>0.5</v>
      </c>
    </row>
    <row r="2881" spans="1:6">
      <c r="A2881" s="30">
        <f t="shared" si="95"/>
        <v>45971</v>
      </c>
      <c r="B2881" s="32" t="s">
        <v>199</v>
      </c>
      <c r="C2881" t="s">
        <v>207</v>
      </c>
      <c r="D2881">
        <f>IF(B2881=$AB$2,$AC$2,$AC$3)</f>
        <v>1</v>
      </c>
      <c r="E2881">
        <f>IF(ISBLANK(C2881),0,VLOOKUP(C2881,$AE$2:$AF$7,2,0))</f>
        <v>0.5</v>
      </c>
      <c r="F2881">
        <f t="shared" si="94"/>
        <v>0.5</v>
      </c>
    </row>
    <row r="2882" spans="1:6">
      <c r="A2882" s="30">
        <f t="shared" si="95"/>
        <v>45972</v>
      </c>
      <c r="B2882" s="32" t="s">
        <v>199</v>
      </c>
      <c r="C2882" t="s">
        <v>207</v>
      </c>
      <c r="D2882">
        <f>IF(B2882=$AB$2,$AC$2,$AC$3)</f>
        <v>1</v>
      </c>
      <c r="E2882">
        <f>IF(ISBLANK(C2882),0,VLOOKUP(C2882,$AE$2:$AF$7,2,0))</f>
        <v>0.5</v>
      </c>
      <c r="F2882">
        <f t="shared" si="94"/>
        <v>0.5</v>
      </c>
    </row>
    <row r="2883" spans="1:6">
      <c r="A2883" s="30">
        <f t="shared" si="95"/>
        <v>45973</v>
      </c>
      <c r="B2883" s="32" t="s">
        <v>199</v>
      </c>
      <c r="C2883" t="s">
        <v>207</v>
      </c>
      <c r="D2883">
        <f>IF(B2883=$AB$2,$AC$2,$AC$3)</f>
        <v>1</v>
      </c>
      <c r="E2883">
        <f>IF(ISBLANK(C2883),0,VLOOKUP(C2883,$AE$2:$AF$7,2,0))</f>
        <v>0.5</v>
      </c>
      <c r="F2883">
        <f t="shared" ref="F2883:F2946" si="96">D2883*E2883</f>
        <v>0.5</v>
      </c>
    </row>
    <row r="2884" spans="1:6">
      <c r="A2884" s="30">
        <f t="shared" si="95"/>
        <v>45974</v>
      </c>
      <c r="B2884" s="32" t="s">
        <v>199</v>
      </c>
      <c r="C2884" t="s">
        <v>207</v>
      </c>
      <c r="D2884">
        <f>IF(B2884=$AB$2,$AC$2,$AC$3)</f>
        <v>1</v>
      </c>
      <c r="E2884">
        <f>IF(ISBLANK(C2884),0,VLOOKUP(C2884,$AE$2:$AF$7,2,0))</f>
        <v>0.5</v>
      </c>
      <c r="F2884">
        <f t="shared" si="96"/>
        <v>0.5</v>
      </c>
    </row>
    <row r="2885" spans="1:6">
      <c r="A2885" s="30">
        <f t="shared" si="95"/>
        <v>45975</v>
      </c>
      <c r="B2885" s="32" t="s">
        <v>199</v>
      </c>
      <c r="C2885" t="s">
        <v>207</v>
      </c>
      <c r="D2885">
        <f>IF(B2885=$AB$2,$AC$2,$AC$3)</f>
        <v>1</v>
      </c>
      <c r="E2885">
        <f>IF(ISBLANK(C2885),0,VLOOKUP(C2885,$AE$2:$AF$7,2,0))</f>
        <v>0.5</v>
      </c>
      <c r="F2885">
        <f t="shared" si="96"/>
        <v>0.5</v>
      </c>
    </row>
    <row r="2886" spans="1:6">
      <c r="A2886" s="30">
        <f t="shared" si="95"/>
        <v>45976</v>
      </c>
      <c r="B2886" s="32" t="s">
        <v>199</v>
      </c>
      <c r="C2886" t="s">
        <v>207</v>
      </c>
      <c r="D2886">
        <f>IF(B2886=$AB$2,$AC$2,$AC$3)</f>
        <v>1</v>
      </c>
      <c r="E2886">
        <f>IF(ISBLANK(C2886),0,VLOOKUP(C2886,$AE$2:$AF$7,2,0))</f>
        <v>0.5</v>
      </c>
      <c r="F2886">
        <f t="shared" si="96"/>
        <v>0.5</v>
      </c>
    </row>
    <row r="2887" spans="1:6">
      <c r="A2887" s="30">
        <f t="shared" si="95"/>
        <v>45977</v>
      </c>
      <c r="B2887" s="32" t="s">
        <v>199</v>
      </c>
      <c r="C2887" t="s">
        <v>207</v>
      </c>
      <c r="D2887">
        <f>IF(B2887=$AB$2,$AC$2,$AC$3)</f>
        <v>1</v>
      </c>
      <c r="E2887">
        <f>IF(ISBLANK(C2887),0,VLOOKUP(C2887,$AE$2:$AF$7,2,0))</f>
        <v>0.5</v>
      </c>
      <c r="F2887">
        <f t="shared" si="96"/>
        <v>0.5</v>
      </c>
    </row>
    <row r="2888" spans="1:6">
      <c r="A2888" s="30">
        <f t="shared" si="95"/>
        <v>45978</v>
      </c>
      <c r="B2888" s="32" t="s">
        <v>199</v>
      </c>
      <c r="C2888" t="s">
        <v>207</v>
      </c>
      <c r="D2888">
        <f>IF(B2888=$AB$2,$AC$2,$AC$3)</f>
        <v>1</v>
      </c>
      <c r="E2888">
        <f>IF(ISBLANK(C2888),0,VLOOKUP(C2888,$AE$2:$AF$7,2,0))</f>
        <v>0.5</v>
      </c>
      <c r="F2888">
        <f t="shared" si="96"/>
        <v>0.5</v>
      </c>
    </row>
    <row r="2889" spans="1:6">
      <c r="A2889" s="30">
        <f t="shared" si="95"/>
        <v>45979</v>
      </c>
      <c r="B2889" s="32" t="s">
        <v>199</v>
      </c>
      <c r="C2889" t="s">
        <v>207</v>
      </c>
      <c r="D2889">
        <f>IF(B2889=$AB$2,$AC$2,$AC$3)</f>
        <v>1</v>
      </c>
      <c r="E2889">
        <f>IF(ISBLANK(C2889),0,VLOOKUP(C2889,$AE$2:$AF$7,2,0))</f>
        <v>0.5</v>
      </c>
      <c r="F2889">
        <f t="shared" si="96"/>
        <v>0.5</v>
      </c>
    </row>
    <row r="2890" spans="1:6">
      <c r="A2890" s="30">
        <f t="shared" si="95"/>
        <v>45980</v>
      </c>
      <c r="B2890" s="32" t="s">
        <v>199</v>
      </c>
      <c r="C2890" t="s">
        <v>207</v>
      </c>
      <c r="D2890">
        <f>IF(B2890=$AB$2,$AC$2,$AC$3)</f>
        <v>1</v>
      </c>
      <c r="E2890">
        <f>IF(ISBLANK(C2890),0,VLOOKUP(C2890,$AE$2:$AF$7,2,0))</f>
        <v>0.5</v>
      </c>
      <c r="F2890">
        <f t="shared" si="96"/>
        <v>0.5</v>
      </c>
    </row>
    <row r="2891" spans="1:6">
      <c r="A2891" s="30">
        <f t="shared" si="95"/>
        <v>45981</v>
      </c>
      <c r="B2891" s="32" t="s">
        <v>199</v>
      </c>
      <c r="C2891" t="s">
        <v>207</v>
      </c>
      <c r="D2891">
        <f>IF(B2891=$AB$2,$AC$2,$AC$3)</f>
        <v>1</v>
      </c>
      <c r="E2891">
        <f>IF(ISBLANK(C2891),0,VLOOKUP(C2891,$AE$2:$AF$7,2,0))</f>
        <v>0.5</v>
      </c>
      <c r="F2891">
        <f t="shared" si="96"/>
        <v>0.5</v>
      </c>
    </row>
    <row r="2892" spans="1:6">
      <c r="A2892" s="30">
        <f t="shared" si="95"/>
        <v>45982</v>
      </c>
      <c r="B2892" s="32" t="s">
        <v>199</v>
      </c>
      <c r="C2892" t="s">
        <v>207</v>
      </c>
      <c r="D2892">
        <f>IF(B2892=$AB$2,$AC$2,$AC$3)</f>
        <v>1</v>
      </c>
      <c r="E2892">
        <f>IF(ISBLANK(C2892),0,VLOOKUP(C2892,$AE$2:$AF$7,2,0))</f>
        <v>0.5</v>
      </c>
      <c r="F2892">
        <f t="shared" si="96"/>
        <v>0.5</v>
      </c>
    </row>
    <row r="2893" spans="1:6">
      <c r="A2893" s="30">
        <f t="shared" si="95"/>
        <v>45983</v>
      </c>
      <c r="B2893" s="32" t="s">
        <v>199</v>
      </c>
      <c r="C2893" t="s">
        <v>207</v>
      </c>
      <c r="D2893">
        <f>IF(B2893=$AB$2,$AC$2,$AC$3)</f>
        <v>1</v>
      </c>
      <c r="E2893">
        <f>IF(ISBLANK(C2893),0,VLOOKUP(C2893,$AE$2:$AF$7,2,0))</f>
        <v>0.5</v>
      </c>
      <c r="F2893">
        <f t="shared" si="96"/>
        <v>0.5</v>
      </c>
    </row>
    <row r="2894" spans="1:6">
      <c r="A2894" s="30">
        <f t="shared" si="95"/>
        <v>45984</v>
      </c>
      <c r="B2894" s="32" t="s">
        <v>199</v>
      </c>
      <c r="C2894" t="s">
        <v>207</v>
      </c>
      <c r="D2894">
        <f>IF(B2894=$AB$2,$AC$2,$AC$3)</f>
        <v>1</v>
      </c>
      <c r="E2894">
        <f>IF(ISBLANK(C2894),0,VLOOKUP(C2894,$AE$2:$AF$7,2,0))</f>
        <v>0.5</v>
      </c>
      <c r="F2894">
        <f t="shared" si="96"/>
        <v>0.5</v>
      </c>
    </row>
    <row r="2895" spans="1:6">
      <c r="A2895" s="30">
        <f t="shared" si="95"/>
        <v>45985</v>
      </c>
      <c r="B2895" s="32" t="s">
        <v>199</v>
      </c>
      <c r="C2895" t="s">
        <v>207</v>
      </c>
      <c r="D2895">
        <f>IF(B2895=$AB$2,$AC$2,$AC$3)</f>
        <v>1</v>
      </c>
      <c r="E2895">
        <f>IF(ISBLANK(C2895),0,VLOOKUP(C2895,$AE$2:$AF$7,2,0))</f>
        <v>0.5</v>
      </c>
      <c r="F2895">
        <f t="shared" si="96"/>
        <v>0.5</v>
      </c>
    </row>
    <row r="2896" spans="1:6">
      <c r="A2896" s="30">
        <f t="shared" si="95"/>
        <v>45986</v>
      </c>
      <c r="B2896" s="32" t="s">
        <v>199</v>
      </c>
      <c r="C2896" t="s">
        <v>207</v>
      </c>
      <c r="D2896">
        <f>IF(B2896=$AB$2,$AC$2,$AC$3)</f>
        <v>1</v>
      </c>
      <c r="E2896">
        <f>IF(ISBLANK(C2896),0,VLOOKUP(C2896,$AE$2:$AF$7,2,0))</f>
        <v>0.5</v>
      </c>
      <c r="F2896">
        <f t="shared" si="96"/>
        <v>0.5</v>
      </c>
    </row>
    <row r="2897" spans="1:6">
      <c r="A2897" s="30">
        <f t="shared" si="95"/>
        <v>45987</v>
      </c>
      <c r="B2897" s="32" t="s">
        <v>199</v>
      </c>
      <c r="C2897" t="s">
        <v>207</v>
      </c>
      <c r="D2897">
        <f>IF(B2897=$AB$2,$AC$2,$AC$3)</f>
        <v>1</v>
      </c>
      <c r="E2897">
        <f>IF(ISBLANK(C2897),0,VLOOKUP(C2897,$AE$2:$AF$7,2,0))</f>
        <v>0.5</v>
      </c>
      <c r="F2897">
        <f t="shared" si="96"/>
        <v>0.5</v>
      </c>
    </row>
    <row r="2898" spans="1:6">
      <c r="A2898" s="30">
        <f t="shared" si="95"/>
        <v>45988</v>
      </c>
      <c r="B2898" s="32" t="s">
        <v>199</v>
      </c>
      <c r="C2898" t="s">
        <v>207</v>
      </c>
      <c r="D2898">
        <f>IF(B2898=$AB$2,$AC$2,$AC$3)</f>
        <v>1</v>
      </c>
      <c r="E2898">
        <f>IF(ISBLANK(C2898),0,VLOOKUP(C2898,$AE$2:$AF$7,2,0))</f>
        <v>0.5</v>
      </c>
      <c r="F2898">
        <f t="shared" si="96"/>
        <v>0.5</v>
      </c>
    </row>
    <row r="2899" spans="1:6">
      <c r="A2899" s="30">
        <f t="shared" si="95"/>
        <v>45989</v>
      </c>
      <c r="B2899" s="32" t="s">
        <v>199</v>
      </c>
      <c r="C2899" t="s">
        <v>207</v>
      </c>
      <c r="D2899">
        <f>IF(B2899=$AB$2,$AC$2,$AC$3)</f>
        <v>1</v>
      </c>
      <c r="E2899">
        <f>IF(ISBLANK(C2899),0,VLOOKUP(C2899,$AE$2:$AF$7,2,0))</f>
        <v>0.5</v>
      </c>
      <c r="F2899">
        <f t="shared" si="96"/>
        <v>0.5</v>
      </c>
    </row>
    <row r="2900" spans="1:6">
      <c r="A2900" s="30">
        <f t="shared" si="95"/>
        <v>45990</v>
      </c>
      <c r="B2900" s="32" t="s">
        <v>199</v>
      </c>
      <c r="C2900" t="s">
        <v>207</v>
      </c>
      <c r="D2900">
        <f>IF(B2900=$AB$2,$AC$2,$AC$3)</f>
        <v>1</v>
      </c>
      <c r="E2900">
        <f>IF(ISBLANK(C2900),0,VLOOKUP(C2900,$AE$2:$AF$7,2,0))</f>
        <v>0.5</v>
      </c>
      <c r="F2900">
        <f t="shared" si="96"/>
        <v>0.5</v>
      </c>
    </row>
    <row r="2901" spans="1:6">
      <c r="A2901" s="30">
        <f t="shared" si="95"/>
        <v>45991</v>
      </c>
      <c r="B2901" s="32" t="s">
        <v>199</v>
      </c>
      <c r="C2901" t="s">
        <v>207</v>
      </c>
      <c r="D2901">
        <f>IF(B2901=$AB$2,$AC$2,$AC$3)</f>
        <v>1</v>
      </c>
      <c r="E2901">
        <f>IF(ISBLANK(C2901),0,VLOOKUP(C2901,$AE$2:$AF$7,2,0))</f>
        <v>0.5</v>
      </c>
      <c r="F2901">
        <f t="shared" si="96"/>
        <v>0.5</v>
      </c>
    </row>
    <row r="2902" spans="1:6">
      <c r="A2902" s="30">
        <f t="shared" si="95"/>
        <v>45992</v>
      </c>
      <c r="B2902" s="32" t="s">
        <v>199</v>
      </c>
      <c r="C2902" t="s">
        <v>207</v>
      </c>
      <c r="D2902">
        <f>IF(B2902=$AB$2,$AC$2,$AC$3)</f>
        <v>1</v>
      </c>
      <c r="E2902">
        <f>IF(ISBLANK(C2902),0,VLOOKUP(C2902,$AE$2:$AF$7,2,0))</f>
        <v>0.5</v>
      </c>
      <c r="F2902">
        <f t="shared" si="96"/>
        <v>0.5</v>
      </c>
    </row>
    <row r="2903" spans="1:6">
      <c r="A2903" s="30">
        <f t="shared" si="95"/>
        <v>45993</v>
      </c>
      <c r="B2903" s="32" t="s">
        <v>199</v>
      </c>
      <c r="C2903" t="s">
        <v>207</v>
      </c>
      <c r="D2903">
        <f>IF(B2903=$AB$2,$AC$2,$AC$3)</f>
        <v>1</v>
      </c>
      <c r="E2903">
        <f>IF(ISBLANK(C2903),0,VLOOKUP(C2903,$AE$2:$AF$7,2,0))</f>
        <v>0.5</v>
      </c>
      <c r="F2903">
        <f t="shared" si="96"/>
        <v>0.5</v>
      </c>
    </row>
    <row r="2904" spans="1:6">
      <c r="A2904" s="30">
        <f t="shared" si="95"/>
        <v>45994</v>
      </c>
      <c r="B2904" s="32" t="s">
        <v>199</v>
      </c>
      <c r="C2904" t="s">
        <v>207</v>
      </c>
      <c r="D2904">
        <f>IF(B2904=$AB$2,$AC$2,$AC$3)</f>
        <v>1</v>
      </c>
      <c r="E2904">
        <f>IF(ISBLANK(C2904),0,VLOOKUP(C2904,$AE$2:$AF$7,2,0))</f>
        <v>0.5</v>
      </c>
      <c r="F2904">
        <f t="shared" si="96"/>
        <v>0.5</v>
      </c>
    </row>
    <row r="2905" spans="1:6">
      <c r="A2905" s="30">
        <f t="shared" si="95"/>
        <v>45995</v>
      </c>
      <c r="B2905" s="32" t="s">
        <v>199</v>
      </c>
      <c r="C2905" t="s">
        <v>207</v>
      </c>
      <c r="D2905">
        <f>IF(B2905=$AB$2,$AC$2,$AC$3)</f>
        <v>1</v>
      </c>
      <c r="E2905">
        <f>IF(ISBLANK(C2905),0,VLOOKUP(C2905,$AE$2:$AF$7,2,0))</f>
        <v>0.5</v>
      </c>
      <c r="F2905">
        <f t="shared" si="96"/>
        <v>0.5</v>
      </c>
    </row>
    <row r="2906" spans="1:6">
      <c r="A2906" s="30">
        <f t="shared" si="95"/>
        <v>45996</v>
      </c>
      <c r="B2906" s="32" t="s">
        <v>199</v>
      </c>
      <c r="C2906" t="s">
        <v>207</v>
      </c>
      <c r="D2906">
        <f>IF(B2906=$AB$2,$AC$2,$AC$3)</f>
        <v>1</v>
      </c>
      <c r="E2906">
        <f>IF(ISBLANK(C2906),0,VLOOKUP(C2906,$AE$2:$AF$7,2,0))</f>
        <v>0.5</v>
      </c>
      <c r="F2906">
        <f t="shared" si="96"/>
        <v>0.5</v>
      </c>
    </row>
    <row r="2907" spans="1:6">
      <c r="A2907" s="30">
        <f t="shared" si="95"/>
        <v>45997</v>
      </c>
      <c r="B2907" s="32" t="s">
        <v>199</v>
      </c>
      <c r="C2907" t="s">
        <v>207</v>
      </c>
      <c r="D2907">
        <f>IF(B2907=$AB$2,$AC$2,$AC$3)</f>
        <v>1</v>
      </c>
      <c r="E2907">
        <f>IF(ISBLANK(C2907),0,VLOOKUP(C2907,$AE$2:$AF$7,2,0))</f>
        <v>0.5</v>
      </c>
      <c r="F2907">
        <f t="shared" si="96"/>
        <v>0.5</v>
      </c>
    </row>
    <row r="2908" spans="1:6">
      <c r="A2908" s="30">
        <f t="shared" si="95"/>
        <v>45998</v>
      </c>
      <c r="B2908" s="32" t="s">
        <v>199</v>
      </c>
      <c r="C2908" t="s">
        <v>207</v>
      </c>
      <c r="D2908">
        <f>IF(B2908=$AB$2,$AC$2,$AC$3)</f>
        <v>1</v>
      </c>
      <c r="E2908">
        <f>IF(ISBLANK(C2908),0,VLOOKUP(C2908,$AE$2:$AF$7,2,0))</f>
        <v>0.5</v>
      </c>
      <c r="F2908">
        <f t="shared" si="96"/>
        <v>0.5</v>
      </c>
    </row>
    <row r="2909" spans="1:6">
      <c r="A2909" s="30">
        <f t="shared" si="95"/>
        <v>45999</v>
      </c>
      <c r="B2909" s="32" t="s">
        <v>199</v>
      </c>
      <c r="C2909" t="s">
        <v>207</v>
      </c>
      <c r="D2909">
        <f>IF(B2909=$AB$2,$AC$2,$AC$3)</f>
        <v>1</v>
      </c>
      <c r="E2909">
        <f>IF(ISBLANK(C2909),0,VLOOKUP(C2909,$AE$2:$AF$7,2,0))</f>
        <v>0.5</v>
      </c>
      <c r="F2909">
        <f t="shared" si="96"/>
        <v>0.5</v>
      </c>
    </row>
    <row r="2910" spans="1:6">
      <c r="A2910" s="30">
        <f t="shared" si="95"/>
        <v>46000</v>
      </c>
      <c r="B2910" s="32" t="s">
        <v>199</v>
      </c>
      <c r="C2910" t="s">
        <v>207</v>
      </c>
      <c r="D2910">
        <f>IF(B2910=$AB$2,$AC$2,$AC$3)</f>
        <v>1</v>
      </c>
      <c r="E2910">
        <f>IF(ISBLANK(C2910),0,VLOOKUP(C2910,$AE$2:$AF$7,2,0))</f>
        <v>0.5</v>
      </c>
      <c r="F2910">
        <f t="shared" si="96"/>
        <v>0.5</v>
      </c>
    </row>
    <row r="2911" spans="1:6">
      <c r="A2911" s="30">
        <f t="shared" si="95"/>
        <v>46001</v>
      </c>
      <c r="B2911" s="32" t="s">
        <v>199</v>
      </c>
      <c r="C2911" t="s">
        <v>207</v>
      </c>
      <c r="D2911">
        <f>IF(B2911=$AB$2,$AC$2,$AC$3)</f>
        <v>1</v>
      </c>
      <c r="E2911">
        <f>IF(ISBLANK(C2911),0,VLOOKUP(C2911,$AE$2:$AF$7,2,0))</f>
        <v>0.5</v>
      </c>
      <c r="F2911">
        <f t="shared" si="96"/>
        <v>0.5</v>
      </c>
    </row>
    <row r="2912" spans="1:6">
      <c r="A2912" s="30">
        <f t="shared" si="95"/>
        <v>46002</v>
      </c>
      <c r="B2912" s="32" t="s">
        <v>199</v>
      </c>
      <c r="C2912" t="s">
        <v>207</v>
      </c>
      <c r="D2912">
        <f>IF(B2912=$AB$2,$AC$2,$AC$3)</f>
        <v>1</v>
      </c>
      <c r="E2912">
        <f>IF(ISBLANK(C2912),0,VLOOKUP(C2912,$AE$2:$AF$7,2,0))</f>
        <v>0.5</v>
      </c>
      <c r="F2912">
        <f t="shared" si="96"/>
        <v>0.5</v>
      </c>
    </row>
    <row r="2913" spans="1:6">
      <c r="A2913" s="30">
        <f t="shared" si="95"/>
        <v>46003</v>
      </c>
      <c r="B2913" s="32" t="s">
        <v>199</v>
      </c>
      <c r="C2913" t="s">
        <v>207</v>
      </c>
      <c r="D2913">
        <f>IF(B2913=$AB$2,$AC$2,$AC$3)</f>
        <v>1</v>
      </c>
      <c r="E2913">
        <f>IF(ISBLANK(C2913),0,VLOOKUP(C2913,$AE$2:$AF$7,2,0))</f>
        <v>0.5</v>
      </c>
      <c r="F2913">
        <f t="shared" si="96"/>
        <v>0.5</v>
      </c>
    </row>
    <row r="2914" spans="1:6">
      <c r="A2914" s="30">
        <f t="shared" si="95"/>
        <v>46004</v>
      </c>
      <c r="B2914" s="32" t="s">
        <v>199</v>
      </c>
      <c r="C2914" t="s">
        <v>207</v>
      </c>
      <c r="D2914">
        <f>IF(B2914=$AB$2,$AC$2,$AC$3)</f>
        <v>1</v>
      </c>
      <c r="E2914">
        <f>IF(ISBLANK(C2914),0,VLOOKUP(C2914,$AE$2:$AF$7,2,0))</f>
        <v>0.5</v>
      </c>
      <c r="F2914">
        <f t="shared" si="96"/>
        <v>0.5</v>
      </c>
    </row>
    <row r="2915" spans="1:6">
      <c r="A2915" s="30">
        <f t="shared" si="95"/>
        <v>46005</v>
      </c>
      <c r="B2915" s="32" t="s">
        <v>199</v>
      </c>
      <c r="C2915" t="s">
        <v>207</v>
      </c>
      <c r="D2915">
        <f>IF(B2915=$AB$2,$AC$2,$AC$3)</f>
        <v>1</v>
      </c>
      <c r="E2915">
        <f>IF(ISBLANK(C2915),0,VLOOKUP(C2915,$AE$2:$AF$7,2,0))</f>
        <v>0.5</v>
      </c>
      <c r="F2915">
        <f t="shared" si="96"/>
        <v>0.5</v>
      </c>
    </row>
    <row r="2916" spans="1:6">
      <c r="A2916" s="30">
        <f t="shared" si="95"/>
        <v>46006</v>
      </c>
      <c r="B2916" s="32" t="s">
        <v>199</v>
      </c>
      <c r="C2916" t="s">
        <v>207</v>
      </c>
      <c r="D2916">
        <f>IF(B2916=$AB$2,$AC$2,$AC$3)</f>
        <v>1</v>
      </c>
      <c r="E2916">
        <f>IF(ISBLANK(C2916),0,VLOOKUP(C2916,$AE$2:$AF$7,2,0))</f>
        <v>0.5</v>
      </c>
      <c r="F2916">
        <f t="shared" si="96"/>
        <v>0.5</v>
      </c>
    </row>
    <row r="2917" spans="1:6">
      <c r="A2917" s="30">
        <f t="shared" si="95"/>
        <v>46007</v>
      </c>
      <c r="B2917" s="32" t="s">
        <v>199</v>
      </c>
      <c r="C2917" t="s">
        <v>207</v>
      </c>
      <c r="D2917">
        <f>IF(B2917=$AB$2,$AC$2,$AC$3)</f>
        <v>1</v>
      </c>
      <c r="E2917">
        <f>IF(ISBLANK(C2917),0,VLOOKUP(C2917,$AE$2:$AF$7,2,0))</f>
        <v>0.5</v>
      </c>
      <c r="F2917">
        <f t="shared" si="96"/>
        <v>0.5</v>
      </c>
    </row>
    <row r="2918" spans="1:6">
      <c r="A2918" s="30">
        <f t="shared" ref="A2918:A2966" si="97">A2917+1</f>
        <v>46008</v>
      </c>
      <c r="B2918" s="32" t="s">
        <v>199</v>
      </c>
      <c r="C2918" t="s">
        <v>207</v>
      </c>
      <c r="D2918">
        <f>IF(B2918=$AB$2,$AC$2,$AC$3)</f>
        <v>1</v>
      </c>
      <c r="E2918">
        <f>IF(ISBLANK(C2918),0,VLOOKUP(C2918,$AE$2:$AF$7,2,0))</f>
        <v>0.5</v>
      </c>
      <c r="F2918">
        <f t="shared" si="96"/>
        <v>0.5</v>
      </c>
    </row>
    <row r="2919" spans="1:6">
      <c r="A2919" s="30">
        <f t="shared" si="97"/>
        <v>46009</v>
      </c>
      <c r="B2919" s="32" t="s">
        <v>199</v>
      </c>
      <c r="C2919" t="s">
        <v>207</v>
      </c>
      <c r="D2919">
        <f>IF(B2919=$AB$2,$AC$2,$AC$3)</f>
        <v>1</v>
      </c>
      <c r="E2919">
        <f>IF(ISBLANK(C2919),0,VLOOKUP(C2919,$AE$2:$AF$7,2,0))</f>
        <v>0.5</v>
      </c>
      <c r="F2919">
        <f t="shared" si="96"/>
        <v>0.5</v>
      </c>
    </row>
    <row r="2920" spans="1:6">
      <c r="A2920" s="30">
        <f t="shared" si="97"/>
        <v>46010</v>
      </c>
      <c r="B2920" s="32" t="s">
        <v>199</v>
      </c>
      <c r="C2920" t="s">
        <v>207</v>
      </c>
      <c r="D2920">
        <f>IF(B2920=$AB$2,$AC$2,$AC$3)</f>
        <v>1</v>
      </c>
      <c r="E2920">
        <f>IF(ISBLANK(C2920),0,VLOOKUP(C2920,$AE$2:$AF$7,2,0))</f>
        <v>0.5</v>
      </c>
      <c r="F2920">
        <f t="shared" si="96"/>
        <v>0.5</v>
      </c>
    </row>
    <row r="2921" spans="1:6">
      <c r="A2921" s="30">
        <f t="shared" si="97"/>
        <v>46011</v>
      </c>
      <c r="B2921" s="32" t="s">
        <v>199</v>
      </c>
      <c r="C2921" t="s">
        <v>207</v>
      </c>
      <c r="D2921">
        <f>IF(B2921=$AB$2,$AC$2,$AC$3)</f>
        <v>1</v>
      </c>
      <c r="E2921">
        <f>IF(ISBLANK(C2921),0,VLOOKUP(C2921,$AE$2:$AF$7,2,0))</f>
        <v>0.5</v>
      </c>
      <c r="F2921">
        <f t="shared" si="96"/>
        <v>0.5</v>
      </c>
    </row>
    <row r="2922" spans="1:6">
      <c r="A2922" s="30">
        <f t="shared" si="97"/>
        <v>46012</v>
      </c>
      <c r="B2922" s="32" t="s">
        <v>199</v>
      </c>
      <c r="C2922" t="s">
        <v>207</v>
      </c>
      <c r="D2922">
        <f>IF(B2922=$AB$2,$AC$2,$AC$3)</f>
        <v>1</v>
      </c>
      <c r="E2922">
        <f>IF(ISBLANK(C2922),0,VLOOKUP(C2922,$AE$2:$AF$7,2,0))</f>
        <v>0.5</v>
      </c>
      <c r="F2922">
        <f t="shared" si="96"/>
        <v>0.5</v>
      </c>
    </row>
    <row r="2923" spans="1:6">
      <c r="A2923" s="30">
        <f t="shared" si="97"/>
        <v>46013</v>
      </c>
      <c r="B2923" s="32" t="s">
        <v>199</v>
      </c>
      <c r="C2923" t="s">
        <v>207</v>
      </c>
      <c r="D2923">
        <f>IF(B2923=$AB$2,$AC$2,$AC$3)</f>
        <v>1</v>
      </c>
      <c r="E2923">
        <f>IF(ISBLANK(C2923),0,VLOOKUP(C2923,$AE$2:$AF$7,2,0))</f>
        <v>0.5</v>
      </c>
      <c r="F2923">
        <f t="shared" si="96"/>
        <v>0.5</v>
      </c>
    </row>
    <row r="2924" spans="1:6">
      <c r="A2924" s="30">
        <f t="shared" si="97"/>
        <v>46014</v>
      </c>
      <c r="B2924" s="32" t="s">
        <v>199</v>
      </c>
      <c r="C2924" t="s">
        <v>207</v>
      </c>
      <c r="D2924">
        <f>IF(B2924=$AB$2,$AC$2,$AC$3)</f>
        <v>1</v>
      </c>
      <c r="E2924">
        <f>IF(ISBLANK(C2924),0,VLOOKUP(C2924,$AE$2:$AF$7,2,0))</f>
        <v>0.5</v>
      </c>
      <c r="F2924">
        <f t="shared" si="96"/>
        <v>0.5</v>
      </c>
    </row>
    <row r="2925" spans="1:6">
      <c r="A2925" s="30">
        <f t="shared" si="97"/>
        <v>46015</v>
      </c>
      <c r="B2925" s="32" t="s">
        <v>199</v>
      </c>
      <c r="C2925" t="s">
        <v>207</v>
      </c>
      <c r="D2925">
        <f>IF(B2925=$AB$2,$AC$2,$AC$3)</f>
        <v>1</v>
      </c>
      <c r="E2925">
        <f>IF(ISBLANK(C2925),0,VLOOKUP(C2925,$AE$2:$AF$7,2,0))</f>
        <v>0.5</v>
      </c>
      <c r="F2925">
        <f t="shared" si="96"/>
        <v>0.5</v>
      </c>
    </row>
    <row r="2926" spans="1:6">
      <c r="A2926" s="30">
        <f t="shared" si="97"/>
        <v>46016</v>
      </c>
      <c r="B2926" s="32" t="s">
        <v>199</v>
      </c>
      <c r="C2926" t="s">
        <v>207</v>
      </c>
      <c r="D2926">
        <f>IF(B2926=$AB$2,$AC$2,$AC$3)</f>
        <v>1</v>
      </c>
      <c r="E2926">
        <f>IF(ISBLANK(C2926),0,VLOOKUP(C2926,$AE$2:$AF$7,2,0))</f>
        <v>0.5</v>
      </c>
      <c r="F2926">
        <f t="shared" si="96"/>
        <v>0.5</v>
      </c>
    </row>
    <row r="2927" spans="1:6">
      <c r="A2927" s="30">
        <f t="shared" si="97"/>
        <v>46017</v>
      </c>
      <c r="B2927" s="32" t="s">
        <v>199</v>
      </c>
      <c r="C2927" t="s">
        <v>207</v>
      </c>
      <c r="D2927">
        <f>IF(B2927=$AB$2,$AC$2,$AC$3)</f>
        <v>1</v>
      </c>
      <c r="E2927">
        <f>IF(ISBLANK(C2927),0,VLOOKUP(C2927,$AE$2:$AF$7,2,0))</f>
        <v>0.5</v>
      </c>
      <c r="F2927">
        <f t="shared" si="96"/>
        <v>0.5</v>
      </c>
    </row>
    <row r="2928" spans="1:6">
      <c r="A2928" s="30">
        <f t="shared" si="97"/>
        <v>46018</v>
      </c>
      <c r="B2928" s="32" t="s">
        <v>199</v>
      </c>
      <c r="C2928" t="s">
        <v>207</v>
      </c>
      <c r="D2928">
        <f>IF(B2928=$AB$2,$AC$2,$AC$3)</f>
        <v>1</v>
      </c>
      <c r="E2928">
        <f>IF(ISBLANK(C2928),0,VLOOKUP(C2928,$AE$2:$AF$7,2,0))</f>
        <v>0.5</v>
      </c>
      <c r="F2928">
        <f t="shared" si="96"/>
        <v>0.5</v>
      </c>
    </row>
    <row r="2929" spans="1:6">
      <c r="A2929" s="30">
        <f t="shared" si="97"/>
        <v>46019</v>
      </c>
      <c r="B2929" s="32" t="s">
        <v>199</v>
      </c>
      <c r="C2929" t="s">
        <v>207</v>
      </c>
      <c r="D2929">
        <f>IF(B2929=$AB$2,$AC$2,$AC$3)</f>
        <v>1</v>
      </c>
      <c r="E2929">
        <f>IF(ISBLANK(C2929),0,VLOOKUP(C2929,$AE$2:$AF$7,2,0))</f>
        <v>0.5</v>
      </c>
      <c r="F2929">
        <f t="shared" si="96"/>
        <v>0.5</v>
      </c>
    </row>
    <row r="2930" spans="1:6">
      <c r="A2930" s="30">
        <f t="shared" si="97"/>
        <v>46020</v>
      </c>
      <c r="B2930" s="32" t="s">
        <v>199</v>
      </c>
      <c r="C2930" t="s">
        <v>207</v>
      </c>
      <c r="D2930">
        <f>IF(B2930=$AB$2,$AC$2,$AC$3)</f>
        <v>1</v>
      </c>
      <c r="E2930">
        <f>IF(ISBLANK(C2930),0,VLOOKUP(C2930,$AE$2:$AF$7,2,0))</f>
        <v>0.5</v>
      </c>
      <c r="F2930">
        <f t="shared" si="96"/>
        <v>0.5</v>
      </c>
    </row>
    <row r="2931" spans="1:6">
      <c r="A2931" s="30">
        <f t="shared" si="97"/>
        <v>46021</v>
      </c>
      <c r="B2931" s="32" t="s">
        <v>199</v>
      </c>
      <c r="C2931" t="s">
        <v>207</v>
      </c>
      <c r="D2931">
        <f>IF(B2931=$AB$2,$AC$2,$AC$3)</f>
        <v>1</v>
      </c>
      <c r="E2931">
        <f>IF(ISBLANK(C2931),0,VLOOKUP(C2931,$AE$2:$AF$7,2,0))</f>
        <v>0.5</v>
      </c>
      <c r="F2931">
        <f t="shared" si="96"/>
        <v>0.5</v>
      </c>
    </row>
    <row r="2932" spans="1:6">
      <c r="A2932" s="30">
        <f t="shared" si="97"/>
        <v>46022</v>
      </c>
      <c r="B2932" s="32" t="s">
        <v>199</v>
      </c>
      <c r="C2932" t="s">
        <v>207</v>
      </c>
      <c r="D2932">
        <f>IF(B2932=$AB$2,$AC$2,$AC$3)</f>
        <v>1</v>
      </c>
      <c r="E2932">
        <f>IF(ISBLANK(C2932),0,VLOOKUP(C2932,$AE$2:$AF$7,2,0))</f>
        <v>0.5</v>
      </c>
      <c r="F2932">
        <f t="shared" si="96"/>
        <v>0.5</v>
      </c>
    </row>
    <row r="2933" spans="1:6">
      <c r="A2933" s="30">
        <f t="shared" si="97"/>
        <v>46023</v>
      </c>
      <c r="B2933" s="32" t="s">
        <v>199</v>
      </c>
      <c r="C2933" t="s">
        <v>207</v>
      </c>
      <c r="D2933">
        <f>IF(B2933=$AB$2,$AC$2,$AC$3)</f>
        <v>1</v>
      </c>
      <c r="E2933">
        <f>IF(ISBLANK(C2933),0,VLOOKUP(C2933,$AE$2:$AF$7,2,0))</f>
        <v>0.5</v>
      </c>
      <c r="F2933">
        <f t="shared" si="96"/>
        <v>0.5</v>
      </c>
    </row>
    <row r="2934" spans="1:6">
      <c r="A2934" s="30">
        <f t="shared" si="97"/>
        <v>46024</v>
      </c>
      <c r="B2934" s="32" t="s">
        <v>199</v>
      </c>
      <c r="C2934" t="s">
        <v>207</v>
      </c>
      <c r="D2934">
        <f>IF(B2934=$AB$2,$AC$2,$AC$3)</f>
        <v>1</v>
      </c>
      <c r="E2934">
        <f>IF(ISBLANK(C2934),0,VLOOKUP(C2934,$AE$2:$AF$7,2,0))</f>
        <v>0.5</v>
      </c>
      <c r="F2934">
        <f t="shared" si="96"/>
        <v>0.5</v>
      </c>
    </row>
    <row r="2935" spans="1:6">
      <c r="A2935" s="30">
        <f t="shared" si="97"/>
        <v>46025</v>
      </c>
      <c r="B2935" s="32" t="s">
        <v>199</v>
      </c>
      <c r="C2935" t="s">
        <v>207</v>
      </c>
      <c r="D2935">
        <f>IF(B2935=$AB$2,$AC$2,$AC$3)</f>
        <v>1</v>
      </c>
      <c r="E2935">
        <f>IF(ISBLANK(C2935),0,VLOOKUP(C2935,$AE$2:$AF$7,2,0))</f>
        <v>0.5</v>
      </c>
      <c r="F2935">
        <f t="shared" si="96"/>
        <v>0.5</v>
      </c>
    </row>
    <row r="2936" spans="1:6">
      <c r="A2936" s="30">
        <f t="shared" si="97"/>
        <v>46026</v>
      </c>
      <c r="B2936" s="32" t="s">
        <v>199</v>
      </c>
      <c r="C2936" t="s">
        <v>207</v>
      </c>
      <c r="D2936">
        <f>IF(B2936=$AB$2,$AC$2,$AC$3)</f>
        <v>1</v>
      </c>
      <c r="E2936">
        <f>IF(ISBLANK(C2936),0,VLOOKUP(C2936,$AE$2:$AF$7,2,0))</f>
        <v>0.5</v>
      </c>
      <c r="F2936">
        <f t="shared" si="96"/>
        <v>0.5</v>
      </c>
    </row>
    <row r="2937" spans="1:6">
      <c r="A2937" s="30">
        <f t="shared" si="97"/>
        <v>46027</v>
      </c>
      <c r="B2937" s="32" t="s">
        <v>199</v>
      </c>
      <c r="C2937" t="s">
        <v>207</v>
      </c>
      <c r="D2937">
        <f>IF(B2937=$AB$2,$AC$2,$AC$3)</f>
        <v>1</v>
      </c>
      <c r="E2937">
        <f>IF(ISBLANK(C2937),0,VLOOKUP(C2937,$AE$2:$AF$7,2,0))</f>
        <v>0.5</v>
      </c>
      <c r="F2937">
        <f t="shared" si="96"/>
        <v>0.5</v>
      </c>
    </row>
    <row r="2938" spans="1:6">
      <c r="A2938" s="30">
        <f t="shared" si="97"/>
        <v>46028</v>
      </c>
      <c r="B2938" s="32" t="s">
        <v>199</v>
      </c>
      <c r="C2938" t="s">
        <v>207</v>
      </c>
      <c r="D2938">
        <f>IF(B2938=$AB$2,$AC$2,$AC$3)</f>
        <v>1</v>
      </c>
      <c r="E2938">
        <f>IF(ISBLANK(C2938),0,VLOOKUP(C2938,$AE$2:$AF$7,2,0))</f>
        <v>0.5</v>
      </c>
      <c r="F2938">
        <f t="shared" si="96"/>
        <v>0.5</v>
      </c>
    </row>
    <row r="2939" spans="1:6">
      <c r="A2939" s="30">
        <f t="shared" si="97"/>
        <v>46029</v>
      </c>
      <c r="B2939" s="32" t="s">
        <v>199</v>
      </c>
      <c r="C2939" t="s">
        <v>207</v>
      </c>
      <c r="D2939">
        <f>IF(B2939=$AB$2,$AC$2,$AC$3)</f>
        <v>1</v>
      </c>
      <c r="E2939">
        <f>IF(ISBLANK(C2939),0,VLOOKUP(C2939,$AE$2:$AF$7,2,0))</f>
        <v>0.5</v>
      </c>
      <c r="F2939">
        <f t="shared" si="96"/>
        <v>0.5</v>
      </c>
    </row>
    <row r="2940" spans="1:6">
      <c r="A2940" s="30">
        <f t="shared" si="97"/>
        <v>46030</v>
      </c>
      <c r="B2940" s="32" t="s">
        <v>199</v>
      </c>
      <c r="C2940" t="s">
        <v>207</v>
      </c>
      <c r="D2940">
        <f>IF(B2940=$AB$2,$AC$2,$AC$3)</f>
        <v>1</v>
      </c>
      <c r="E2940">
        <f>IF(ISBLANK(C2940),0,VLOOKUP(C2940,$AE$2:$AF$7,2,0))</f>
        <v>0.5</v>
      </c>
      <c r="F2940">
        <f t="shared" si="96"/>
        <v>0.5</v>
      </c>
    </row>
    <row r="2941" spans="1:6">
      <c r="A2941" s="30">
        <f t="shared" si="97"/>
        <v>46031</v>
      </c>
      <c r="B2941" s="32" t="s">
        <v>199</v>
      </c>
      <c r="C2941" t="s">
        <v>207</v>
      </c>
      <c r="D2941">
        <f>IF(B2941=$AB$2,$AC$2,$AC$3)</f>
        <v>1</v>
      </c>
      <c r="E2941">
        <f>IF(ISBLANK(C2941),0,VLOOKUP(C2941,$AE$2:$AF$7,2,0))</f>
        <v>0.5</v>
      </c>
      <c r="F2941">
        <f t="shared" si="96"/>
        <v>0.5</v>
      </c>
    </row>
    <row r="2942" spans="1:6">
      <c r="A2942" s="30">
        <f t="shared" si="97"/>
        <v>46032</v>
      </c>
      <c r="B2942" s="32" t="s">
        <v>199</v>
      </c>
      <c r="C2942" t="s">
        <v>207</v>
      </c>
      <c r="D2942">
        <f>IF(B2942=$AB$2,$AC$2,$AC$3)</f>
        <v>1</v>
      </c>
      <c r="E2942">
        <f>IF(ISBLANK(C2942),0,VLOOKUP(C2942,$AE$2:$AF$7,2,0))</f>
        <v>0.5</v>
      </c>
      <c r="F2942">
        <f t="shared" si="96"/>
        <v>0.5</v>
      </c>
    </row>
    <row r="2943" spans="1:6">
      <c r="A2943" s="30">
        <f t="shared" si="97"/>
        <v>46033</v>
      </c>
      <c r="B2943" s="32" t="s">
        <v>199</v>
      </c>
      <c r="C2943" t="s">
        <v>207</v>
      </c>
      <c r="D2943">
        <f>IF(B2943=$AB$2,$AC$2,$AC$3)</f>
        <v>1</v>
      </c>
      <c r="E2943">
        <f>IF(ISBLANK(C2943),0,VLOOKUP(C2943,$AE$2:$AF$7,2,0))</f>
        <v>0.5</v>
      </c>
      <c r="F2943">
        <f t="shared" si="96"/>
        <v>0.5</v>
      </c>
    </row>
    <row r="2944" spans="1:6">
      <c r="A2944" s="30">
        <f t="shared" si="97"/>
        <v>46034</v>
      </c>
      <c r="B2944" s="32" t="s">
        <v>199</v>
      </c>
      <c r="C2944" t="s">
        <v>207</v>
      </c>
      <c r="D2944">
        <f>IF(B2944=$AB$2,$AC$2,$AC$3)</f>
        <v>1</v>
      </c>
      <c r="E2944">
        <f>IF(ISBLANK(C2944),0,VLOOKUP(C2944,$AE$2:$AF$7,2,0))</f>
        <v>0.5</v>
      </c>
      <c r="F2944">
        <f t="shared" si="96"/>
        <v>0.5</v>
      </c>
    </row>
    <row r="2945" spans="1:6">
      <c r="A2945" s="30">
        <f t="shared" si="97"/>
        <v>46035</v>
      </c>
      <c r="B2945" s="32" t="s">
        <v>199</v>
      </c>
      <c r="C2945" t="s">
        <v>207</v>
      </c>
      <c r="D2945">
        <f>IF(B2945=$AB$2,$AC$2,$AC$3)</f>
        <v>1</v>
      </c>
      <c r="E2945">
        <f>IF(ISBLANK(C2945),0,VLOOKUP(C2945,$AE$2:$AF$7,2,0))</f>
        <v>0.5</v>
      </c>
      <c r="F2945">
        <f t="shared" si="96"/>
        <v>0.5</v>
      </c>
    </row>
    <row r="2946" spans="1:6">
      <c r="A2946" s="30">
        <f t="shared" si="97"/>
        <v>46036</v>
      </c>
      <c r="B2946" s="32" t="s">
        <v>199</v>
      </c>
      <c r="C2946" t="s">
        <v>207</v>
      </c>
      <c r="D2946">
        <f>IF(B2946=$AB$2,$AC$2,$AC$3)</f>
        <v>1</v>
      </c>
      <c r="E2946">
        <f>IF(ISBLANK(C2946),0,VLOOKUP(C2946,$AE$2:$AF$7,2,0))</f>
        <v>0.5</v>
      </c>
      <c r="F2946">
        <f t="shared" si="96"/>
        <v>0.5</v>
      </c>
    </row>
    <row r="2947" spans="1:6">
      <c r="A2947" s="30">
        <f t="shared" si="97"/>
        <v>46037</v>
      </c>
      <c r="B2947" s="32" t="s">
        <v>199</v>
      </c>
      <c r="C2947" t="s">
        <v>207</v>
      </c>
      <c r="D2947">
        <f>IF(B2947=$AB$2,$AC$2,$AC$3)</f>
        <v>1</v>
      </c>
      <c r="E2947">
        <f>IF(ISBLANK(C2947),0,VLOOKUP(C2947,$AE$2:$AF$7,2,0))</f>
        <v>0.5</v>
      </c>
      <c r="F2947">
        <f t="shared" ref="F2947:F3010" si="98">D2947*E2947</f>
        <v>0.5</v>
      </c>
    </row>
    <row r="2948" spans="1:6">
      <c r="A2948" s="30">
        <f t="shared" si="97"/>
        <v>46038</v>
      </c>
      <c r="B2948" s="32" t="s">
        <v>199</v>
      </c>
      <c r="C2948" t="s">
        <v>207</v>
      </c>
      <c r="D2948">
        <f>IF(B2948=$AB$2,$AC$2,$AC$3)</f>
        <v>1</v>
      </c>
      <c r="E2948">
        <f>IF(ISBLANK(C2948),0,VLOOKUP(C2948,$AE$2:$AF$7,2,0))</f>
        <v>0.5</v>
      </c>
      <c r="F2948">
        <f t="shared" si="98"/>
        <v>0.5</v>
      </c>
    </row>
    <row r="2949" spans="1:6">
      <c r="A2949" s="30">
        <f t="shared" si="97"/>
        <v>46039</v>
      </c>
      <c r="B2949" s="32" t="s">
        <v>199</v>
      </c>
      <c r="C2949" t="s">
        <v>207</v>
      </c>
      <c r="D2949">
        <f>IF(B2949=$AB$2,$AC$2,$AC$3)</f>
        <v>1</v>
      </c>
      <c r="E2949">
        <f>IF(ISBLANK(C2949),0,VLOOKUP(C2949,$AE$2:$AF$7,2,0))</f>
        <v>0.5</v>
      </c>
      <c r="F2949">
        <f t="shared" si="98"/>
        <v>0.5</v>
      </c>
    </row>
    <row r="2950" spans="1:6">
      <c r="A2950" s="30">
        <f t="shared" si="97"/>
        <v>46040</v>
      </c>
      <c r="B2950" s="32" t="s">
        <v>199</v>
      </c>
      <c r="C2950" t="s">
        <v>207</v>
      </c>
      <c r="D2950">
        <f>IF(B2950=$AB$2,$AC$2,$AC$3)</f>
        <v>1</v>
      </c>
      <c r="E2950">
        <f>IF(ISBLANK(C2950),0,VLOOKUP(C2950,$AE$2:$AF$7,2,0))</f>
        <v>0.5</v>
      </c>
      <c r="F2950">
        <f t="shared" si="98"/>
        <v>0.5</v>
      </c>
    </row>
    <row r="2951" spans="1:6">
      <c r="A2951" s="30">
        <f t="shared" si="97"/>
        <v>46041</v>
      </c>
      <c r="B2951" s="32" t="s">
        <v>199</v>
      </c>
      <c r="C2951" t="s">
        <v>207</v>
      </c>
      <c r="D2951">
        <f>IF(B2951=$AB$2,$AC$2,$AC$3)</f>
        <v>1</v>
      </c>
      <c r="E2951">
        <f>IF(ISBLANK(C2951),0,VLOOKUP(C2951,$AE$2:$AF$7,2,0))</f>
        <v>0.5</v>
      </c>
      <c r="F2951">
        <f t="shared" si="98"/>
        <v>0.5</v>
      </c>
    </row>
    <row r="2952" spans="1:6">
      <c r="A2952" s="30">
        <f t="shared" si="97"/>
        <v>46042</v>
      </c>
      <c r="B2952" s="32" t="s">
        <v>199</v>
      </c>
      <c r="C2952" t="s">
        <v>207</v>
      </c>
      <c r="D2952">
        <f>IF(B2952=$AB$2,$AC$2,$AC$3)</f>
        <v>1</v>
      </c>
      <c r="E2952">
        <f>IF(ISBLANK(C2952),0,VLOOKUP(C2952,$AE$2:$AF$7,2,0))</f>
        <v>0.5</v>
      </c>
      <c r="F2952">
        <f t="shared" si="98"/>
        <v>0.5</v>
      </c>
    </row>
    <row r="2953" spans="1:6">
      <c r="A2953" s="30">
        <f t="shared" si="97"/>
        <v>46043</v>
      </c>
      <c r="B2953" s="32" t="s">
        <v>199</v>
      </c>
      <c r="C2953" t="s">
        <v>207</v>
      </c>
      <c r="D2953">
        <f>IF(B2953=$AB$2,$AC$2,$AC$3)</f>
        <v>1</v>
      </c>
      <c r="E2953">
        <f>IF(ISBLANK(C2953),0,VLOOKUP(C2953,$AE$2:$AF$7,2,0))</f>
        <v>0.5</v>
      </c>
      <c r="F2953">
        <f t="shared" si="98"/>
        <v>0.5</v>
      </c>
    </row>
    <row r="2954" spans="1:6">
      <c r="A2954" s="30">
        <f t="shared" si="97"/>
        <v>46044</v>
      </c>
      <c r="B2954" s="32" t="s">
        <v>199</v>
      </c>
      <c r="C2954" t="s">
        <v>207</v>
      </c>
      <c r="D2954">
        <f>IF(B2954=$AB$2,$AC$2,$AC$3)</f>
        <v>1</v>
      </c>
      <c r="E2954">
        <f>IF(ISBLANK(C2954),0,VLOOKUP(C2954,$AE$2:$AF$7,2,0))</f>
        <v>0.5</v>
      </c>
      <c r="F2954">
        <f t="shared" si="98"/>
        <v>0.5</v>
      </c>
    </row>
    <row r="2955" spans="1:6">
      <c r="A2955" s="30">
        <f t="shared" si="97"/>
        <v>46045</v>
      </c>
      <c r="B2955" s="32" t="s">
        <v>199</v>
      </c>
      <c r="C2955" t="s">
        <v>207</v>
      </c>
      <c r="D2955">
        <f>IF(B2955=$AB$2,$AC$2,$AC$3)</f>
        <v>1</v>
      </c>
      <c r="E2955">
        <f>IF(ISBLANK(C2955),0,VLOOKUP(C2955,$AE$2:$AF$7,2,0))</f>
        <v>0.5</v>
      </c>
      <c r="F2955">
        <f t="shared" si="98"/>
        <v>0.5</v>
      </c>
    </row>
    <row r="2956" spans="1:6">
      <c r="A2956" s="30">
        <f t="shared" si="97"/>
        <v>46046</v>
      </c>
      <c r="B2956" s="32" t="s">
        <v>199</v>
      </c>
      <c r="C2956" t="s">
        <v>207</v>
      </c>
      <c r="D2956">
        <f>IF(B2956=$AB$2,$AC$2,$AC$3)</f>
        <v>1</v>
      </c>
      <c r="E2956">
        <f>IF(ISBLANK(C2956),0,VLOOKUP(C2956,$AE$2:$AF$7,2,0))</f>
        <v>0.5</v>
      </c>
      <c r="F2956">
        <f t="shared" si="98"/>
        <v>0.5</v>
      </c>
    </row>
    <row r="2957" spans="1:6">
      <c r="A2957" s="30">
        <f t="shared" si="97"/>
        <v>46047</v>
      </c>
      <c r="B2957" s="32" t="s">
        <v>199</v>
      </c>
      <c r="C2957" t="s">
        <v>207</v>
      </c>
      <c r="D2957">
        <f>IF(B2957=$AB$2,$AC$2,$AC$3)</f>
        <v>1</v>
      </c>
      <c r="E2957">
        <f>IF(ISBLANK(C2957),0,VLOOKUP(C2957,$AE$2:$AF$7,2,0))</f>
        <v>0.5</v>
      </c>
      <c r="F2957">
        <f t="shared" si="98"/>
        <v>0.5</v>
      </c>
    </row>
    <row r="2958" spans="1:6">
      <c r="A2958" s="30">
        <f t="shared" si="97"/>
        <v>46048</v>
      </c>
      <c r="B2958" s="32" t="s">
        <v>199</v>
      </c>
      <c r="C2958" t="s">
        <v>207</v>
      </c>
      <c r="D2958">
        <f>IF(B2958=$AB$2,$AC$2,$AC$3)</f>
        <v>1</v>
      </c>
      <c r="E2958">
        <f>IF(ISBLANK(C2958),0,VLOOKUP(C2958,$AE$2:$AF$7,2,0))</f>
        <v>0.5</v>
      </c>
      <c r="F2958">
        <f t="shared" si="98"/>
        <v>0.5</v>
      </c>
    </row>
    <row r="2959" spans="1:6">
      <c r="A2959" s="30">
        <f t="shared" si="97"/>
        <v>46049</v>
      </c>
      <c r="B2959" s="32" t="s">
        <v>199</v>
      </c>
      <c r="C2959" t="s">
        <v>207</v>
      </c>
      <c r="D2959">
        <f>IF(B2959=$AB$2,$AC$2,$AC$3)</f>
        <v>1</v>
      </c>
      <c r="E2959">
        <f>IF(ISBLANK(C2959),0,VLOOKUP(C2959,$AE$2:$AF$7,2,0))</f>
        <v>0.5</v>
      </c>
      <c r="F2959">
        <f t="shared" si="98"/>
        <v>0.5</v>
      </c>
    </row>
    <row r="2960" spans="1:6">
      <c r="A2960" s="30">
        <f t="shared" si="97"/>
        <v>46050</v>
      </c>
      <c r="B2960" s="32" t="s">
        <v>199</v>
      </c>
      <c r="C2960" t="s">
        <v>207</v>
      </c>
      <c r="D2960">
        <f>IF(B2960=$AB$2,$AC$2,$AC$3)</f>
        <v>1</v>
      </c>
      <c r="E2960">
        <f>IF(ISBLANK(C2960),0,VLOOKUP(C2960,$AE$2:$AF$7,2,0))</f>
        <v>0.5</v>
      </c>
      <c r="F2960">
        <f t="shared" si="98"/>
        <v>0.5</v>
      </c>
    </row>
    <row r="2961" spans="1:6">
      <c r="A2961" s="30">
        <f t="shared" si="97"/>
        <v>46051</v>
      </c>
      <c r="B2961" s="32" t="s">
        <v>199</v>
      </c>
      <c r="C2961" t="s">
        <v>207</v>
      </c>
      <c r="D2961">
        <f>IF(B2961=$AB$2,$AC$2,$AC$3)</f>
        <v>1</v>
      </c>
      <c r="E2961">
        <f>IF(ISBLANK(C2961),0,VLOOKUP(C2961,$AE$2:$AF$7,2,0))</f>
        <v>0.5</v>
      </c>
      <c r="F2961">
        <f t="shared" si="98"/>
        <v>0.5</v>
      </c>
    </row>
    <row r="2962" spans="1:6">
      <c r="A2962" s="30">
        <f t="shared" si="97"/>
        <v>46052</v>
      </c>
      <c r="B2962" s="32" t="s">
        <v>199</v>
      </c>
      <c r="C2962" t="s">
        <v>207</v>
      </c>
      <c r="D2962">
        <f>IF(B2962=$AB$2,$AC$2,$AC$3)</f>
        <v>1</v>
      </c>
      <c r="E2962">
        <f>IF(ISBLANK(C2962),0,VLOOKUP(C2962,$AE$2:$AF$7,2,0))</f>
        <v>0.5</v>
      </c>
      <c r="F2962">
        <f t="shared" si="98"/>
        <v>0.5</v>
      </c>
    </row>
    <row r="2963" spans="1:6">
      <c r="A2963" s="30">
        <f t="shared" si="97"/>
        <v>46053</v>
      </c>
      <c r="B2963" s="32" t="s">
        <v>199</v>
      </c>
      <c r="C2963" t="s">
        <v>207</v>
      </c>
      <c r="D2963">
        <f>IF(B2963=$AB$2,$AC$2,$AC$3)</f>
        <v>1</v>
      </c>
      <c r="E2963">
        <f>IF(ISBLANK(C2963),0,VLOOKUP(C2963,$AE$2:$AF$7,2,0))</f>
        <v>0.5</v>
      </c>
      <c r="F2963">
        <f t="shared" si="98"/>
        <v>0.5</v>
      </c>
    </row>
    <row r="2964" spans="1:6">
      <c r="A2964" s="30">
        <f t="shared" si="97"/>
        <v>46054</v>
      </c>
      <c r="B2964" s="32" t="s">
        <v>206</v>
      </c>
      <c r="C2964" t="s">
        <v>207</v>
      </c>
      <c r="D2964">
        <f>IF(B2964=$AB$2,$AC$2,$AC$3)</f>
        <v>0</v>
      </c>
      <c r="E2964">
        <f>IF(ISBLANK(C2964),0,VLOOKUP(C2964,$AE$2:$AF$7,2,0))</f>
        <v>0.5</v>
      </c>
      <c r="F2964">
        <f t="shared" si="98"/>
        <v>0</v>
      </c>
    </row>
    <row r="2965" spans="1:6">
      <c r="A2965" s="30">
        <f t="shared" si="97"/>
        <v>46055</v>
      </c>
      <c r="B2965" s="32" t="s">
        <v>206</v>
      </c>
      <c r="C2965" t="s">
        <v>207</v>
      </c>
      <c r="D2965">
        <f>IF(B2965=$AB$2,$AC$2,$AC$3)</f>
        <v>0</v>
      </c>
      <c r="E2965">
        <f>IF(ISBLANK(C2965),0,VLOOKUP(C2965,$AE$2:$AF$7,2,0))</f>
        <v>0.5</v>
      </c>
      <c r="F2965">
        <f t="shared" si="98"/>
        <v>0</v>
      </c>
    </row>
    <row r="2966" spans="1:6">
      <c r="A2966" s="30">
        <f t="shared" si="97"/>
        <v>46056</v>
      </c>
      <c r="B2966" s="32" t="s">
        <v>206</v>
      </c>
      <c r="C2966" t="s">
        <v>207</v>
      </c>
      <c r="D2966">
        <f>IF(B2966=$AB$2,$AC$2,$AC$3)</f>
        <v>0</v>
      </c>
      <c r="E2966">
        <f>IF(ISBLANK(C2966),0,VLOOKUP(C2966,$AE$2:$AF$7,2,0))</f>
        <v>0.5</v>
      </c>
      <c r="F2966">
        <f t="shared" si="98"/>
        <v>0</v>
      </c>
    </row>
    <row r="2967" spans="1:6">
      <c r="A2967" s="30">
        <f>A2966+1</f>
        <v>46057</v>
      </c>
      <c r="B2967" s="32" t="s">
        <v>206</v>
      </c>
      <c r="C2967" t="s">
        <v>207</v>
      </c>
      <c r="D2967">
        <f>IF(B2967=$AB$2,$AC$2,$AC$3)</f>
        <v>0</v>
      </c>
      <c r="E2967">
        <f>IF(ISBLANK(C2967),0,VLOOKUP(C2967,$AE$2:$AF$7,2,0))</f>
        <v>0.5</v>
      </c>
      <c r="F2967">
        <f t="shared" si="98"/>
        <v>0</v>
      </c>
    </row>
    <row r="2968" spans="1:6">
      <c r="A2968" s="30">
        <f t="shared" ref="A2968:A3031" si="99">A2967+1</f>
        <v>46058</v>
      </c>
      <c r="B2968" s="32" t="s">
        <v>206</v>
      </c>
      <c r="C2968" t="s">
        <v>207</v>
      </c>
      <c r="D2968">
        <f>IF(B2968=$AB$2,$AC$2,$AC$3)</f>
        <v>0</v>
      </c>
      <c r="E2968">
        <f>IF(ISBLANK(C2968),0,VLOOKUP(C2968,$AE$2:$AF$7,2,0))</f>
        <v>0.5</v>
      </c>
      <c r="F2968">
        <f t="shared" si="98"/>
        <v>0</v>
      </c>
    </row>
    <row r="2969" spans="1:6">
      <c r="A2969" s="30">
        <f t="shared" si="99"/>
        <v>46059</v>
      </c>
      <c r="B2969" s="32" t="s">
        <v>206</v>
      </c>
      <c r="C2969" t="s">
        <v>207</v>
      </c>
      <c r="D2969">
        <f>IF(B2969=$AB$2,$AC$2,$AC$3)</f>
        <v>0</v>
      </c>
      <c r="E2969">
        <f>IF(ISBLANK(C2969),0,VLOOKUP(C2969,$AE$2:$AF$7,2,0))</f>
        <v>0.5</v>
      </c>
      <c r="F2969">
        <f t="shared" si="98"/>
        <v>0</v>
      </c>
    </row>
    <row r="2970" spans="1:6">
      <c r="A2970" s="30">
        <f t="shared" si="99"/>
        <v>46060</v>
      </c>
      <c r="B2970" s="32" t="s">
        <v>206</v>
      </c>
      <c r="C2970" t="s">
        <v>207</v>
      </c>
      <c r="D2970">
        <f>IF(B2970=$AB$2,$AC$2,$AC$3)</f>
        <v>0</v>
      </c>
      <c r="E2970">
        <f>IF(ISBLANK(C2970),0,VLOOKUP(C2970,$AE$2:$AF$7,2,0))</f>
        <v>0.5</v>
      </c>
      <c r="F2970">
        <f t="shared" si="98"/>
        <v>0</v>
      </c>
    </row>
    <row r="2971" spans="1:6">
      <c r="A2971" s="30">
        <f t="shared" si="99"/>
        <v>46061</v>
      </c>
      <c r="B2971" s="32" t="s">
        <v>206</v>
      </c>
      <c r="C2971" t="s">
        <v>207</v>
      </c>
      <c r="D2971">
        <f>IF(B2971=$AB$2,$AC$2,$AC$3)</f>
        <v>0</v>
      </c>
      <c r="E2971">
        <f>IF(ISBLANK(C2971),0,VLOOKUP(C2971,$AE$2:$AF$7,2,0))</f>
        <v>0.5</v>
      </c>
      <c r="F2971">
        <f t="shared" si="98"/>
        <v>0</v>
      </c>
    </row>
    <row r="2972" spans="1:6">
      <c r="A2972" s="30">
        <f t="shared" si="99"/>
        <v>46062</v>
      </c>
      <c r="B2972" s="32" t="s">
        <v>206</v>
      </c>
      <c r="C2972" t="s">
        <v>207</v>
      </c>
      <c r="D2972">
        <f>IF(B2972=$AB$2,$AC$2,$AC$3)</f>
        <v>0</v>
      </c>
      <c r="E2972">
        <f>IF(ISBLANK(C2972),0,VLOOKUP(C2972,$AE$2:$AF$7,2,0))</f>
        <v>0.5</v>
      </c>
      <c r="F2972">
        <f t="shared" si="98"/>
        <v>0</v>
      </c>
    </row>
    <row r="2973" spans="1:6">
      <c r="A2973" s="30">
        <f t="shared" si="99"/>
        <v>46063</v>
      </c>
      <c r="B2973" s="32" t="s">
        <v>206</v>
      </c>
      <c r="C2973" t="s">
        <v>207</v>
      </c>
      <c r="D2973">
        <f>IF(B2973=$AB$2,$AC$2,$AC$3)</f>
        <v>0</v>
      </c>
      <c r="E2973">
        <f>IF(ISBLANK(C2973),0,VLOOKUP(C2973,$AE$2:$AF$7,2,0))</f>
        <v>0.5</v>
      </c>
      <c r="F2973">
        <f t="shared" si="98"/>
        <v>0</v>
      </c>
    </row>
    <row r="2974" spans="1:6">
      <c r="A2974" s="30">
        <f t="shared" si="99"/>
        <v>46064</v>
      </c>
      <c r="B2974" s="32" t="s">
        <v>206</v>
      </c>
      <c r="C2974" t="s">
        <v>207</v>
      </c>
      <c r="D2974">
        <f>IF(B2974=$AB$2,$AC$2,$AC$3)</f>
        <v>0</v>
      </c>
      <c r="E2974">
        <f>IF(ISBLANK(C2974),0,VLOOKUP(C2974,$AE$2:$AF$7,2,0))</f>
        <v>0.5</v>
      </c>
      <c r="F2974">
        <f t="shared" si="98"/>
        <v>0</v>
      </c>
    </row>
    <row r="2975" spans="1:6">
      <c r="A2975" s="30">
        <f t="shared" si="99"/>
        <v>46065</v>
      </c>
      <c r="B2975" s="32" t="s">
        <v>206</v>
      </c>
      <c r="C2975" t="s">
        <v>207</v>
      </c>
      <c r="D2975">
        <f>IF(B2975=$AB$2,$AC$2,$AC$3)</f>
        <v>0</v>
      </c>
      <c r="E2975">
        <f>IF(ISBLANK(C2975),0,VLOOKUP(C2975,$AE$2:$AF$7,2,0))</f>
        <v>0.5</v>
      </c>
      <c r="F2975">
        <f t="shared" si="98"/>
        <v>0</v>
      </c>
    </row>
    <row r="2976" spans="1:6">
      <c r="A2976" s="30">
        <f t="shared" si="99"/>
        <v>46066</v>
      </c>
      <c r="B2976" s="32" t="s">
        <v>206</v>
      </c>
      <c r="C2976" t="s">
        <v>207</v>
      </c>
      <c r="D2976">
        <f>IF(B2976=$AB$2,$AC$2,$AC$3)</f>
        <v>0</v>
      </c>
      <c r="E2976">
        <f>IF(ISBLANK(C2976),0,VLOOKUP(C2976,$AE$2:$AF$7,2,0))</f>
        <v>0.5</v>
      </c>
      <c r="F2976">
        <f t="shared" si="98"/>
        <v>0</v>
      </c>
    </row>
    <row r="2977" spans="1:6">
      <c r="A2977" s="30">
        <f t="shared" si="99"/>
        <v>46067</v>
      </c>
      <c r="B2977" s="32" t="s">
        <v>206</v>
      </c>
      <c r="C2977" t="s">
        <v>207</v>
      </c>
      <c r="D2977">
        <f>IF(B2977=$AB$2,$AC$2,$AC$3)</f>
        <v>0</v>
      </c>
      <c r="E2977">
        <f>IF(ISBLANK(C2977),0,VLOOKUP(C2977,$AE$2:$AF$7,2,0))</f>
        <v>0.5</v>
      </c>
      <c r="F2977">
        <f t="shared" si="98"/>
        <v>0</v>
      </c>
    </row>
    <row r="2978" spans="1:6">
      <c r="A2978" s="30">
        <f t="shared" si="99"/>
        <v>46068</v>
      </c>
      <c r="B2978" s="32" t="s">
        <v>206</v>
      </c>
      <c r="C2978" t="s">
        <v>207</v>
      </c>
      <c r="D2978">
        <f>IF(B2978=$AB$2,$AC$2,$AC$3)</f>
        <v>0</v>
      </c>
      <c r="E2978">
        <f>IF(ISBLANK(C2978),0,VLOOKUP(C2978,$AE$2:$AF$7,2,0))</f>
        <v>0.5</v>
      </c>
      <c r="F2978">
        <f t="shared" si="98"/>
        <v>0</v>
      </c>
    </row>
    <row r="2979" spans="1:6">
      <c r="A2979" s="30">
        <f t="shared" si="99"/>
        <v>46069</v>
      </c>
      <c r="B2979" s="32" t="s">
        <v>206</v>
      </c>
      <c r="C2979" t="s">
        <v>207</v>
      </c>
      <c r="D2979">
        <f>IF(B2979=$AB$2,$AC$2,$AC$3)</f>
        <v>0</v>
      </c>
      <c r="E2979">
        <f>IF(ISBLANK(C2979),0,VLOOKUP(C2979,$AE$2:$AF$7,2,0))</f>
        <v>0.5</v>
      </c>
      <c r="F2979">
        <f t="shared" si="98"/>
        <v>0</v>
      </c>
    </row>
    <row r="2980" spans="1:6">
      <c r="A2980" s="30">
        <f t="shared" si="99"/>
        <v>46070</v>
      </c>
      <c r="B2980" s="32" t="s">
        <v>206</v>
      </c>
      <c r="C2980" t="s">
        <v>207</v>
      </c>
      <c r="D2980">
        <f>IF(B2980=$AB$2,$AC$2,$AC$3)</f>
        <v>0</v>
      </c>
      <c r="E2980">
        <f>IF(ISBLANK(C2980),0,VLOOKUP(C2980,$AE$2:$AF$7,2,0))</f>
        <v>0.5</v>
      </c>
      <c r="F2980">
        <f t="shared" si="98"/>
        <v>0</v>
      </c>
    </row>
    <row r="2981" spans="1:6">
      <c r="A2981" s="30">
        <f t="shared" si="99"/>
        <v>46071</v>
      </c>
      <c r="B2981" s="32" t="s">
        <v>206</v>
      </c>
      <c r="C2981" t="s">
        <v>207</v>
      </c>
      <c r="D2981">
        <f>IF(B2981=$AB$2,$AC$2,$AC$3)</f>
        <v>0</v>
      </c>
      <c r="E2981">
        <f>IF(ISBLANK(C2981),0,VLOOKUP(C2981,$AE$2:$AF$7,2,0))</f>
        <v>0.5</v>
      </c>
      <c r="F2981">
        <f t="shared" si="98"/>
        <v>0</v>
      </c>
    </row>
    <row r="2982" spans="1:6">
      <c r="A2982" s="30">
        <f t="shared" si="99"/>
        <v>46072</v>
      </c>
      <c r="B2982" s="32" t="s">
        <v>206</v>
      </c>
      <c r="C2982" t="s">
        <v>207</v>
      </c>
      <c r="D2982">
        <f>IF(B2982=$AB$2,$AC$2,$AC$3)</f>
        <v>0</v>
      </c>
      <c r="E2982">
        <f>IF(ISBLANK(C2982),0,VLOOKUP(C2982,$AE$2:$AF$7,2,0))</f>
        <v>0.5</v>
      </c>
      <c r="F2982">
        <f t="shared" si="98"/>
        <v>0</v>
      </c>
    </row>
    <row r="2983" spans="1:6">
      <c r="A2983" s="30">
        <f t="shared" si="99"/>
        <v>46073</v>
      </c>
      <c r="B2983" s="32" t="s">
        <v>206</v>
      </c>
      <c r="C2983" t="s">
        <v>207</v>
      </c>
      <c r="D2983">
        <f>IF(B2983=$AB$2,$AC$2,$AC$3)</f>
        <v>0</v>
      </c>
      <c r="E2983">
        <f>IF(ISBLANK(C2983),0,VLOOKUP(C2983,$AE$2:$AF$7,2,0))</f>
        <v>0.5</v>
      </c>
      <c r="F2983">
        <f t="shared" si="98"/>
        <v>0</v>
      </c>
    </row>
    <row r="2984" spans="1:6">
      <c r="A2984" s="30">
        <f t="shared" si="99"/>
        <v>46074</v>
      </c>
      <c r="B2984" s="32" t="s">
        <v>206</v>
      </c>
      <c r="C2984" t="s">
        <v>207</v>
      </c>
      <c r="D2984">
        <f>IF(B2984=$AB$2,$AC$2,$AC$3)</f>
        <v>0</v>
      </c>
      <c r="E2984">
        <f>IF(ISBLANK(C2984),0,VLOOKUP(C2984,$AE$2:$AF$7,2,0))</f>
        <v>0.5</v>
      </c>
      <c r="F2984">
        <f t="shared" si="98"/>
        <v>0</v>
      </c>
    </row>
    <row r="2985" spans="1:6">
      <c r="A2985" s="30">
        <f t="shared" si="99"/>
        <v>46075</v>
      </c>
      <c r="B2985" s="32" t="s">
        <v>206</v>
      </c>
      <c r="C2985" t="s">
        <v>207</v>
      </c>
      <c r="D2985">
        <f>IF(B2985=$AB$2,$AC$2,$AC$3)</f>
        <v>0</v>
      </c>
      <c r="E2985">
        <f>IF(ISBLANK(C2985),0,VLOOKUP(C2985,$AE$2:$AF$7,2,0))</f>
        <v>0.5</v>
      </c>
      <c r="F2985">
        <f t="shared" si="98"/>
        <v>0</v>
      </c>
    </row>
    <row r="2986" spans="1:6">
      <c r="A2986" s="30">
        <f t="shared" si="99"/>
        <v>46076</v>
      </c>
      <c r="B2986" s="32" t="s">
        <v>206</v>
      </c>
      <c r="C2986" t="s">
        <v>207</v>
      </c>
      <c r="D2986">
        <f>IF(B2986=$AB$2,$AC$2,$AC$3)</f>
        <v>0</v>
      </c>
      <c r="E2986">
        <f>IF(ISBLANK(C2986),0,VLOOKUP(C2986,$AE$2:$AF$7,2,0))</f>
        <v>0.5</v>
      </c>
      <c r="F2986">
        <f t="shared" si="98"/>
        <v>0</v>
      </c>
    </row>
    <row r="2987" spans="1:6">
      <c r="A2987" s="30">
        <f t="shared" si="99"/>
        <v>46077</v>
      </c>
      <c r="B2987" s="32" t="s">
        <v>206</v>
      </c>
      <c r="C2987" t="s">
        <v>207</v>
      </c>
      <c r="D2987">
        <f>IF(B2987=$AB$2,$AC$2,$AC$3)</f>
        <v>0</v>
      </c>
      <c r="E2987">
        <f>IF(ISBLANK(C2987),0,VLOOKUP(C2987,$AE$2:$AF$7,2,0))</f>
        <v>0.5</v>
      </c>
      <c r="F2987">
        <f t="shared" si="98"/>
        <v>0</v>
      </c>
    </row>
    <row r="2988" spans="1:6">
      <c r="A2988" s="30">
        <f t="shared" si="99"/>
        <v>46078</v>
      </c>
      <c r="B2988" s="32" t="s">
        <v>206</v>
      </c>
      <c r="C2988" t="s">
        <v>207</v>
      </c>
      <c r="D2988">
        <f>IF(B2988=$AB$2,$AC$2,$AC$3)</f>
        <v>0</v>
      </c>
      <c r="E2988">
        <f>IF(ISBLANK(C2988),0,VLOOKUP(C2988,$AE$2:$AF$7,2,0))</f>
        <v>0.5</v>
      </c>
      <c r="F2988">
        <f t="shared" si="98"/>
        <v>0</v>
      </c>
    </row>
    <row r="2989" spans="1:6">
      <c r="A2989" s="30">
        <f t="shared" si="99"/>
        <v>46079</v>
      </c>
      <c r="B2989" s="32" t="s">
        <v>206</v>
      </c>
      <c r="C2989" t="s">
        <v>207</v>
      </c>
      <c r="D2989">
        <f>IF(B2989=$AB$2,$AC$2,$AC$3)</f>
        <v>0</v>
      </c>
      <c r="E2989">
        <f>IF(ISBLANK(C2989),0,VLOOKUP(C2989,$AE$2:$AF$7,2,0))</f>
        <v>0.5</v>
      </c>
      <c r="F2989">
        <f t="shared" si="98"/>
        <v>0</v>
      </c>
    </row>
    <row r="2990" spans="1:6">
      <c r="A2990" s="30">
        <f t="shared" si="99"/>
        <v>46080</v>
      </c>
      <c r="B2990" s="32" t="s">
        <v>206</v>
      </c>
      <c r="C2990" t="s">
        <v>207</v>
      </c>
      <c r="D2990">
        <f>IF(B2990=$AB$2,$AC$2,$AC$3)</f>
        <v>0</v>
      </c>
      <c r="E2990">
        <f>IF(ISBLANK(C2990),0,VLOOKUP(C2990,$AE$2:$AF$7,2,0))</f>
        <v>0.5</v>
      </c>
      <c r="F2990">
        <f t="shared" si="98"/>
        <v>0</v>
      </c>
    </row>
    <row r="2991" spans="1:6">
      <c r="A2991" s="30">
        <f t="shared" si="99"/>
        <v>46081</v>
      </c>
      <c r="B2991" s="32" t="s">
        <v>206</v>
      </c>
      <c r="C2991" t="s">
        <v>207</v>
      </c>
      <c r="D2991">
        <f>IF(B2991=$AB$2,$AC$2,$AC$3)</f>
        <v>0</v>
      </c>
      <c r="E2991">
        <f>IF(ISBLANK(C2991),0,VLOOKUP(C2991,$AE$2:$AF$7,2,0))</f>
        <v>0.5</v>
      </c>
      <c r="F2991">
        <f t="shared" si="98"/>
        <v>0</v>
      </c>
    </row>
    <row r="2992" spans="1:6">
      <c r="A2992" s="30">
        <f t="shared" si="99"/>
        <v>46082</v>
      </c>
      <c r="B2992" s="32" t="s">
        <v>206</v>
      </c>
      <c r="C2992" t="s">
        <v>207</v>
      </c>
      <c r="D2992">
        <f>IF(B2992=$AB$2,$AC$2,$AC$3)</f>
        <v>0</v>
      </c>
      <c r="E2992">
        <f>IF(ISBLANK(C2992),0,VLOOKUP(C2992,$AE$2:$AF$7,2,0))</f>
        <v>0.5</v>
      </c>
      <c r="F2992">
        <f t="shared" si="98"/>
        <v>0</v>
      </c>
    </row>
    <row r="2993" spans="1:6">
      <c r="A2993" s="30">
        <f t="shared" si="99"/>
        <v>46083</v>
      </c>
      <c r="B2993" s="32" t="s">
        <v>206</v>
      </c>
      <c r="C2993" t="s">
        <v>207</v>
      </c>
      <c r="D2993">
        <f>IF(B2993=$AB$2,$AC$2,$AC$3)</f>
        <v>0</v>
      </c>
      <c r="E2993">
        <f>IF(ISBLANK(C2993),0,VLOOKUP(C2993,$AE$2:$AF$7,2,0))</f>
        <v>0.5</v>
      </c>
      <c r="F2993">
        <f t="shared" si="98"/>
        <v>0</v>
      </c>
    </row>
    <row r="2994" spans="1:6">
      <c r="A2994" s="30">
        <f t="shared" si="99"/>
        <v>46084</v>
      </c>
      <c r="B2994" s="32" t="s">
        <v>206</v>
      </c>
      <c r="C2994" t="s">
        <v>207</v>
      </c>
      <c r="D2994">
        <f>IF(B2994=$AB$2,$AC$2,$AC$3)</f>
        <v>0</v>
      </c>
      <c r="E2994">
        <f>IF(ISBLANK(C2994),0,VLOOKUP(C2994,$AE$2:$AF$7,2,0))</f>
        <v>0.5</v>
      </c>
      <c r="F2994">
        <f t="shared" si="98"/>
        <v>0</v>
      </c>
    </row>
    <row r="2995" spans="1:6">
      <c r="A2995" s="30">
        <f t="shared" si="99"/>
        <v>46085</v>
      </c>
      <c r="B2995" s="32" t="s">
        <v>206</v>
      </c>
      <c r="C2995" t="s">
        <v>207</v>
      </c>
      <c r="D2995">
        <f>IF(B2995=$AB$2,$AC$2,$AC$3)</f>
        <v>0</v>
      </c>
      <c r="E2995">
        <f>IF(ISBLANK(C2995),0,VLOOKUP(C2995,$AE$2:$AF$7,2,0))</f>
        <v>0.5</v>
      </c>
      <c r="F2995">
        <f t="shared" si="98"/>
        <v>0</v>
      </c>
    </row>
    <row r="2996" spans="1:6">
      <c r="A2996" s="30">
        <f t="shared" si="99"/>
        <v>46086</v>
      </c>
      <c r="B2996" s="32" t="s">
        <v>206</v>
      </c>
      <c r="C2996" t="s">
        <v>207</v>
      </c>
      <c r="D2996">
        <f>IF(B2996=$AB$2,$AC$2,$AC$3)</f>
        <v>0</v>
      </c>
      <c r="E2996">
        <f>IF(ISBLANK(C2996),0,VLOOKUP(C2996,$AE$2:$AF$7,2,0))</f>
        <v>0.5</v>
      </c>
      <c r="F2996">
        <f t="shared" si="98"/>
        <v>0</v>
      </c>
    </row>
    <row r="2997" spans="1:6">
      <c r="A2997" s="30">
        <f t="shared" si="99"/>
        <v>46087</v>
      </c>
      <c r="B2997" s="32" t="s">
        <v>206</v>
      </c>
      <c r="C2997" t="s">
        <v>207</v>
      </c>
      <c r="D2997">
        <f>IF(B2997=$AB$2,$AC$2,$AC$3)</f>
        <v>0</v>
      </c>
      <c r="E2997">
        <f>IF(ISBLANK(C2997),0,VLOOKUP(C2997,$AE$2:$AF$7,2,0))</f>
        <v>0.5</v>
      </c>
      <c r="F2997">
        <f t="shared" si="98"/>
        <v>0</v>
      </c>
    </row>
    <row r="2998" spans="1:6">
      <c r="A2998" s="30">
        <f t="shared" si="99"/>
        <v>46088</v>
      </c>
      <c r="B2998" s="32" t="s">
        <v>206</v>
      </c>
      <c r="C2998" t="s">
        <v>207</v>
      </c>
      <c r="D2998">
        <f>IF(B2998=$AB$2,$AC$2,$AC$3)</f>
        <v>0</v>
      </c>
      <c r="E2998">
        <f>IF(ISBLANK(C2998),0,VLOOKUP(C2998,$AE$2:$AF$7,2,0))</f>
        <v>0.5</v>
      </c>
      <c r="F2998">
        <f t="shared" si="98"/>
        <v>0</v>
      </c>
    </row>
    <row r="2999" spans="1:6">
      <c r="A2999" s="30">
        <f t="shared" si="99"/>
        <v>46089</v>
      </c>
      <c r="B2999" s="32" t="s">
        <v>206</v>
      </c>
      <c r="C2999" t="s">
        <v>207</v>
      </c>
      <c r="D2999">
        <f>IF(B2999=$AB$2,$AC$2,$AC$3)</f>
        <v>0</v>
      </c>
      <c r="E2999">
        <f>IF(ISBLANK(C2999),0,VLOOKUP(C2999,$AE$2:$AF$7,2,0))</f>
        <v>0.5</v>
      </c>
      <c r="F2999">
        <f t="shared" si="98"/>
        <v>0</v>
      </c>
    </row>
    <row r="3000" spans="1:6">
      <c r="A3000" s="30">
        <f t="shared" si="99"/>
        <v>46090</v>
      </c>
      <c r="B3000" s="32" t="s">
        <v>206</v>
      </c>
      <c r="C3000" t="s">
        <v>207</v>
      </c>
      <c r="D3000">
        <f>IF(B3000=$AB$2,$AC$2,$AC$3)</f>
        <v>0</v>
      </c>
      <c r="E3000">
        <f>IF(ISBLANK(C3000),0,VLOOKUP(C3000,$AE$2:$AF$7,2,0))</f>
        <v>0.5</v>
      </c>
      <c r="F3000">
        <f t="shared" si="98"/>
        <v>0</v>
      </c>
    </row>
    <row r="3001" spans="1:6">
      <c r="A3001" s="30">
        <f t="shared" si="99"/>
        <v>46091</v>
      </c>
      <c r="B3001" s="32" t="s">
        <v>206</v>
      </c>
      <c r="C3001" t="s">
        <v>207</v>
      </c>
      <c r="D3001">
        <f>IF(B3001=$AB$2,$AC$2,$AC$3)</f>
        <v>0</v>
      </c>
      <c r="E3001">
        <f>IF(ISBLANK(C3001),0,VLOOKUP(C3001,$AE$2:$AF$7,2,0))</f>
        <v>0.5</v>
      </c>
      <c r="F3001">
        <f t="shared" si="98"/>
        <v>0</v>
      </c>
    </row>
    <row r="3002" spans="1:6">
      <c r="A3002" s="30">
        <f t="shared" si="99"/>
        <v>46092</v>
      </c>
      <c r="B3002" s="32" t="s">
        <v>206</v>
      </c>
      <c r="C3002" t="s">
        <v>207</v>
      </c>
      <c r="D3002">
        <f>IF(B3002=$AB$2,$AC$2,$AC$3)</f>
        <v>0</v>
      </c>
      <c r="E3002">
        <f>IF(ISBLANK(C3002),0,VLOOKUP(C3002,$AE$2:$AF$7,2,0))</f>
        <v>0.5</v>
      </c>
      <c r="F3002">
        <f t="shared" si="98"/>
        <v>0</v>
      </c>
    </row>
    <row r="3003" spans="1:6">
      <c r="A3003" s="30">
        <f t="shared" si="99"/>
        <v>46093</v>
      </c>
      <c r="B3003" s="32" t="s">
        <v>206</v>
      </c>
      <c r="C3003" t="s">
        <v>207</v>
      </c>
      <c r="D3003">
        <f>IF(B3003=$AB$2,$AC$2,$AC$3)</f>
        <v>0</v>
      </c>
      <c r="E3003">
        <f>IF(ISBLANK(C3003),0,VLOOKUP(C3003,$AE$2:$AF$7,2,0))</f>
        <v>0.5</v>
      </c>
      <c r="F3003">
        <f t="shared" si="98"/>
        <v>0</v>
      </c>
    </row>
    <row r="3004" spans="1:6">
      <c r="A3004" s="30">
        <f t="shared" si="99"/>
        <v>46094</v>
      </c>
      <c r="B3004" s="32" t="s">
        <v>206</v>
      </c>
      <c r="C3004" t="s">
        <v>207</v>
      </c>
      <c r="D3004">
        <f>IF(B3004=$AB$2,$AC$2,$AC$3)</f>
        <v>0</v>
      </c>
      <c r="E3004">
        <f>IF(ISBLANK(C3004),0,VLOOKUP(C3004,$AE$2:$AF$7,2,0))</f>
        <v>0.5</v>
      </c>
      <c r="F3004">
        <f t="shared" si="98"/>
        <v>0</v>
      </c>
    </row>
    <row r="3005" spans="1:6">
      <c r="A3005" s="30">
        <f t="shared" si="99"/>
        <v>46095</v>
      </c>
      <c r="B3005" s="32" t="s">
        <v>206</v>
      </c>
      <c r="C3005" t="s">
        <v>207</v>
      </c>
      <c r="D3005">
        <f>IF(B3005=$AB$2,$AC$2,$AC$3)</f>
        <v>0</v>
      </c>
      <c r="E3005">
        <f>IF(ISBLANK(C3005),0,VLOOKUP(C3005,$AE$2:$AF$7,2,0))</f>
        <v>0.5</v>
      </c>
      <c r="F3005">
        <f t="shared" si="98"/>
        <v>0</v>
      </c>
    </row>
    <row r="3006" spans="1:6">
      <c r="A3006" s="30">
        <f t="shared" si="99"/>
        <v>46096</v>
      </c>
      <c r="B3006" s="32" t="s">
        <v>206</v>
      </c>
      <c r="C3006" t="s">
        <v>207</v>
      </c>
      <c r="D3006">
        <f>IF(B3006=$AB$2,$AC$2,$AC$3)</f>
        <v>0</v>
      </c>
      <c r="E3006">
        <f>IF(ISBLANK(C3006),0,VLOOKUP(C3006,$AE$2:$AF$7,2,0))</f>
        <v>0.5</v>
      </c>
      <c r="F3006">
        <f t="shared" si="98"/>
        <v>0</v>
      </c>
    </row>
    <row r="3007" spans="1:6">
      <c r="A3007" s="30">
        <f t="shared" si="99"/>
        <v>46097</v>
      </c>
      <c r="B3007" s="32" t="s">
        <v>206</v>
      </c>
      <c r="C3007" t="s">
        <v>207</v>
      </c>
      <c r="D3007">
        <f>IF(B3007=$AB$2,$AC$2,$AC$3)</f>
        <v>0</v>
      </c>
      <c r="E3007">
        <f>IF(ISBLANK(C3007),0,VLOOKUP(C3007,$AE$2:$AF$7,2,0))</f>
        <v>0.5</v>
      </c>
      <c r="F3007">
        <f t="shared" si="98"/>
        <v>0</v>
      </c>
    </row>
    <row r="3008" spans="1:6">
      <c r="A3008" s="30">
        <f t="shared" si="99"/>
        <v>46098</v>
      </c>
      <c r="B3008" s="32" t="s">
        <v>206</v>
      </c>
      <c r="C3008" t="s">
        <v>207</v>
      </c>
      <c r="D3008">
        <f>IF(B3008=$AB$2,$AC$2,$AC$3)</f>
        <v>0</v>
      </c>
      <c r="E3008">
        <f>IF(ISBLANK(C3008),0,VLOOKUP(C3008,$AE$2:$AF$7,2,0))</f>
        <v>0.5</v>
      </c>
      <c r="F3008">
        <f t="shared" si="98"/>
        <v>0</v>
      </c>
    </row>
    <row r="3009" spans="1:6">
      <c r="A3009" s="30">
        <f t="shared" si="99"/>
        <v>46099</v>
      </c>
      <c r="B3009" s="32" t="s">
        <v>206</v>
      </c>
      <c r="C3009" t="s">
        <v>207</v>
      </c>
      <c r="D3009">
        <f>IF(B3009=$AB$2,$AC$2,$AC$3)</f>
        <v>0</v>
      </c>
      <c r="E3009">
        <f>IF(ISBLANK(C3009),0,VLOOKUP(C3009,$AE$2:$AF$7,2,0))</f>
        <v>0.5</v>
      </c>
      <c r="F3009">
        <f t="shared" si="98"/>
        <v>0</v>
      </c>
    </row>
    <row r="3010" spans="1:6">
      <c r="A3010" s="30">
        <f t="shared" si="99"/>
        <v>46100</v>
      </c>
      <c r="B3010" s="32" t="s">
        <v>206</v>
      </c>
      <c r="C3010" t="s">
        <v>207</v>
      </c>
      <c r="D3010">
        <f>IF(B3010=$AB$2,$AC$2,$AC$3)</f>
        <v>0</v>
      </c>
      <c r="E3010">
        <f>IF(ISBLANK(C3010),0,VLOOKUP(C3010,$AE$2:$AF$7,2,0))</f>
        <v>0.5</v>
      </c>
      <c r="F3010">
        <f t="shared" si="98"/>
        <v>0</v>
      </c>
    </row>
    <row r="3011" spans="1:6">
      <c r="A3011" s="30">
        <f t="shared" si="99"/>
        <v>46101</v>
      </c>
      <c r="B3011" s="32" t="s">
        <v>206</v>
      </c>
      <c r="C3011" t="s">
        <v>207</v>
      </c>
      <c r="D3011">
        <f>IF(B3011=$AB$2,$AC$2,$AC$3)</f>
        <v>0</v>
      </c>
      <c r="E3011">
        <f>IF(ISBLANK(C3011),0,VLOOKUP(C3011,$AE$2:$AF$7,2,0))</f>
        <v>0.5</v>
      </c>
      <c r="F3011">
        <f t="shared" ref="F3011:F3074" si="100">D3011*E3011</f>
        <v>0</v>
      </c>
    </row>
    <row r="3012" spans="1:6">
      <c r="A3012" s="30">
        <f t="shared" si="99"/>
        <v>46102</v>
      </c>
      <c r="B3012" s="32" t="s">
        <v>206</v>
      </c>
      <c r="C3012" t="s">
        <v>207</v>
      </c>
      <c r="D3012">
        <f>IF(B3012=$AB$2,$AC$2,$AC$3)</f>
        <v>0</v>
      </c>
      <c r="E3012">
        <f>IF(ISBLANK(C3012),0,VLOOKUP(C3012,$AE$2:$AF$7,2,0))</f>
        <v>0.5</v>
      </c>
      <c r="F3012">
        <f t="shared" si="100"/>
        <v>0</v>
      </c>
    </row>
    <row r="3013" spans="1:6">
      <c r="A3013" s="30">
        <f t="shared" si="99"/>
        <v>46103</v>
      </c>
      <c r="B3013" s="32" t="s">
        <v>206</v>
      </c>
      <c r="C3013" t="s">
        <v>207</v>
      </c>
      <c r="D3013">
        <f>IF(B3013=$AB$2,$AC$2,$AC$3)</f>
        <v>0</v>
      </c>
      <c r="E3013">
        <f>IF(ISBLANK(C3013),0,VLOOKUP(C3013,$AE$2:$AF$7,2,0))</f>
        <v>0.5</v>
      </c>
      <c r="F3013">
        <f t="shared" si="100"/>
        <v>0</v>
      </c>
    </row>
    <row r="3014" spans="1:6">
      <c r="A3014" s="30">
        <f t="shared" si="99"/>
        <v>46104</v>
      </c>
      <c r="B3014" s="32" t="s">
        <v>206</v>
      </c>
      <c r="C3014" t="s">
        <v>207</v>
      </c>
      <c r="D3014">
        <f>IF(B3014=$AB$2,$AC$2,$AC$3)</f>
        <v>0</v>
      </c>
      <c r="E3014">
        <f>IF(ISBLANK(C3014),0,VLOOKUP(C3014,$AE$2:$AF$7,2,0))</f>
        <v>0.5</v>
      </c>
      <c r="F3014">
        <f t="shared" si="100"/>
        <v>0</v>
      </c>
    </row>
    <row r="3015" spans="1:6">
      <c r="A3015" s="30">
        <f t="shared" si="99"/>
        <v>46105</v>
      </c>
      <c r="B3015" s="32" t="s">
        <v>206</v>
      </c>
      <c r="C3015" t="s">
        <v>207</v>
      </c>
      <c r="D3015">
        <f>IF(B3015=$AB$2,$AC$2,$AC$3)</f>
        <v>0</v>
      </c>
      <c r="E3015">
        <f>IF(ISBLANK(C3015),0,VLOOKUP(C3015,$AE$2:$AF$7,2,0))</f>
        <v>0.5</v>
      </c>
      <c r="F3015">
        <f t="shared" si="100"/>
        <v>0</v>
      </c>
    </row>
    <row r="3016" spans="1:6">
      <c r="A3016" s="30">
        <f t="shared" si="99"/>
        <v>46106</v>
      </c>
      <c r="B3016" s="32" t="s">
        <v>206</v>
      </c>
      <c r="C3016" t="s">
        <v>207</v>
      </c>
      <c r="D3016">
        <f>IF(B3016=$AB$2,$AC$2,$AC$3)</f>
        <v>0</v>
      </c>
      <c r="E3016">
        <f>IF(ISBLANK(C3016),0,VLOOKUP(C3016,$AE$2:$AF$7,2,0))</f>
        <v>0.5</v>
      </c>
      <c r="F3016">
        <f t="shared" si="100"/>
        <v>0</v>
      </c>
    </row>
    <row r="3017" spans="1:6">
      <c r="A3017" s="30">
        <f t="shared" si="99"/>
        <v>46107</v>
      </c>
      <c r="B3017" s="32" t="s">
        <v>206</v>
      </c>
      <c r="C3017" t="s">
        <v>207</v>
      </c>
      <c r="D3017">
        <f>IF(B3017=$AB$2,$AC$2,$AC$3)</f>
        <v>0</v>
      </c>
      <c r="E3017">
        <f>IF(ISBLANK(C3017),0,VLOOKUP(C3017,$AE$2:$AF$7,2,0))</f>
        <v>0.5</v>
      </c>
      <c r="F3017">
        <f t="shared" si="100"/>
        <v>0</v>
      </c>
    </row>
    <row r="3018" spans="1:6">
      <c r="A3018" s="30">
        <f t="shared" si="99"/>
        <v>46108</v>
      </c>
      <c r="B3018" s="32" t="s">
        <v>206</v>
      </c>
      <c r="C3018" t="s">
        <v>207</v>
      </c>
      <c r="D3018">
        <f>IF(B3018=$AB$2,$AC$2,$AC$3)</f>
        <v>0</v>
      </c>
      <c r="E3018">
        <f>IF(ISBLANK(C3018),0,VLOOKUP(C3018,$AE$2:$AF$7,2,0))</f>
        <v>0.5</v>
      </c>
      <c r="F3018">
        <f t="shared" si="100"/>
        <v>0</v>
      </c>
    </row>
    <row r="3019" spans="1:6">
      <c r="A3019" s="30">
        <f t="shared" si="99"/>
        <v>46109</v>
      </c>
      <c r="B3019" s="32" t="s">
        <v>206</v>
      </c>
      <c r="C3019" t="s">
        <v>207</v>
      </c>
      <c r="D3019">
        <f>IF(B3019=$AB$2,$AC$2,$AC$3)</f>
        <v>0</v>
      </c>
      <c r="E3019">
        <f>IF(ISBLANK(C3019),0,VLOOKUP(C3019,$AE$2:$AF$7,2,0))</f>
        <v>0.5</v>
      </c>
      <c r="F3019">
        <f t="shared" si="100"/>
        <v>0</v>
      </c>
    </row>
    <row r="3020" spans="1:6">
      <c r="A3020" s="30">
        <f t="shared" si="99"/>
        <v>46110</v>
      </c>
      <c r="B3020" s="32" t="s">
        <v>206</v>
      </c>
      <c r="C3020" t="s">
        <v>207</v>
      </c>
      <c r="D3020">
        <f>IF(B3020=$AB$2,$AC$2,$AC$3)</f>
        <v>0</v>
      </c>
      <c r="E3020">
        <f>IF(ISBLANK(C3020),0,VLOOKUP(C3020,$AE$2:$AF$7,2,0))</f>
        <v>0.5</v>
      </c>
      <c r="F3020">
        <f t="shared" si="100"/>
        <v>0</v>
      </c>
    </row>
    <row r="3021" spans="1:6">
      <c r="A3021" s="30">
        <f t="shared" si="99"/>
        <v>46111</v>
      </c>
      <c r="B3021" s="32" t="s">
        <v>206</v>
      </c>
      <c r="C3021" t="s">
        <v>207</v>
      </c>
      <c r="D3021">
        <f>IF(B3021=$AB$2,$AC$2,$AC$3)</f>
        <v>0</v>
      </c>
      <c r="E3021">
        <f>IF(ISBLANK(C3021),0,VLOOKUP(C3021,$AE$2:$AF$7,2,0))</f>
        <v>0.5</v>
      </c>
      <c r="F3021">
        <f t="shared" si="100"/>
        <v>0</v>
      </c>
    </row>
    <row r="3022" spans="1:6">
      <c r="A3022" s="30">
        <f t="shared" si="99"/>
        <v>46112</v>
      </c>
      <c r="B3022" s="32" t="s">
        <v>206</v>
      </c>
      <c r="C3022" t="s">
        <v>207</v>
      </c>
      <c r="D3022">
        <f>IF(B3022=$AB$2,$AC$2,$AC$3)</f>
        <v>0</v>
      </c>
      <c r="E3022">
        <f>IF(ISBLANK(C3022),0,VLOOKUP(C3022,$AE$2:$AF$7,2,0))</f>
        <v>0.5</v>
      </c>
      <c r="F3022">
        <f t="shared" si="100"/>
        <v>0</v>
      </c>
    </row>
    <row r="3023" spans="1:6">
      <c r="A3023" s="30">
        <f t="shared" si="99"/>
        <v>46113</v>
      </c>
      <c r="B3023" s="32" t="s">
        <v>206</v>
      </c>
      <c r="C3023" t="s">
        <v>207</v>
      </c>
      <c r="D3023">
        <f>IF(B3023=$AB$2,$AC$2,$AC$3)</f>
        <v>0</v>
      </c>
      <c r="E3023">
        <f>IF(ISBLANK(C3023),0,VLOOKUP(C3023,$AE$2:$AF$7,2,0))</f>
        <v>0.5</v>
      </c>
      <c r="F3023">
        <f t="shared" si="100"/>
        <v>0</v>
      </c>
    </row>
    <row r="3024" spans="1:6">
      <c r="A3024" s="30">
        <f t="shared" si="99"/>
        <v>46114</v>
      </c>
      <c r="B3024" s="32" t="s">
        <v>206</v>
      </c>
      <c r="C3024" t="s">
        <v>207</v>
      </c>
      <c r="D3024">
        <f>IF(B3024=$AB$2,$AC$2,$AC$3)</f>
        <v>0</v>
      </c>
      <c r="E3024">
        <f>IF(ISBLANK(C3024),0,VLOOKUP(C3024,$AE$2:$AF$7,2,0))</f>
        <v>0.5</v>
      </c>
      <c r="F3024">
        <f t="shared" si="100"/>
        <v>0</v>
      </c>
    </row>
    <row r="3025" spans="1:6">
      <c r="A3025" s="30">
        <f t="shared" si="99"/>
        <v>46115</v>
      </c>
      <c r="B3025" s="32" t="s">
        <v>206</v>
      </c>
      <c r="C3025" t="s">
        <v>207</v>
      </c>
      <c r="D3025">
        <f>IF(B3025=$AB$2,$AC$2,$AC$3)</f>
        <v>0</v>
      </c>
      <c r="E3025">
        <f>IF(ISBLANK(C3025),0,VLOOKUP(C3025,$AE$2:$AF$7,2,0))</f>
        <v>0.5</v>
      </c>
      <c r="F3025">
        <f t="shared" si="100"/>
        <v>0</v>
      </c>
    </row>
    <row r="3026" spans="1:6">
      <c r="A3026" s="30">
        <f t="shared" si="99"/>
        <v>46116</v>
      </c>
      <c r="B3026" s="32" t="s">
        <v>206</v>
      </c>
      <c r="C3026" t="s">
        <v>207</v>
      </c>
      <c r="D3026">
        <f>IF(B3026=$AB$2,$AC$2,$AC$3)</f>
        <v>0</v>
      </c>
      <c r="E3026">
        <f>IF(ISBLANK(C3026),0,VLOOKUP(C3026,$AE$2:$AF$7,2,0))</f>
        <v>0.5</v>
      </c>
      <c r="F3026">
        <f t="shared" si="100"/>
        <v>0</v>
      </c>
    </row>
    <row r="3027" spans="1:6">
      <c r="A3027" s="30">
        <f t="shared" si="99"/>
        <v>46117</v>
      </c>
      <c r="B3027" s="32" t="s">
        <v>206</v>
      </c>
      <c r="C3027" t="s">
        <v>207</v>
      </c>
      <c r="D3027">
        <f>IF(B3027=$AB$2,$AC$2,$AC$3)</f>
        <v>0</v>
      </c>
      <c r="E3027">
        <f>IF(ISBLANK(C3027),0,VLOOKUP(C3027,$AE$2:$AF$7,2,0))</f>
        <v>0.5</v>
      </c>
      <c r="F3027">
        <f t="shared" si="100"/>
        <v>0</v>
      </c>
    </row>
    <row r="3028" spans="1:6">
      <c r="A3028" s="30">
        <f t="shared" si="99"/>
        <v>46118</v>
      </c>
      <c r="B3028" s="32" t="s">
        <v>206</v>
      </c>
      <c r="C3028" t="s">
        <v>207</v>
      </c>
      <c r="D3028">
        <f>IF(B3028=$AB$2,$AC$2,$AC$3)</f>
        <v>0</v>
      </c>
      <c r="E3028">
        <f>IF(ISBLANK(C3028),0,VLOOKUP(C3028,$AE$2:$AF$7,2,0))</f>
        <v>0.5</v>
      </c>
      <c r="F3028">
        <f t="shared" si="100"/>
        <v>0</v>
      </c>
    </row>
    <row r="3029" spans="1:6">
      <c r="A3029" s="30">
        <f t="shared" si="99"/>
        <v>46119</v>
      </c>
      <c r="B3029" s="32" t="s">
        <v>206</v>
      </c>
      <c r="C3029" t="s">
        <v>207</v>
      </c>
      <c r="D3029">
        <f>IF(B3029=$AB$2,$AC$2,$AC$3)</f>
        <v>0</v>
      </c>
      <c r="E3029">
        <f>IF(ISBLANK(C3029),0,VLOOKUP(C3029,$AE$2:$AF$7,2,0))</f>
        <v>0.5</v>
      </c>
      <c r="F3029">
        <f t="shared" si="100"/>
        <v>0</v>
      </c>
    </row>
    <row r="3030" spans="1:6">
      <c r="A3030" s="30">
        <f t="shared" si="99"/>
        <v>46120</v>
      </c>
      <c r="B3030" s="32" t="s">
        <v>206</v>
      </c>
      <c r="C3030" t="s">
        <v>207</v>
      </c>
      <c r="D3030">
        <f>IF(B3030=$AB$2,$AC$2,$AC$3)</f>
        <v>0</v>
      </c>
      <c r="E3030">
        <f>IF(ISBLANK(C3030),0,VLOOKUP(C3030,$AE$2:$AF$7,2,0))</f>
        <v>0.5</v>
      </c>
      <c r="F3030">
        <f t="shared" si="100"/>
        <v>0</v>
      </c>
    </row>
    <row r="3031" spans="1:6">
      <c r="A3031" s="30">
        <f t="shared" si="99"/>
        <v>46121</v>
      </c>
      <c r="B3031" s="32" t="s">
        <v>206</v>
      </c>
      <c r="C3031" t="s">
        <v>207</v>
      </c>
      <c r="D3031">
        <f>IF(B3031=$AB$2,$AC$2,$AC$3)</f>
        <v>0</v>
      </c>
      <c r="E3031">
        <f>IF(ISBLANK(C3031),0,VLOOKUP(C3031,$AE$2:$AF$7,2,0))</f>
        <v>0.5</v>
      </c>
      <c r="F3031">
        <f t="shared" si="100"/>
        <v>0</v>
      </c>
    </row>
    <row r="3032" spans="1:6">
      <c r="A3032" s="30">
        <f t="shared" ref="A3032:A3080" si="101">A3031+1</f>
        <v>46122</v>
      </c>
      <c r="B3032" s="32" t="s">
        <v>206</v>
      </c>
      <c r="C3032" t="s">
        <v>207</v>
      </c>
      <c r="D3032">
        <f>IF(B3032=$AB$2,$AC$2,$AC$3)</f>
        <v>0</v>
      </c>
      <c r="E3032">
        <f>IF(ISBLANK(C3032),0,VLOOKUP(C3032,$AE$2:$AF$7,2,0))</f>
        <v>0.5</v>
      </c>
      <c r="F3032">
        <f t="shared" si="100"/>
        <v>0</v>
      </c>
    </row>
    <row r="3033" spans="1:6">
      <c r="A3033" s="30">
        <f t="shared" si="101"/>
        <v>46123</v>
      </c>
      <c r="B3033" s="32" t="s">
        <v>206</v>
      </c>
      <c r="C3033" t="s">
        <v>207</v>
      </c>
      <c r="D3033">
        <f>IF(B3033=$AB$2,$AC$2,$AC$3)</f>
        <v>0</v>
      </c>
      <c r="E3033">
        <f>IF(ISBLANK(C3033),0,VLOOKUP(C3033,$AE$2:$AF$7,2,0))</f>
        <v>0.5</v>
      </c>
      <c r="F3033">
        <f t="shared" si="100"/>
        <v>0</v>
      </c>
    </row>
    <row r="3034" spans="1:6">
      <c r="A3034" s="30">
        <f t="shared" si="101"/>
        <v>46124</v>
      </c>
      <c r="B3034" s="32" t="s">
        <v>206</v>
      </c>
      <c r="C3034" t="s">
        <v>207</v>
      </c>
      <c r="D3034">
        <f>IF(B3034=$AB$2,$AC$2,$AC$3)</f>
        <v>0</v>
      </c>
      <c r="E3034">
        <f>IF(ISBLANK(C3034),0,VLOOKUP(C3034,$AE$2:$AF$7,2,0))</f>
        <v>0.5</v>
      </c>
      <c r="F3034">
        <f t="shared" si="100"/>
        <v>0</v>
      </c>
    </row>
    <row r="3035" spans="1:6">
      <c r="A3035" s="30">
        <f t="shared" si="101"/>
        <v>46125</v>
      </c>
      <c r="B3035" s="32" t="s">
        <v>206</v>
      </c>
      <c r="C3035" t="s">
        <v>207</v>
      </c>
      <c r="D3035">
        <f>IF(B3035=$AB$2,$AC$2,$AC$3)</f>
        <v>0</v>
      </c>
      <c r="E3035">
        <f>IF(ISBLANK(C3035),0,VLOOKUP(C3035,$AE$2:$AF$7,2,0))</f>
        <v>0.5</v>
      </c>
      <c r="F3035">
        <f t="shared" si="100"/>
        <v>0</v>
      </c>
    </row>
    <row r="3036" spans="1:6">
      <c r="A3036" s="30">
        <f t="shared" si="101"/>
        <v>46126</v>
      </c>
      <c r="B3036" s="32" t="s">
        <v>206</v>
      </c>
      <c r="C3036" t="s">
        <v>207</v>
      </c>
      <c r="D3036">
        <f>IF(B3036=$AB$2,$AC$2,$AC$3)</f>
        <v>0</v>
      </c>
      <c r="E3036">
        <f>IF(ISBLANK(C3036),0,VLOOKUP(C3036,$AE$2:$AF$7,2,0))</f>
        <v>0.5</v>
      </c>
      <c r="F3036">
        <f t="shared" si="100"/>
        <v>0</v>
      </c>
    </row>
    <row r="3037" spans="1:6">
      <c r="A3037" s="30">
        <f t="shared" si="101"/>
        <v>46127</v>
      </c>
      <c r="B3037" s="32" t="s">
        <v>206</v>
      </c>
      <c r="C3037" t="s">
        <v>207</v>
      </c>
      <c r="D3037">
        <f>IF(B3037=$AB$2,$AC$2,$AC$3)</f>
        <v>0</v>
      </c>
      <c r="E3037">
        <f>IF(ISBLANK(C3037),0,VLOOKUP(C3037,$AE$2:$AF$7,2,0))</f>
        <v>0.5</v>
      </c>
      <c r="F3037">
        <f t="shared" si="100"/>
        <v>0</v>
      </c>
    </row>
    <row r="3038" spans="1:6">
      <c r="A3038" s="30">
        <f t="shared" si="101"/>
        <v>46128</v>
      </c>
      <c r="B3038" s="32" t="s">
        <v>206</v>
      </c>
      <c r="C3038" t="s">
        <v>207</v>
      </c>
      <c r="D3038">
        <f>IF(B3038=$AB$2,$AC$2,$AC$3)</f>
        <v>0</v>
      </c>
      <c r="E3038">
        <f>IF(ISBLANK(C3038),0,VLOOKUP(C3038,$AE$2:$AF$7,2,0))</f>
        <v>0.5</v>
      </c>
      <c r="F3038">
        <f t="shared" si="100"/>
        <v>0</v>
      </c>
    </row>
    <row r="3039" spans="1:6">
      <c r="A3039" s="30">
        <f t="shared" si="101"/>
        <v>46129</v>
      </c>
      <c r="B3039" s="32" t="s">
        <v>206</v>
      </c>
      <c r="C3039" t="s">
        <v>207</v>
      </c>
      <c r="D3039">
        <f>IF(B3039=$AB$2,$AC$2,$AC$3)</f>
        <v>0</v>
      </c>
      <c r="E3039">
        <f>IF(ISBLANK(C3039),0,VLOOKUP(C3039,$AE$2:$AF$7,2,0))</f>
        <v>0.5</v>
      </c>
      <c r="F3039">
        <f t="shared" si="100"/>
        <v>0</v>
      </c>
    </row>
    <row r="3040" spans="1:6">
      <c r="A3040" s="30">
        <f t="shared" si="101"/>
        <v>46130</v>
      </c>
      <c r="B3040" s="32" t="s">
        <v>206</v>
      </c>
      <c r="C3040" t="s">
        <v>207</v>
      </c>
      <c r="D3040">
        <f>IF(B3040=$AB$2,$AC$2,$AC$3)</f>
        <v>0</v>
      </c>
      <c r="E3040">
        <f>IF(ISBLANK(C3040),0,VLOOKUP(C3040,$AE$2:$AF$7,2,0))</f>
        <v>0.5</v>
      </c>
      <c r="F3040">
        <f t="shared" si="100"/>
        <v>0</v>
      </c>
    </row>
    <row r="3041" spans="1:6">
      <c r="A3041" s="30">
        <f t="shared" si="101"/>
        <v>46131</v>
      </c>
      <c r="B3041" s="32" t="s">
        <v>206</v>
      </c>
      <c r="C3041" t="s">
        <v>207</v>
      </c>
      <c r="D3041">
        <f>IF(B3041=$AB$2,$AC$2,$AC$3)</f>
        <v>0</v>
      </c>
      <c r="E3041">
        <f>IF(ISBLANK(C3041),0,VLOOKUP(C3041,$AE$2:$AF$7,2,0))</f>
        <v>0.5</v>
      </c>
      <c r="F3041">
        <f t="shared" si="100"/>
        <v>0</v>
      </c>
    </row>
    <row r="3042" spans="1:6">
      <c r="A3042" s="30">
        <f t="shared" si="101"/>
        <v>46132</v>
      </c>
      <c r="B3042" s="32" t="s">
        <v>206</v>
      </c>
      <c r="C3042" t="s">
        <v>207</v>
      </c>
      <c r="D3042">
        <f>IF(B3042=$AB$2,$AC$2,$AC$3)</f>
        <v>0</v>
      </c>
      <c r="E3042">
        <f>IF(ISBLANK(C3042),0,VLOOKUP(C3042,$AE$2:$AF$7,2,0))</f>
        <v>0.5</v>
      </c>
      <c r="F3042">
        <f t="shared" si="100"/>
        <v>0</v>
      </c>
    </row>
    <row r="3043" spans="1:6">
      <c r="A3043" s="30">
        <f t="shared" si="101"/>
        <v>46133</v>
      </c>
      <c r="B3043" s="32" t="s">
        <v>206</v>
      </c>
      <c r="C3043" t="s">
        <v>207</v>
      </c>
      <c r="D3043">
        <f>IF(B3043=$AB$2,$AC$2,$AC$3)</f>
        <v>0</v>
      </c>
      <c r="E3043">
        <f>IF(ISBLANK(C3043),0,VLOOKUP(C3043,$AE$2:$AF$7,2,0))</f>
        <v>0.5</v>
      </c>
      <c r="F3043">
        <f t="shared" si="100"/>
        <v>0</v>
      </c>
    </row>
    <row r="3044" spans="1:6">
      <c r="A3044" s="30">
        <f t="shared" si="101"/>
        <v>46134</v>
      </c>
      <c r="B3044" s="32" t="s">
        <v>206</v>
      </c>
      <c r="C3044" t="s">
        <v>207</v>
      </c>
      <c r="D3044">
        <f>IF(B3044=$AB$2,$AC$2,$AC$3)</f>
        <v>0</v>
      </c>
      <c r="E3044">
        <f>IF(ISBLANK(C3044),0,VLOOKUP(C3044,$AE$2:$AF$7,2,0))</f>
        <v>0.5</v>
      </c>
      <c r="F3044">
        <f t="shared" si="100"/>
        <v>0</v>
      </c>
    </row>
    <row r="3045" spans="1:6">
      <c r="A3045" s="30">
        <f t="shared" si="101"/>
        <v>46135</v>
      </c>
      <c r="B3045" s="32" t="s">
        <v>206</v>
      </c>
      <c r="C3045" t="s">
        <v>207</v>
      </c>
      <c r="D3045">
        <f>IF(B3045=$AB$2,$AC$2,$AC$3)</f>
        <v>0</v>
      </c>
      <c r="E3045">
        <f>IF(ISBLANK(C3045),0,VLOOKUP(C3045,$AE$2:$AF$7,2,0))</f>
        <v>0.5</v>
      </c>
      <c r="F3045">
        <f t="shared" si="100"/>
        <v>0</v>
      </c>
    </row>
    <row r="3046" spans="1:6">
      <c r="A3046" s="30">
        <f t="shared" si="101"/>
        <v>46136</v>
      </c>
      <c r="B3046" s="32" t="s">
        <v>206</v>
      </c>
      <c r="C3046" t="s">
        <v>207</v>
      </c>
      <c r="D3046">
        <f>IF(B3046=$AB$2,$AC$2,$AC$3)</f>
        <v>0</v>
      </c>
      <c r="E3046">
        <f>IF(ISBLANK(C3046),0,VLOOKUP(C3046,$AE$2:$AF$7,2,0))</f>
        <v>0.5</v>
      </c>
      <c r="F3046">
        <f t="shared" si="100"/>
        <v>0</v>
      </c>
    </row>
    <row r="3047" spans="1:6">
      <c r="A3047" s="30">
        <f t="shared" si="101"/>
        <v>46137</v>
      </c>
      <c r="B3047" s="32" t="s">
        <v>206</v>
      </c>
      <c r="C3047" t="s">
        <v>207</v>
      </c>
      <c r="D3047">
        <f>IF(B3047=$AB$2,$AC$2,$AC$3)</f>
        <v>0</v>
      </c>
      <c r="E3047">
        <f>IF(ISBLANK(C3047),0,VLOOKUP(C3047,$AE$2:$AF$7,2,0))</f>
        <v>0.5</v>
      </c>
      <c r="F3047">
        <f t="shared" si="100"/>
        <v>0</v>
      </c>
    </row>
    <row r="3048" spans="1:6">
      <c r="A3048" s="30">
        <f t="shared" si="101"/>
        <v>46138</v>
      </c>
      <c r="B3048" s="32" t="s">
        <v>206</v>
      </c>
      <c r="C3048" t="s">
        <v>207</v>
      </c>
      <c r="D3048">
        <f>IF(B3048=$AB$2,$AC$2,$AC$3)</f>
        <v>0</v>
      </c>
      <c r="E3048">
        <f>IF(ISBLANK(C3048),0,VLOOKUP(C3048,$AE$2:$AF$7,2,0))</f>
        <v>0.5</v>
      </c>
      <c r="F3048">
        <f t="shared" si="100"/>
        <v>0</v>
      </c>
    </row>
    <row r="3049" spans="1:6">
      <c r="A3049" s="30">
        <f t="shared" si="101"/>
        <v>46139</v>
      </c>
      <c r="B3049" s="32" t="s">
        <v>206</v>
      </c>
      <c r="C3049" t="s">
        <v>207</v>
      </c>
      <c r="D3049">
        <f>IF(B3049=$AB$2,$AC$2,$AC$3)</f>
        <v>0</v>
      </c>
      <c r="E3049">
        <f>IF(ISBLANK(C3049),0,VLOOKUP(C3049,$AE$2:$AF$7,2,0))</f>
        <v>0.5</v>
      </c>
      <c r="F3049">
        <f t="shared" si="100"/>
        <v>0</v>
      </c>
    </row>
    <row r="3050" spans="1:6">
      <c r="A3050" s="30">
        <f t="shared" si="101"/>
        <v>46140</v>
      </c>
      <c r="B3050" s="32" t="s">
        <v>206</v>
      </c>
      <c r="C3050" t="s">
        <v>207</v>
      </c>
      <c r="D3050">
        <f>IF(B3050=$AB$2,$AC$2,$AC$3)</f>
        <v>0</v>
      </c>
      <c r="E3050">
        <f>IF(ISBLANK(C3050),0,VLOOKUP(C3050,$AE$2:$AF$7,2,0))</f>
        <v>0.5</v>
      </c>
      <c r="F3050">
        <f t="shared" si="100"/>
        <v>0</v>
      </c>
    </row>
    <row r="3051" spans="1:6">
      <c r="A3051" s="30">
        <f t="shared" si="101"/>
        <v>46141</v>
      </c>
      <c r="B3051" s="32" t="s">
        <v>206</v>
      </c>
      <c r="C3051" t="s">
        <v>207</v>
      </c>
      <c r="D3051">
        <f>IF(B3051=$AB$2,$AC$2,$AC$3)</f>
        <v>0</v>
      </c>
      <c r="E3051">
        <f>IF(ISBLANK(C3051),0,VLOOKUP(C3051,$AE$2:$AF$7,2,0))</f>
        <v>0.5</v>
      </c>
      <c r="F3051">
        <f t="shared" si="100"/>
        <v>0</v>
      </c>
    </row>
    <row r="3052" spans="1:6">
      <c r="A3052" s="30">
        <f t="shared" si="101"/>
        <v>46142</v>
      </c>
      <c r="B3052" s="32" t="s">
        <v>206</v>
      </c>
      <c r="C3052" t="s">
        <v>207</v>
      </c>
      <c r="D3052">
        <f>IF(B3052=$AB$2,$AC$2,$AC$3)</f>
        <v>0</v>
      </c>
      <c r="E3052">
        <f>IF(ISBLANK(C3052),0,VLOOKUP(C3052,$AE$2:$AF$7,2,0))</f>
        <v>0.5</v>
      </c>
      <c r="F3052">
        <f t="shared" si="100"/>
        <v>0</v>
      </c>
    </row>
    <row r="3053" spans="1:6">
      <c r="A3053" s="30">
        <f t="shared" si="101"/>
        <v>46143</v>
      </c>
      <c r="B3053" s="32" t="s">
        <v>206</v>
      </c>
      <c r="C3053" t="s">
        <v>207</v>
      </c>
      <c r="D3053">
        <f>IF(B3053=$AB$2,$AC$2,$AC$3)</f>
        <v>0</v>
      </c>
      <c r="E3053">
        <f>IF(ISBLANK(C3053),0,VLOOKUP(C3053,$AE$2:$AF$7,2,0))</f>
        <v>0.5</v>
      </c>
      <c r="F3053">
        <f t="shared" si="100"/>
        <v>0</v>
      </c>
    </row>
    <row r="3054" spans="1:6">
      <c r="A3054" s="30">
        <f t="shared" si="101"/>
        <v>46144</v>
      </c>
      <c r="B3054" s="32" t="s">
        <v>206</v>
      </c>
      <c r="C3054" t="s">
        <v>207</v>
      </c>
      <c r="D3054">
        <f>IF(B3054=$AB$2,$AC$2,$AC$3)</f>
        <v>0</v>
      </c>
      <c r="E3054">
        <f>IF(ISBLANK(C3054),0,VLOOKUP(C3054,$AE$2:$AF$7,2,0))</f>
        <v>0.5</v>
      </c>
      <c r="F3054">
        <f t="shared" si="100"/>
        <v>0</v>
      </c>
    </row>
    <row r="3055" spans="1:6">
      <c r="A3055" s="30">
        <f t="shared" si="101"/>
        <v>46145</v>
      </c>
      <c r="B3055" s="32" t="s">
        <v>206</v>
      </c>
      <c r="C3055" t="s">
        <v>207</v>
      </c>
      <c r="D3055">
        <f>IF(B3055=$AB$2,$AC$2,$AC$3)</f>
        <v>0</v>
      </c>
      <c r="E3055">
        <f>IF(ISBLANK(C3055),0,VLOOKUP(C3055,$AE$2:$AF$7,2,0))</f>
        <v>0.5</v>
      </c>
      <c r="F3055">
        <f t="shared" si="100"/>
        <v>0</v>
      </c>
    </row>
    <row r="3056" spans="1:6">
      <c r="A3056" s="30">
        <f t="shared" si="101"/>
        <v>46146</v>
      </c>
      <c r="B3056" s="32" t="s">
        <v>206</v>
      </c>
      <c r="C3056" t="s">
        <v>207</v>
      </c>
      <c r="D3056">
        <f>IF(B3056=$AB$2,$AC$2,$AC$3)</f>
        <v>0</v>
      </c>
      <c r="E3056">
        <f>IF(ISBLANK(C3056),0,VLOOKUP(C3056,$AE$2:$AF$7,2,0))</f>
        <v>0.5</v>
      </c>
      <c r="F3056">
        <f t="shared" si="100"/>
        <v>0</v>
      </c>
    </row>
    <row r="3057" spans="1:6">
      <c r="A3057" s="30">
        <f t="shared" si="101"/>
        <v>46147</v>
      </c>
      <c r="B3057" s="32" t="s">
        <v>206</v>
      </c>
      <c r="C3057" t="s">
        <v>207</v>
      </c>
      <c r="D3057">
        <f>IF(B3057=$AB$2,$AC$2,$AC$3)</f>
        <v>0</v>
      </c>
      <c r="E3057">
        <f>IF(ISBLANK(C3057),0,VLOOKUP(C3057,$AE$2:$AF$7,2,0))</f>
        <v>0.5</v>
      </c>
      <c r="F3057">
        <f t="shared" si="100"/>
        <v>0</v>
      </c>
    </row>
    <row r="3058" spans="1:6">
      <c r="A3058" s="30">
        <f t="shared" si="101"/>
        <v>46148</v>
      </c>
      <c r="B3058" s="32" t="s">
        <v>206</v>
      </c>
      <c r="C3058" t="s">
        <v>207</v>
      </c>
      <c r="D3058">
        <f>IF(B3058=$AB$2,$AC$2,$AC$3)</f>
        <v>0</v>
      </c>
      <c r="E3058">
        <f>IF(ISBLANK(C3058),0,VLOOKUP(C3058,$AE$2:$AF$7,2,0))</f>
        <v>0.5</v>
      </c>
      <c r="F3058">
        <f t="shared" si="100"/>
        <v>0</v>
      </c>
    </row>
    <row r="3059" spans="1:6">
      <c r="A3059" s="30">
        <f t="shared" si="101"/>
        <v>46149</v>
      </c>
      <c r="B3059" s="32" t="s">
        <v>206</v>
      </c>
      <c r="C3059" t="s">
        <v>207</v>
      </c>
      <c r="D3059">
        <f>IF(B3059=$AB$2,$AC$2,$AC$3)</f>
        <v>0</v>
      </c>
      <c r="E3059">
        <f>IF(ISBLANK(C3059),0,VLOOKUP(C3059,$AE$2:$AF$7,2,0))</f>
        <v>0.5</v>
      </c>
      <c r="F3059">
        <f t="shared" si="100"/>
        <v>0</v>
      </c>
    </row>
    <row r="3060" spans="1:6">
      <c r="A3060" s="30">
        <f t="shared" si="101"/>
        <v>46150</v>
      </c>
      <c r="B3060" s="32" t="s">
        <v>206</v>
      </c>
      <c r="C3060" t="s">
        <v>207</v>
      </c>
      <c r="D3060">
        <f>IF(B3060=$AB$2,$AC$2,$AC$3)</f>
        <v>0</v>
      </c>
      <c r="E3060">
        <f>IF(ISBLANK(C3060),0,VLOOKUP(C3060,$AE$2:$AF$7,2,0))</f>
        <v>0.5</v>
      </c>
      <c r="F3060">
        <f t="shared" si="100"/>
        <v>0</v>
      </c>
    </row>
    <row r="3061" spans="1:6">
      <c r="A3061" s="30">
        <f t="shared" si="101"/>
        <v>46151</v>
      </c>
      <c r="B3061" s="32" t="s">
        <v>206</v>
      </c>
      <c r="C3061" t="s">
        <v>206</v>
      </c>
      <c r="D3061">
        <f>IF(B3061=$AB$2,$AC$2,$AC$3)</f>
        <v>0</v>
      </c>
      <c r="E3061">
        <f>IF(ISBLANK(C3061),0,VLOOKUP(C3061,$AE$2:$AF$7,2,0))</f>
        <v>0</v>
      </c>
      <c r="F3061">
        <f t="shared" si="100"/>
        <v>0</v>
      </c>
    </row>
    <row r="3062" spans="1:6">
      <c r="A3062" s="30">
        <f t="shared" si="101"/>
        <v>46152</v>
      </c>
      <c r="B3062" s="32" t="s">
        <v>206</v>
      </c>
      <c r="C3062" t="s">
        <v>206</v>
      </c>
      <c r="D3062">
        <f>IF(B3062=$AB$2,$AC$2,$AC$3)</f>
        <v>0</v>
      </c>
      <c r="E3062">
        <f>IF(ISBLANK(C3062),0,VLOOKUP(C3062,$AE$2:$AF$7,2,0))</f>
        <v>0</v>
      </c>
      <c r="F3062">
        <f t="shared" si="100"/>
        <v>0</v>
      </c>
    </row>
    <row r="3063" spans="1:6">
      <c r="A3063" s="30">
        <f t="shared" si="101"/>
        <v>46153</v>
      </c>
      <c r="B3063" s="32" t="s">
        <v>206</v>
      </c>
      <c r="C3063" t="s">
        <v>206</v>
      </c>
      <c r="D3063">
        <f>IF(B3063=$AB$2,$AC$2,$AC$3)</f>
        <v>0</v>
      </c>
      <c r="E3063">
        <f>IF(ISBLANK(C3063),0,VLOOKUP(C3063,$AE$2:$AF$7,2,0))</f>
        <v>0</v>
      </c>
      <c r="F3063">
        <f t="shared" si="100"/>
        <v>0</v>
      </c>
    </row>
    <row r="3064" spans="1:6">
      <c r="A3064" s="30">
        <f t="shared" si="101"/>
        <v>46154</v>
      </c>
      <c r="B3064" s="32" t="s">
        <v>206</v>
      </c>
      <c r="C3064" t="s">
        <v>206</v>
      </c>
      <c r="D3064">
        <f>IF(B3064=$AB$2,$AC$2,$AC$3)</f>
        <v>0</v>
      </c>
      <c r="E3064">
        <f>IF(ISBLANK(C3064),0,VLOOKUP(C3064,$AE$2:$AF$7,2,0))</f>
        <v>0</v>
      </c>
      <c r="F3064">
        <f t="shared" si="100"/>
        <v>0</v>
      </c>
    </row>
    <row r="3065" spans="1:6">
      <c r="A3065" s="30">
        <f t="shared" si="101"/>
        <v>46155</v>
      </c>
      <c r="B3065" s="32" t="s">
        <v>206</v>
      </c>
      <c r="C3065" t="s">
        <v>206</v>
      </c>
      <c r="D3065">
        <f>IF(B3065=$AB$2,$AC$2,$AC$3)</f>
        <v>0</v>
      </c>
      <c r="E3065">
        <f>IF(ISBLANK(C3065),0,VLOOKUP(C3065,$AE$2:$AF$7,2,0))</f>
        <v>0</v>
      </c>
      <c r="F3065">
        <f t="shared" si="100"/>
        <v>0</v>
      </c>
    </row>
    <row r="3066" spans="1:6">
      <c r="A3066" s="30">
        <f t="shared" si="101"/>
        <v>46156</v>
      </c>
      <c r="B3066" s="32" t="s">
        <v>206</v>
      </c>
      <c r="C3066" t="s">
        <v>206</v>
      </c>
      <c r="D3066">
        <f>IF(B3066=$AB$2,$AC$2,$AC$3)</f>
        <v>0</v>
      </c>
      <c r="E3066">
        <f>IF(ISBLANK(C3066),0,VLOOKUP(C3066,$AE$2:$AF$7,2,0))</f>
        <v>0</v>
      </c>
      <c r="F3066">
        <f t="shared" si="100"/>
        <v>0</v>
      </c>
    </row>
    <row r="3067" spans="1:6">
      <c r="A3067" s="30">
        <f t="shared" si="101"/>
        <v>46157</v>
      </c>
      <c r="B3067" s="32" t="s">
        <v>206</v>
      </c>
      <c r="C3067" t="s">
        <v>206</v>
      </c>
      <c r="D3067">
        <f>IF(B3067=$AB$2,$AC$2,$AC$3)</f>
        <v>0</v>
      </c>
      <c r="E3067">
        <f>IF(ISBLANK(C3067),0,VLOOKUP(C3067,$AE$2:$AF$7,2,0))</f>
        <v>0</v>
      </c>
      <c r="F3067">
        <f t="shared" si="100"/>
        <v>0</v>
      </c>
    </row>
    <row r="3068" spans="1:6">
      <c r="A3068" s="30">
        <f t="shared" si="101"/>
        <v>46158</v>
      </c>
      <c r="B3068" s="32" t="s">
        <v>206</v>
      </c>
      <c r="C3068" t="s">
        <v>206</v>
      </c>
      <c r="D3068">
        <f>IF(B3068=$AB$2,$AC$2,$AC$3)</f>
        <v>0</v>
      </c>
      <c r="E3068">
        <f>IF(ISBLANK(C3068),0,VLOOKUP(C3068,$AE$2:$AF$7,2,0))</f>
        <v>0</v>
      </c>
      <c r="F3068">
        <f t="shared" si="100"/>
        <v>0</v>
      </c>
    </row>
    <row r="3069" spans="1:6">
      <c r="A3069" s="30">
        <f t="shared" si="101"/>
        <v>46159</v>
      </c>
      <c r="B3069" s="32" t="s">
        <v>206</v>
      </c>
      <c r="C3069" t="s">
        <v>206</v>
      </c>
      <c r="D3069">
        <f>IF(B3069=$AB$2,$AC$2,$AC$3)</f>
        <v>0</v>
      </c>
      <c r="E3069">
        <f>IF(ISBLANK(C3069),0,VLOOKUP(C3069,$AE$2:$AF$7,2,0))</f>
        <v>0</v>
      </c>
      <c r="F3069">
        <f t="shared" si="100"/>
        <v>0</v>
      </c>
    </row>
    <row r="3070" spans="1:6">
      <c r="A3070" s="30">
        <f t="shared" si="101"/>
        <v>46160</v>
      </c>
      <c r="B3070" s="32" t="s">
        <v>206</v>
      </c>
      <c r="C3070" t="s">
        <v>206</v>
      </c>
      <c r="D3070">
        <f>IF(B3070=$AB$2,$AC$2,$AC$3)</f>
        <v>0</v>
      </c>
      <c r="E3070">
        <f>IF(ISBLANK(C3070),0,VLOOKUP(C3070,$AE$2:$AF$7,2,0))</f>
        <v>0</v>
      </c>
      <c r="F3070">
        <f t="shared" si="100"/>
        <v>0</v>
      </c>
    </row>
    <row r="3071" spans="1:6">
      <c r="A3071" s="30">
        <f t="shared" si="101"/>
        <v>46161</v>
      </c>
      <c r="B3071" s="32" t="s">
        <v>206</v>
      </c>
      <c r="C3071" t="s">
        <v>206</v>
      </c>
      <c r="D3071">
        <f>IF(B3071=$AB$2,$AC$2,$AC$3)</f>
        <v>0</v>
      </c>
      <c r="E3071">
        <f>IF(ISBLANK(C3071),0,VLOOKUP(C3071,$AE$2:$AF$7,2,0))</f>
        <v>0</v>
      </c>
      <c r="F3071">
        <f t="shared" si="100"/>
        <v>0</v>
      </c>
    </row>
    <row r="3072" spans="1:6">
      <c r="A3072" s="30">
        <f t="shared" si="101"/>
        <v>46162</v>
      </c>
      <c r="B3072" s="32" t="s">
        <v>206</v>
      </c>
      <c r="C3072" t="s">
        <v>206</v>
      </c>
      <c r="D3072">
        <f>IF(B3072=$AB$2,$AC$2,$AC$3)</f>
        <v>0</v>
      </c>
      <c r="E3072">
        <f>IF(ISBLANK(C3072),0,VLOOKUP(C3072,$AE$2:$AF$7,2,0))</f>
        <v>0</v>
      </c>
      <c r="F3072">
        <f t="shared" si="100"/>
        <v>0</v>
      </c>
    </row>
    <row r="3073" spans="1:6">
      <c r="A3073" s="30">
        <f t="shared" si="101"/>
        <v>46163</v>
      </c>
      <c r="B3073" s="32" t="s">
        <v>206</v>
      </c>
      <c r="C3073" t="s">
        <v>206</v>
      </c>
      <c r="D3073">
        <f>IF(B3073=$AB$2,$AC$2,$AC$3)</f>
        <v>0</v>
      </c>
      <c r="E3073">
        <f>IF(ISBLANK(C3073),0,VLOOKUP(C3073,$AE$2:$AF$7,2,0))</f>
        <v>0</v>
      </c>
      <c r="F3073">
        <f t="shared" si="100"/>
        <v>0</v>
      </c>
    </row>
    <row r="3074" spans="1:6">
      <c r="A3074" s="30">
        <f t="shared" si="101"/>
        <v>46164</v>
      </c>
      <c r="B3074" s="32" t="s">
        <v>206</v>
      </c>
      <c r="C3074" t="s">
        <v>206</v>
      </c>
      <c r="D3074">
        <f>IF(B3074=$AB$2,$AC$2,$AC$3)</f>
        <v>0</v>
      </c>
      <c r="E3074">
        <f>IF(ISBLANK(C3074),0,VLOOKUP(C3074,$AE$2:$AF$7,2,0))</f>
        <v>0</v>
      </c>
      <c r="F3074">
        <f t="shared" si="100"/>
        <v>0</v>
      </c>
    </row>
    <row r="3075" spans="1:6">
      <c r="A3075" s="30">
        <f t="shared" si="101"/>
        <v>46165</v>
      </c>
      <c r="B3075" s="32" t="s">
        <v>206</v>
      </c>
      <c r="C3075" t="s">
        <v>206</v>
      </c>
      <c r="D3075">
        <f>IF(B3075=$AB$2,$AC$2,$AC$3)</f>
        <v>0</v>
      </c>
      <c r="E3075">
        <f>IF(ISBLANK(C3075),0,VLOOKUP(C3075,$AE$2:$AF$7,2,0))</f>
        <v>0</v>
      </c>
      <c r="F3075">
        <f t="shared" ref="F3075:F3138" si="102">D3075*E3075</f>
        <v>0</v>
      </c>
    </row>
    <row r="3076" spans="1:6">
      <c r="A3076" s="30">
        <f t="shared" si="101"/>
        <v>46166</v>
      </c>
      <c r="B3076" s="32" t="s">
        <v>206</v>
      </c>
      <c r="C3076" t="s">
        <v>206</v>
      </c>
      <c r="D3076">
        <f>IF(B3076=$AB$2,$AC$2,$AC$3)</f>
        <v>0</v>
      </c>
      <c r="E3076">
        <f>IF(ISBLANK(C3076),0,VLOOKUP(C3076,$AE$2:$AF$7,2,0))</f>
        <v>0</v>
      </c>
      <c r="F3076">
        <f t="shared" si="102"/>
        <v>0</v>
      </c>
    </row>
    <row r="3077" spans="1:6">
      <c r="A3077" s="30">
        <f t="shared" si="101"/>
        <v>46167</v>
      </c>
      <c r="B3077" s="32" t="s">
        <v>206</v>
      </c>
      <c r="C3077" t="s">
        <v>206</v>
      </c>
      <c r="D3077">
        <f>IF(B3077=$AB$2,$AC$2,$AC$3)</f>
        <v>0</v>
      </c>
      <c r="E3077">
        <f>IF(ISBLANK(C3077),0,VLOOKUP(C3077,$AE$2:$AF$7,2,0))</f>
        <v>0</v>
      </c>
      <c r="F3077">
        <f t="shared" si="102"/>
        <v>0</v>
      </c>
    </row>
    <row r="3078" spans="1:6">
      <c r="A3078" s="30">
        <f t="shared" si="101"/>
        <v>46168</v>
      </c>
      <c r="B3078" s="32" t="s">
        <v>206</v>
      </c>
      <c r="C3078" t="s">
        <v>206</v>
      </c>
      <c r="D3078">
        <f>IF(B3078=$AB$2,$AC$2,$AC$3)</f>
        <v>0</v>
      </c>
      <c r="E3078">
        <f>IF(ISBLANK(C3078),0,VLOOKUP(C3078,$AE$2:$AF$7,2,0))</f>
        <v>0</v>
      </c>
      <c r="F3078">
        <f t="shared" si="102"/>
        <v>0</v>
      </c>
    </row>
    <row r="3079" spans="1:6">
      <c r="A3079" s="30">
        <f t="shared" si="101"/>
        <v>46169</v>
      </c>
      <c r="B3079" s="32" t="s">
        <v>206</v>
      </c>
      <c r="C3079" t="s">
        <v>206</v>
      </c>
      <c r="D3079">
        <f>IF(B3079=$AB$2,$AC$2,$AC$3)</f>
        <v>0</v>
      </c>
      <c r="E3079">
        <f>IF(ISBLANK(C3079),0,VLOOKUP(C3079,$AE$2:$AF$7,2,0))</f>
        <v>0</v>
      </c>
      <c r="F3079">
        <f t="shared" si="102"/>
        <v>0</v>
      </c>
    </row>
    <row r="3080" spans="1:6">
      <c r="A3080" s="30">
        <f t="shared" si="101"/>
        <v>46170</v>
      </c>
      <c r="B3080" s="32" t="s">
        <v>206</v>
      </c>
      <c r="C3080" t="s">
        <v>206</v>
      </c>
      <c r="D3080">
        <f>IF(B3080=$AB$2,$AC$2,$AC$3)</f>
        <v>0</v>
      </c>
      <c r="E3080">
        <f>IF(ISBLANK(C3080),0,VLOOKUP(C3080,$AE$2:$AF$7,2,0))</f>
        <v>0</v>
      </c>
      <c r="F3080">
        <f t="shared" si="102"/>
        <v>0</v>
      </c>
    </row>
    <row r="3081" spans="1:6">
      <c r="A3081" s="30">
        <f>A3080+1</f>
        <v>46171</v>
      </c>
      <c r="B3081" s="32" t="s">
        <v>206</v>
      </c>
      <c r="C3081" t="s">
        <v>206</v>
      </c>
      <c r="D3081">
        <f>IF(B3081=$AB$2,$AC$2,$AC$3)</f>
        <v>0</v>
      </c>
      <c r="E3081">
        <f>IF(ISBLANK(C3081),0,VLOOKUP(C3081,$AE$2:$AF$7,2,0))</f>
        <v>0</v>
      </c>
      <c r="F3081">
        <f t="shared" si="102"/>
        <v>0</v>
      </c>
    </row>
    <row r="3082" spans="1:6">
      <c r="A3082" s="30">
        <f t="shared" ref="A3082:A3145" si="103">A3081+1</f>
        <v>46172</v>
      </c>
      <c r="B3082" s="32" t="s">
        <v>206</v>
      </c>
      <c r="C3082" t="s">
        <v>206</v>
      </c>
      <c r="D3082">
        <f>IF(B3082=$AB$2,$AC$2,$AC$3)</f>
        <v>0</v>
      </c>
      <c r="E3082">
        <f>IF(ISBLANK(C3082),0,VLOOKUP(C3082,$AE$2:$AF$7,2,0))</f>
        <v>0</v>
      </c>
      <c r="F3082">
        <f t="shared" si="102"/>
        <v>0</v>
      </c>
    </row>
    <row r="3083" spans="1:6">
      <c r="A3083" s="30">
        <f t="shared" si="103"/>
        <v>46173</v>
      </c>
      <c r="B3083" s="32" t="s">
        <v>206</v>
      </c>
      <c r="C3083" t="s">
        <v>206</v>
      </c>
      <c r="D3083">
        <f>IF(B3083=$AB$2,$AC$2,$AC$3)</f>
        <v>0</v>
      </c>
      <c r="E3083">
        <f>IF(ISBLANK(C3083),0,VLOOKUP(C3083,$AE$2:$AF$7,2,0))</f>
        <v>0</v>
      </c>
      <c r="F3083">
        <f t="shared" si="102"/>
        <v>0</v>
      </c>
    </row>
    <row r="3084" spans="1:6">
      <c r="A3084" s="30">
        <f t="shared" si="103"/>
        <v>46174</v>
      </c>
      <c r="B3084" s="32" t="s">
        <v>206</v>
      </c>
      <c r="C3084" t="s">
        <v>206</v>
      </c>
      <c r="D3084">
        <f>IF(B3084=$AB$2,$AC$2,$AC$3)</f>
        <v>0</v>
      </c>
      <c r="E3084">
        <f>IF(ISBLANK(C3084),0,VLOOKUP(C3084,$AE$2:$AF$7,2,0))</f>
        <v>0</v>
      </c>
      <c r="F3084">
        <f t="shared" si="102"/>
        <v>0</v>
      </c>
    </row>
    <row r="3085" spans="1:6">
      <c r="A3085" s="30">
        <f t="shared" si="103"/>
        <v>46175</v>
      </c>
      <c r="B3085" s="32" t="s">
        <v>206</v>
      </c>
      <c r="C3085" t="s">
        <v>206</v>
      </c>
      <c r="D3085">
        <f>IF(B3085=$AB$2,$AC$2,$AC$3)</f>
        <v>0</v>
      </c>
      <c r="E3085">
        <f>IF(ISBLANK(C3085),0,VLOOKUP(C3085,$AE$2:$AF$7,2,0))</f>
        <v>0</v>
      </c>
      <c r="F3085">
        <f t="shared" si="102"/>
        <v>0</v>
      </c>
    </row>
    <row r="3086" spans="1:6">
      <c r="A3086" s="30">
        <f t="shared" si="103"/>
        <v>46176</v>
      </c>
      <c r="B3086" s="32" t="s">
        <v>206</v>
      </c>
      <c r="C3086" t="s">
        <v>206</v>
      </c>
      <c r="D3086">
        <f>IF(B3086=$AB$2,$AC$2,$AC$3)</f>
        <v>0</v>
      </c>
      <c r="E3086">
        <f>IF(ISBLANK(C3086),0,VLOOKUP(C3086,$AE$2:$AF$7,2,0))</f>
        <v>0</v>
      </c>
      <c r="F3086">
        <f t="shared" si="102"/>
        <v>0</v>
      </c>
    </row>
    <row r="3087" spans="1:6">
      <c r="A3087" s="30">
        <f t="shared" si="103"/>
        <v>46177</v>
      </c>
      <c r="B3087" s="32" t="s">
        <v>206</v>
      </c>
      <c r="C3087" t="s">
        <v>206</v>
      </c>
      <c r="D3087">
        <f>IF(B3087=$AB$2,$AC$2,$AC$3)</f>
        <v>0</v>
      </c>
      <c r="E3087">
        <f>IF(ISBLANK(C3087),0,VLOOKUP(C3087,$AE$2:$AF$7,2,0))</f>
        <v>0</v>
      </c>
      <c r="F3087">
        <f t="shared" si="102"/>
        <v>0</v>
      </c>
    </row>
    <row r="3088" spans="1:6">
      <c r="A3088" s="30">
        <f t="shared" si="103"/>
        <v>46178</v>
      </c>
      <c r="B3088" s="32" t="s">
        <v>206</v>
      </c>
      <c r="C3088" t="s">
        <v>206</v>
      </c>
      <c r="D3088">
        <f>IF(B3088=$AB$2,$AC$2,$AC$3)</f>
        <v>0</v>
      </c>
      <c r="E3088">
        <f>IF(ISBLANK(C3088),0,VLOOKUP(C3088,$AE$2:$AF$7,2,0))</f>
        <v>0</v>
      </c>
      <c r="F3088">
        <f t="shared" si="102"/>
        <v>0</v>
      </c>
    </row>
    <row r="3089" spans="1:6">
      <c r="A3089" s="30">
        <f t="shared" si="103"/>
        <v>46179</v>
      </c>
      <c r="B3089" s="32" t="s">
        <v>206</v>
      </c>
      <c r="C3089" t="s">
        <v>206</v>
      </c>
      <c r="D3089">
        <f>IF(B3089=$AB$2,$AC$2,$AC$3)</f>
        <v>0</v>
      </c>
      <c r="E3089">
        <f>IF(ISBLANK(C3089),0,VLOOKUP(C3089,$AE$2:$AF$7,2,0))</f>
        <v>0</v>
      </c>
      <c r="F3089">
        <f t="shared" si="102"/>
        <v>0</v>
      </c>
    </row>
    <row r="3090" spans="1:6">
      <c r="A3090" s="30">
        <f t="shared" si="103"/>
        <v>46180</v>
      </c>
      <c r="B3090" s="32" t="s">
        <v>206</v>
      </c>
      <c r="C3090" t="s">
        <v>206</v>
      </c>
      <c r="D3090">
        <f>IF(B3090=$AB$2,$AC$2,$AC$3)</f>
        <v>0</v>
      </c>
      <c r="E3090">
        <f>IF(ISBLANK(C3090),0,VLOOKUP(C3090,$AE$2:$AF$7,2,0))</f>
        <v>0</v>
      </c>
      <c r="F3090">
        <f t="shared" si="102"/>
        <v>0</v>
      </c>
    </row>
    <row r="3091" spans="1:6">
      <c r="A3091" s="30">
        <f t="shared" si="103"/>
        <v>46181</v>
      </c>
      <c r="B3091" s="32" t="s">
        <v>206</v>
      </c>
      <c r="C3091" t="s">
        <v>206</v>
      </c>
      <c r="D3091">
        <f>IF(B3091=$AB$2,$AC$2,$AC$3)</f>
        <v>0</v>
      </c>
      <c r="E3091">
        <f>IF(ISBLANK(C3091),0,VLOOKUP(C3091,$AE$2:$AF$7,2,0))</f>
        <v>0</v>
      </c>
      <c r="F3091">
        <f t="shared" si="102"/>
        <v>0</v>
      </c>
    </row>
    <row r="3092" spans="1:6">
      <c r="A3092" s="30">
        <f t="shared" si="103"/>
        <v>46182</v>
      </c>
      <c r="B3092" s="32" t="s">
        <v>206</v>
      </c>
      <c r="C3092" t="s">
        <v>206</v>
      </c>
      <c r="D3092">
        <f>IF(B3092=$AB$2,$AC$2,$AC$3)</f>
        <v>0</v>
      </c>
      <c r="E3092">
        <f>IF(ISBLANK(C3092),0,VLOOKUP(C3092,$AE$2:$AF$7,2,0))</f>
        <v>0</v>
      </c>
      <c r="F3092">
        <f t="shared" si="102"/>
        <v>0</v>
      </c>
    </row>
    <row r="3093" spans="1:6">
      <c r="A3093" s="30">
        <f t="shared" si="103"/>
        <v>46183</v>
      </c>
      <c r="B3093" s="32" t="s">
        <v>206</v>
      </c>
      <c r="C3093" t="s">
        <v>206</v>
      </c>
      <c r="D3093">
        <f>IF(B3093=$AB$2,$AC$2,$AC$3)</f>
        <v>0</v>
      </c>
      <c r="E3093">
        <f>IF(ISBLANK(C3093),0,VLOOKUP(C3093,$AE$2:$AF$7,2,0))</f>
        <v>0</v>
      </c>
      <c r="F3093">
        <f t="shared" si="102"/>
        <v>0</v>
      </c>
    </row>
    <row r="3094" spans="1:6">
      <c r="A3094" s="30">
        <f t="shared" si="103"/>
        <v>46184</v>
      </c>
      <c r="B3094" s="32" t="s">
        <v>206</v>
      </c>
      <c r="C3094" t="s">
        <v>206</v>
      </c>
      <c r="D3094">
        <f>IF(B3094=$AB$2,$AC$2,$AC$3)</f>
        <v>0</v>
      </c>
      <c r="E3094">
        <f>IF(ISBLANK(C3094),0,VLOOKUP(C3094,$AE$2:$AF$7,2,0))</f>
        <v>0</v>
      </c>
      <c r="F3094">
        <f t="shared" si="102"/>
        <v>0</v>
      </c>
    </row>
    <row r="3095" spans="1:6">
      <c r="A3095" s="30">
        <f t="shared" si="103"/>
        <v>46185</v>
      </c>
      <c r="B3095" s="32" t="s">
        <v>206</v>
      </c>
      <c r="C3095" t="s">
        <v>206</v>
      </c>
      <c r="D3095">
        <f>IF(B3095=$AB$2,$AC$2,$AC$3)</f>
        <v>0</v>
      </c>
      <c r="E3095">
        <f>IF(ISBLANK(C3095),0,VLOOKUP(C3095,$AE$2:$AF$7,2,0))</f>
        <v>0</v>
      </c>
      <c r="F3095">
        <f t="shared" si="102"/>
        <v>0</v>
      </c>
    </row>
    <row r="3096" spans="1:6">
      <c r="A3096" s="30">
        <f t="shared" si="103"/>
        <v>46186</v>
      </c>
      <c r="B3096" s="32" t="s">
        <v>206</v>
      </c>
      <c r="C3096" t="s">
        <v>206</v>
      </c>
      <c r="D3096">
        <f>IF(B3096=$AB$2,$AC$2,$AC$3)</f>
        <v>0</v>
      </c>
      <c r="E3096">
        <f>IF(ISBLANK(C3096),0,VLOOKUP(C3096,$AE$2:$AF$7,2,0))</f>
        <v>0</v>
      </c>
      <c r="F3096">
        <f t="shared" si="102"/>
        <v>0</v>
      </c>
    </row>
    <row r="3097" spans="1:6">
      <c r="A3097" s="30">
        <f t="shared" si="103"/>
        <v>46187</v>
      </c>
      <c r="B3097" s="32" t="s">
        <v>206</v>
      </c>
      <c r="C3097" t="s">
        <v>206</v>
      </c>
      <c r="D3097">
        <f>IF(B3097=$AB$2,$AC$2,$AC$3)</f>
        <v>0</v>
      </c>
      <c r="E3097">
        <f>IF(ISBLANK(C3097),0,VLOOKUP(C3097,$AE$2:$AF$7,2,0))</f>
        <v>0</v>
      </c>
      <c r="F3097">
        <f t="shared" si="102"/>
        <v>0</v>
      </c>
    </row>
    <row r="3098" spans="1:6">
      <c r="A3098" s="30">
        <f t="shared" si="103"/>
        <v>46188</v>
      </c>
      <c r="B3098" s="32" t="s">
        <v>206</v>
      </c>
      <c r="C3098" t="s">
        <v>206</v>
      </c>
      <c r="D3098">
        <f>IF(B3098=$AB$2,$AC$2,$AC$3)</f>
        <v>0</v>
      </c>
      <c r="E3098">
        <f>IF(ISBLANK(C3098),0,VLOOKUP(C3098,$AE$2:$AF$7,2,0))</f>
        <v>0</v>
      </c>
      <c r="F3098">
        <f t="shared" si="102"/>
        <v>0</v>
      </c>
    </row>
    <row r="3099" spans="1:6">
      <c r="A3099" s="30">
        <f t="shared" si="103"/>
        <v>46189</v>
      </c>
      <c r="B3099" s="32" t="s">
        <v>206</v>
      </c>
      <c r="C3099" t="s">
        <v>206</v>
      </c>
      <c r="D3099">
        <f>IF(B3099=$AB$2,$AC$2,$AC$3)</f>
        <v>0</v>
      </c>
      <c r="E3099">
        <f>IF(ISBLANK(C3099),0,VLOOKUP(C3099,$AE$2:$AF$7,2,0))</f>
        <v>0</v>
      </c>
      <c r="F3099">
        <f t="shared" si="102"/>
        <v>0</v>
      </c>
    </row>
    <row r="3100" spans="1:6">
      <c r="A3100" s="30">
        <f t="shared" si="103"/>
        <v>46190</v>
      </c>
      <c r="B3100" s="32" t="s">
        <v>206</v>
      </c>
      <c r="C3100" t="s">
        <v>206</v>
      </c>
      <c r="D3100">
        <f>IF(B3100=$AB$2,$AC$2,$AC$3)</f>
        <v>0</v>
      </c>
      <c r="E3100">
        <f>IF(ISBLANK(C3100),0,VLOOKUP(C3100,$AE$2:$AF$7,2,0))</f>
        <v>0</v>
      </c>
      <c r="F3100">
        <f t="shared" si="102"/>
        <v>0</v>
      </c>
    </row>
    <row r="3101" spans="1:6">
      <c r="A3101" s="30">
        <f t="shared" si="103"/>
        <v>46191</v>
      </c>
      <c r="B3101" s="32" t="s">
        <v>206</v>
      </c>
      <c r="C3101" t="s">
        <v>206</v>
      </c>
      <c r="D3101">
        <f>IF(B3101=$AB$2,$AC$2,$AC$3)</f>
        <v>0</v>
      </c>
      <c r="E3101">
        <f>IF(ISBLANK(C3101),0,VLOOKUP(C3101,$AE$2:$AF$7,2,0))</f>
        <v>0</v>
      </c>
      <c r="F3101">
        <f t="shared" si="102"/>
        <v>0</v>
      </c>
    </row>
    <row r="3102" spans="1:6">
      <c r="A3102" s="30">
        <f t="shared" si="103"/>
        <v>46192</v>
      </c>
      <c r="B3102" s="32" t="s">
        <v>206</v>
      </c>
      <c r="C3102" t="s">
        <v>206</v>
      </c>
      <c r="D3102">
        <f>IF(B3102=$AB$2,$AC$2,$AC$3)</f>
        <v>0</v>
      </c>
      <c r="E3102">
        <f>IF(ISBLANK(C3102),0,VLOOKUP(C3102,$AE$2:$AF$7,2,0))</f>
        <v>0</v>
      </c>
      <c r="F3102">
        <f t="shared" si="102"/>
        <v>0</v>
      </c>
    </row>
    <row r="3103" spans="1:6">
      <c r="A3103" s="30">
        <f t="shared" si="103"/>
        <v>46193</v>
      </c>
      <c r="B3103" s="32" t="s">
        <v>206</v>
      </c>
      <c r="C3103" t="s">
        <v>206</v>
      </c>
      <c r="D3103">
        <f>IF(B3103=$AB$2,$AC$2,$AC$3)</f>
        <v>0</v>
      </c>
      <c r="E3103">
        <f>IF(ISBLANK(C3103),0,VLOOKUP(C3103,$AE$2:$AF$7,2,0))</f>
        <v>0</v>
      </c>
      <c r="F3103">
        <f t="shared" si="102"/>
        <v>0</v>
      </c>
    </row>
    <row r="3104" spans="1:6">
      <c r="A3104" s="30">
        <f t="shared" si="103"/>
        <v>46194</v>
      </c>
      <c r="B3104" s="32" t="s">
        <v>206</v>
      </c>
      <c r="C3104" t="s">
        <v>206</v>
      </c>
      <c r="D3104">
        <f>IF(B3104=$AB$2,$AC$2,$AC$3)</f>
        <v>0</v>
      </c>
      <c r="E3104">
        <f>IF(ISBLANK(C3104),0,VLOOKUP(C3104,$AE$2:$AF$7,2,0))</f>
        <v>0</v>
      </c>
      <c r="F3104">
        <f t="shared" si="102"/>
        <v>0</v>
      </c>
    </row>
    <row r="3105" spans="1:6">
      <c r="A3105" s="30">
        <f t="shared" si="103"/>
        <v>46195</v>
      </c>
      <c r="B3105" s="32" t="s">
        <v>206</v>
      </c>
      <c r="C3105" t="s">
        <v>206</v>
      </c>
      <c r="D3105">
        <f>IF(B3105=$AB$2,$AC$2,$AC$3)</f>
        <v>0</v>
      </c>
      <c r="E3105">
        <f>IF(ISBLANK(C3105),0,VLOOKUP(C3105,$AE$2:$AF$7,2,0))</f>
        <v>0</v>
      </c>
      <c r="F3105">
        <f t="shared" si="102"/>
        <v>0</v>
      </c>
    </row>
    <row r="3106" spans="1:6">
      <c r="A3106" s="30">
        <f t="shared" si="103"/>
        <v>46196</v>
      </c>
      <c r="B3106" s="32" t="s">
        <v>206</v>
      </c>
      <c r="C3106" t="s">
        <v>206</v>
      </c>
      <c r="D3106">
        <f>IF(B3106=$AB$2,$AC$2,$AC$3)</f>
        <v>0</v>
      </c>
      <c r="E3106">
        <f>IF(ISBLANK(C3106),0,VLOOKUP(C3106,$AE$2:$AF$7,2,0))</f>
        <v>0</v>
      </c>
      <c r="F3106">
        <f t="shared" si="102"/>
        <v>0</v>
      </c>
    </row>
    <row r="3107" spans="1:6">
      <c r="A3107" s="30">
        <f t="shared" si="103"/>
        <v>46197</v>
      </c>
      <c r="B3107" s="32" t="s">
        <v>206</v>
      </c>
      <c r="C3107" t="s">
        <v>206</v>
      </c>
      <c r="D3107">
        <f>IF(B3107=$AB$2,$AC$2,$AC$3)</f>
        <v>0</v>
      </c>
      <c r="E3107">
        <f>IF(ISBLANK(C3107),0,VLOOKUP(C3107,$AE$2:$AF$7,2,0))</f>
        <v>0</v>
      </c>
      <c r="F3107">
        <f t="shared" si="102"/>
        <v>0</v>
      </c>
    </row>
    <row r="3108" spans="1:6">
      <c r="A3108" s="30">
        <f t="shared" si="103"/>
        <v>46198</v>
      </c>
      <c r="B3108" s="32" t="s">
        <v>206</v>
      </c>
      <c r="C3108" t="s">
        <v>206</v>
      </c>
      <c r="D3108">
        <f>IF(B3108=$AB$2,$AC$2,$AC$3)</f>
        <v>0</v>
      </c>
      <c r="E3108">
        <f>IF(ISBLANK(C3108),0,VLOOKUP(C3108,$AE$2:$AF$7,2,0))</f>
        <v>0</v>
      </c>
      <c r="F3108">
        <f t="shared" si="102"/>
        <v>0</v>
      </c>
    </row>
    <row r="3109" spans="1:6">
      <c r="A3109" s="30">
        <f t="shared" si="103"/>
        <v>46199</v>
      </c>
      <c r="B3109" s="32" t="s">
        <v>206</v>
      </c>
      <c r="C3109" t="s">
        <v>206</v>
      </c>
      <c r="D3109">
        <f>IF(B3109=$AB$2,$AC$2,$AC$3)</f>
        <v>0</v>
      </c>
      <c r="E3109">
        <f>IF(ISBLANK(C3109),0,VLOOKUP(C3109,$AE$2:$AF$7,2,0))</f>
        <v>0</v>
      </c>
      <c r="F3109">
        <f t="shared" si="102"/>
        <v>0</v>
      </c>
    </row>
    <row r="3110" spans="1:6">
      <c r="A3110" s="30">
        <f t="shared" si="103"/>
        <v>46200</v>
      </c>
      <c r="B3110" s="32" t="s">
        <v>206</v>
      </c>
      <c r="C3110" t="s">
        <v>206</v>
      </c>
      <c r="D3110">
        <f>IF(B3110=$AB$2,$AC$2,$AC$3)</f>
        <v>0</v>
      </c>
      <c r="E3110">
        <f>IF(ISBLANK(C3110),0,VLOOKUP(C3110,$AE$2:$AF$7,2,0))</f>
        <v>0</v>
      </c>
      <c r="F3110">
        <f t="shared" si="102"/>
        <v>0</v>
      </c>
    </row>
    <row r="3111" spans="1:6">
      <c r="A3111" s="30">
        <f t="shared" si="103"/>
        <v>46201</v>
      </c>
      <c r="B3111" s="32" t="s">
        <v>206</v>
      </c>
      <c r="C3111" t="s">
        <v>206</v>
      </c>
      <c r="D3111">
        <f>IF(B3111=$AB$2,$AC$2,$AC$3)</f>
        <v>0</v>
      </c>
      <c r="E3111">
        <f>IF(ISBLANK(C3111),0,VLOOKUP(C3111,$AE$2:$AF$7,2,0))</f>
        <v>0</v>
      </c>
      <c r="F3111">
        <f t="shared" si="102"/>
        <v>0</v>
      </c>
    </row>
    <row r="3112" spans="1:6">
      <c r="A3112" s="30">
        <f t="shared" si="103"/>
        <v>46202</v>
      </c>
      <c r="B3112" s="32" t="s">
        <v>206</v>
      </c>
      <c r="C3112" t="s">
        <v>206</v>
      </c>
      <c r="D3112">
        <f>IF(B3112=$AB$2,$AC$2,$AC$3)</f>
        <v>0</v>
      </c>
      <c r="E3112">
        <f>IF(ISBLANK(C3112),0,VLOOKUP(C3112,$AE$2:$AF$7,2,0))</f>
        <v>0</v>
      </c>
      <c r="F3112">
        <f t="shared" si="102"/>
        <v>0</v>
      </c>
    </row>
    <row r="3113" spans="1:6">
      <c r="A3113" s="30">
        <f t="shared" si="103"/>
        <v>46203</v>
      </c>
      <c r="B3113" s="32" t="s">
        <v>206</v>
      </c>
      <c r="C3113" t="s">
        <v>206</v>
      </c>
      <c r="D3113">
        <f>IF(B3113=$AB$2,$AC$2,$AC$3)</f>
        <v>0</v>
      </c>
      <c r="E3113">
        <f>IF(ISBLANK(C3113),0,VLOOKUP(C3113,$AE$2:$AF$7,2,0))</f>
        <v>0</v>
      </c>
      <c r="F3113">
        <f t="shared" si="102"/>
        <v>0</v>
      </c>
    </row>
    <row r="3114" spans="1:6">
      <c r="A3114" s="30">
        <f t="shared" si="103"/>
        <v>46204</v>
      </c>
      <c r="B3114" s="32" t="s">
        <v>206</v>
      </c>
      <c r="C3114" t="s">
        <v>206</v>
      </c>
      <c r="D3114">
        <f>IF(B3114=$AB$2,$AC$2,$AC$3)</f>
        <v>0</v>
      </c>
      <c r="E3114">
        <f>IF(ISBLANK(C3114),0,VLOOKUP(C3114,$AE$2:$AF$7,2,0))</f>
        <v>0</v>
      </c>
      <c r="F3114">
        <f t="shared" si="102"/>
        <v>0</v>
      </c>
    </row>
    <row r="3115" spans="1:6">
      <c r="A3115" s="30">
        <f t="shared" si="103"/>
        <v>46205</v>
      </c>
      <c r="B3115" s="32" t="s">
        <v>206</v>
      </c>
      <c r="C3115" t="s">
        <v>206</v>
      </c>
      <c r="D3115">
        <f>IF(B3115=$AB$2,$AC$2,$AC$3)</f>
        <v>0</v>
      </c>
      <c r="E3115">
        <f>IF(ISBLANK(C3115),0,VLOOKUP(C3115,$AE$2:$AF$7,2,0))</f>
        <v>0</v>
      </c>
      <c r="F3115">
        <f t="shared" si="102"/>
        <v>0</v>
      </c>
    </row>
    <row r="3116" spans="1:6">
      <c r="A3116" s="30">
        <f t="shared" si="103"/>
        <v>46206</v>
      </c>
      <c r="B3116" s="32" t="s">
        <v>206</v>
      </c>
      <c r="C3116" t="s">
        <v>206</v>
      </c>
      <c r="D3116">
        <f>IF(B3116=$AB$2,$AC$2,$AC$3)</f>
        <v>0</v>
      </c>
      <c r="E3116">
        <f>IF(ISBLANK(C3116),0,VLOOKUP(C3116,$AE$2:$AF$7,2,0))</f>
        <v>0</v>
      </c>
      <c r="F3116">
        <f t="shared" si="102"/>
        <v>0</v>
      </c>
    </row>
    <row r="3117" spans="1:6">
      <c r="A3117" s="30">
        <f t="shared" si="103"/>
        <v>46207</v>
      </c>
      <c r="B3117" s="32" t="s">
        <v>206</v>
      </c>
      <c r="C3117" t="s">
        <v>206</v>
      </c>
      <c r="D3117">
        <f>IF(B3117=$AB$2,$AC$2,$AC$3)</f>
        <v>0</v>
      </c>
      <c r="E3117">
        <f>IF(ISBLANK(C3117),0,VLOOKUP(C3117,$AE$2:$AF$7,2,0))</f>
        <v>0</v>
      </c>
      <c r="F3117">
        <f t="shared" si="102"/>
        <v>0</v>
      </c>
    </row>
    <row r="3118" spans="1:6">
      <c r="A3118" s="30">
        <f t="shared" si="103"/>
        <v>46208</v>
      </c>
      <c r="B3118" s="32" t="s">
        <v>206</v>
      </c>
      <c r="C3118" t="s">
        <v>206</v>
      </c>
      <c r="D3118">
        <f>IF(B3118=$AB$2,$AC$2,$AC$3)</f>
        <v>0</v>
      </c>
      <c r="E3118">
        <f>IF(ISBLANK(C3118),0,VLOOKUP(C3118,$AE$2:$AF$7,2,0))</f>
        <v>0</v>
      </c>
      <c r="F3118">
        <f t="shared" si="102"/>
        <v>0</v>
      </c>
    </row>
    <row r="3119" spans="1:6">
      <c r="A3119" s="30">
        <f t="shared" si="103"/>
        <v>46209</v>
      </c>
      <c r="B3119" s="32" t="s">
        <v>206</v>
      </c>
      <c r="C3119" t="s">
        <v>206</v>
      </c>
      <c r="D3119">
        <f>IF(B3119=$AB$2,$AC$2,$AC$3)</f>
        <v>0</v>
      </c>
      <c r="E3119">
        <f>IF(ISBLANK(C3119),0,VLOOKUP(C3119,$AE$2:$AF$7,2,0))</f>
        <v>0</v>
      </c>
      <c r="F3119">
        <f t="shared" si="102"/>
        <v>0</v>
      </c>
    </row>
    <row r="3120" spans="1:6">
      <c r="A3120" s="30">
        <f t="shared" si="103"/>
        <v>46210</v>
      </c>
      <c r="B3120" s="32" t="s">
        <v>206</v>
      </c>
      <c r="C3120" t="s">
        <v>206</v>
      </c>
      <c r="D3120">
        <f>IF(B3120=$AB$2,$AC$2,$AC$3)</f>
        <v>0</v>
      </c>
      <c r="E3120">
        <f>IF(ISBLANK(C3120),0,VLOOKUP(C3120,$AE$2:$AF$7,2,0))</f>
        <v>0</v>
      </c>
      <c r="F3120">
        <f t="shared" si="102"/>
        <v>0</v>
      </c>
    </row>
    <row r="3121" spans="1:6">
      <c r="A3121" s="30">
        <f t="shared" si="103"/>
        <v>46211</v>
      </c>
      <c r="B3121" s="32" t="s">
        <v>206</v>
      </c>
      <c r="C3121" t="s">
        <v>206</v>
      </c>
      <c r="D3121">
        <f>IF(B3121=$AB$2,$AC$2,$AC$3)</f>
        <v>0</v>
      </c>
      <c r="E3121">
        <f>IF(ISBLANK(C3121),0,VLOOKUP(C3121,$AE$2:$AF$7,2,0))</f>
        <v>0</v>
      </c>
      <c r="F3121">
        <f t="shared" si="102"/>
        <v>0</v>
      </c>
    </row>
    <row r="3122" spans="1:6">
      <c r="A3122" s="30">
        <f t="shared" si="103"/>
        <v>46212</v>
      </c>
      <c r="B3122" s="32" t="s">
        <v>206</v>
      </c>
      <c r="C3122" t="s">
        <v>206</v>
      </c>
      <c r="D3122">
        <f>IF(B3122=$AB$2,$AC$2,$AC$3)</f>
        <v>0</v>
      </c>
      <c r="E3122">
        <f>IF(ISBLANK(C3122),0,VLOOKUP(C3122,$AE$2:$AF$7,2,0))</f>
        <v>0</v>
      </c>
      <c r="F3122">
        <f t="shared" si="102"/>
        <v>0</v>
      </c>
    </row>
    <row r="3123" spans="1:6">
      <c r="A3123" s="30">
        <f t="shared" si="103"/>
        <v>46213</v>
      </c>
      <c r="B3123" s="32" t="s">
        <v>206</v>
      </c>
      <c r="C3123" t="s">
        <v>206</v>
      </c>
      <c r="D3123">
        <f>IF(B3123=$AB$2,$AC$2,$AC$3)</f>
        <v>0</v>
      </c>
      <c r="E3123">
        <f>IF(ISBLANK(C3123),0,VLOOKUP(C3123,$AE$2:$AF$7,2,0))</f>
        <v>0</v>
      </c>
      <c r="F3123">
        <f t="shared" si="102"/>
        <v>0</v>
      </c>
    </row>
    <row r="3124" spans="1:6">
      <c r="A3124" s="30">
        <f t="shared" si="103"/>
        <v>46214</v>
      </c>
      <c r="B3124" s="32" t="s">
        <v>206</v>
      </c>
      <c r="C3124" t="s">
        <v>206</v>
      </c>
      <c r="D3124">
        <f>IF(B3124=$AB$2,$AC$2,$AC$3)</f>
        <v>0</v>
      </c>
      <c r="E3124">
        <f>IF(ISBLANK(C3124),0,VLOOKUP(C3124,$AE$2:$AF$7,2,0))</f>
        <v>0</v>
      </c>
      <c r="F3124">
        <f t="shared" si="102"/>
        <v>0</v>
      </c>
    </row>
    <row r="3125" spans="1:6">
      <c r="A3125" s="30">
        <f t="shared" si="103"/>
        <v>46215</v>
      </c>
      <c r="B3125" s="32" t="s">
        <v>206</v>
      </c>
      <c r="C3125" t="s">
        <v>206</v>
      </c>
      <c r="D3125">
        <f>IF(B3125=$AB$2,$AC$2,$AC$3)</f>
        <v>0</v>
      </c>
      <c r="E3125">
        <f>IF(ISBLANK(C3125),0,VLOOKUP(C3125,$AE$2:$AF$7,2,0))</f>
        <v>0</v>
      </c>
      <c r="F3125">
        <f t="shared" si="102"/>
        <v>0</v>
      </c>
    </row>
    <row r="3126" spans="1:6">
      <c r="A3126" s="30">
        <f t="shared" si="103"/>
        <v>46216</v>
      </c>
      <c r="B3126" s="32" t="s">
        <v>206</v>
      </c>
      <c r="C3126" t="s">
        <v>206</v>
      </c>
      <c r="D3126">
        <f>IF(B3126=$AB$2,$AC$2,$AC$3)</f>
        <v>0</v>
      </c>
      <c r="E3126">
        <f>IF(ISBLANK(C3126),0,VLOOKUP(C3126,$AE$2:$AF$7,2,0))</f>
        <v>0</v>
      </c>
      <c r="F3126">
        <f t="shared" si="102"/>
        <v>0</v>
      </c>
    </row>
    <row r="3127" spans="1:6">
      <c r="A3127" s="30">
        <f t="shared" si="103"/>
        <v>46217</v>
      </c>
      <c r="B3127" s="32" t="s">
        <v>206</v>
      </c>
      <c r="C3127" t="s">
        <v>206</v>
      </c>
      <c r="D3127">
        <f>IF(B3127=$AB$2,$AC$2,$AC$3)</f>
        <v>0</v>
      </c>
      <c r="E3127">
        <f>IF(ISBLANK(C3127),0,VLOOKUP(C3127,$AE$2:$AF$7,2,0))</f>
        <v>0</v>
      </c>
      <c r="F3127">
        <f t="shared" si="102"/>
        <v>0</v>
      </c>
    </row>
    <row r="3128" spans="1:6">
      <c r="A3128" s="30">
        <f t="shared" si="103"/>
        <v>46218</v>
      </c>
      <c r="B3128" s="32" t="s">
        <v>206</v>
      </c>
      <c r="C3128" t="s">
        <v>206</v>
      </c>
      <c r="D3128">
        <f>IF(B3128=$AB$2,$AC$2,$AC$3)</f>
        <v>0</v>
      </c>
      <c r="E3128">
        <f>IF(ISBLANK(C3128),0,VLOOKUP(C3128,$AE$2:$AF$7,2,0))</f>
        <v>0</v>
      </c>
      <c r="F3128">
        <f t="shared" si="102"/>
        <v>0</v>
      </c>
    </row>
    <row r="3129" spans="1:6">
      <c r="A3129" s="30">
        <f t="shared" si="103"/>
        <v>46219</v>
      </c>
      <c r="B3129" s="32" t="s">
        <v>206</v>
      </c>
      <c r="C3129" t="s">
        <v>206</v>
      </c>
      <c r="D3129">
        <f>IF(B3129=$AB$2,$AC$2,$AC$3)</f>
        <v>0</v>
      </c>
      <c r="E3129">
        <f>IF(ISBLANK(C3129),0,VLOOKUP(C3129,$AE$2:$AF$7,2,0))</f>
        <v>0</v>
      </c>
      <c r="F3129">
        <f t="shared" si="102"/>
        <v>0</v>
      </c>
    </row>
    <row r="3130" spans="1:6">
      <c r="A3130" s="30">
        <f t="shared" si="103"/>
        <v>46220</v>
      </c>
      <c r="B3130" s="32" t="s">
        <v>206</v>
      </c>
      <c r="C3130" t="s">
        <v>206</v>
      </c>
      <c r="D3130">
        <f>IF(B3130=$AB$2,$AC$2,$AC$3)</f>
        <v>0</v>
      </c>
      <c r="E3130">
        <f>IF(ISBLANK(C3130),0,VLOOKUP(C3130,$AE$2:$AF$7,2,0))</f>
        <v>0</v>
      </c>
      <c r="F3130">
        <f t="shared" si="102"/>
        <v>0</v>
      </c>
    </row>
    <row r="3131" spans="1:6">
      <c r="A3131" s="30">
        <f t="shared" si="103"/>
        <v>46221</v>
      </c>
      <c r="B3131" s="32" t="s">
        <v>206</v>
      </c>
      <c r="C3131" t="s">
        <v>206</v>
      </c>
      <c r="D3131">
        <f>IF(B3131=$AB$2,$AC$2,$AC$3)</f>
        <v>0</v>
      </c>
      <c r="E3131">
        <f>IF(ISBLANK(C3131),0,VLOOKUP(C3131,$AE$2:$AF$7,2,0))</f>
        <v>0</v>
      </c>
      <c r="F3131">
        <f t="shared" si="102"/>
        <v>0</v>
      </c>
    </row>
    <row r="3132" spans="1:6">
      <c r="A3132" s="30">
        <f t="shared" si="103"/>
        <v>46222</v>
      </c>
      <c r="B3132" s="32" t="s">
        <v>206</v>
      </c>
      <c r="C3132" t="s">
        <v>206</v>
      </c>
      <c r="D3132">
        <f>IF(B3132=$AB$2,$AC$2,$AC$3)</f>
        <v>0</v>
      </c>
      <c r="E3132">
        <f>IF(ISBLANK(C3132),0,VLOOKUP(C3132,$AE$2:$AF$7,2,0))</f>
        <v>0</v>
      </c>
      <c r="F3132">
        <f t="shared" si="102"/>
        <v>0</v>
      </c>
    </row>
    <row r="3133" spans="1:6">
      <c r="A3133" s="30">
        <f t="shared" si="103"/>
        <v>46223</v>
      </c>
      <c r="B3133" s="32" t="s">
        <v>206</v>
      </c>
      <c r="C3133" t="s">
        <v>206</v>
      </c>
      <c r="D3133">
        <f>IF(B3133=$AB$2,$AC$2,$AC$3)</f>
        <v>0</v>
      </c>
      <c r="E3133">
        <f>IF(ISBLANK(C3133),0,VLOOKUP(C3133,$AE$2:$AF$7,2,0))</f>
        <v>0</v>
      </c>
      <c r="F3133">
        <f t="shared" si="102"/>
        <v>0</v>
      </c>
    </row>
    <row r="3134" spans="1:6">
      <c r="A3134" s="30">
        <f t="shared" si="103"/>
        <v>46224</v>
      </c>
      <c r="B3134" s="32" t="s">
        <v>206</v>
      </c>
      <c r="C3134" t="s">
        <v>206</v>
      </c>
      <c r="D3134">
        <f>IF(B3134=$AB$2,$AC$2,$AC$3)</f>
        <v>0</v>
      </c>
      <c r="E3134">
        <f>IF(ISBLANK(C3134),0,VLOOKUP(C3134,$AE$2:$AF$7,2,0))</f>
        <v>0</v>
      </c>
      <c r="F3134">
        <f t="shared" si="102"/>
        <v>0</v>
      </c>
    </row>
    <row r="3135" spans="1:6">
      <c r="A3135" s="30">
        <f t="shared" si="103"/>
        <v>46225</v>
      </c>
      <c r="B3135" s="32" t="s">
        <v>206</v>
      </c>
      <c r="C3135" t="s">
        <v>206</v>
      </c>
      <c r="D3135">
        <f>IF(B3135=$AB$2,$AC$2,$AC$3)</f>
        <v>0</v>
      </c>
      <c r="E3135">
        <f>IF(ISBLANK(C3135),0,VLOOKUP(C3135,$AE$2:$AF$7,2,0))</f>
        <v>0</v>
      </c>
      <c r="F3135">
        <f t="shared" si="102"/>
        <v>0</v>
      </c>
    </row>
    <row r="3136" spans="1:6">
      <c r="A3136" s="30">
        <f t="shared" si="103"/>
        <v>46226</v>
      </c>
      <c r="B3136" s="32" t="s">
        <v>206</v>
      </c>
      <c r="C3136" t="s">
        <v>206</v>
      </c>
      <c r="D3136">
        <f>IF(B3136=$AB$2,$AC$2,$AC$3)</f>
        <v>0</v>
      </c>
      <c r="E3136">
        <f>IF(ISBLANK(C3136),0,VLOOKUP(C3136,$AE$2:$AF$7,2,0))</f>
        <v>0</v>
      </c>
      <c r="F3136">
        <f t="shared" si="102"/>
        <v>0</v>
      </c>
    </row>
    <row r="3137" spans="1:6">
      <c r="A3137" s="30">
        <f t="shared" si="103"/>
        <v>46227</v>
      </c>
      <c r="B3137" s="32" t="s">
        <v>206</v>
      </c>
      <c r="C3137" t="s">
        <v>206</v>
      </c>
      <c r="D3137">
        <f>IF(B3137=$AB$2,$AC$2,$AC$3)</f>
        <v>0</v>
      </c>
      <c r="E3137">
        <f>IF(ISBLANK(C3137),0,VLOOKUP(C3137,$AE$2:$AF$7,2,0))</f>
        <v>0</v>
      </c>
      <c r="F3137">
        <f t="shared" si="102"/>
        <v>0</v>
      </c>
    </row>
    <row r="3138" spans="1:6">
      <c r="A3138" s="30">
        <f t="shared" si="103"/>
        <v>46228</v>
      </c>
      <c r="B3138" s="32" t="s">
        <v>206</v>
      </c>
      <c r="C3138" t="s">
        <v>206</v>
      </c>
      <c r="D3138">
        <f>IF(B3138=$AB$2,$AC$2,$AC$3)</f>
        <v>0</v>
      </c>
      <c r="E3138">
        <f>IF(ISBLANK(C3138),0,VLOOKUP(C3138,$AE$2:$AF$7,2,0))</f>
        <v>0</v>
      </c>
      <c r="F3138">
        <f t="shared" si="102"/>
        <v>0</v>
      </c>
    </row>
    <row r="3139" spans="1:6">
      <c r="A3139" s="30">
        <f t="shared" si="103"/>
        <v>46229</v>
      </c>
      <c r="B3139" s="32" t="s">
        <v>206</v>
      </c>
      <c r="C3139" t="s">
        <v>206</v>
      </c>
      <c r="D3139">
        <f>IF(B3139=$AB$2,$AC$2,$AC$3)</f>
        <v>0</v>
      </c>
      <c r="E3139">
        <f>IF(ISBLANK(C3139),0,VLOOKUP(C3139,$AE$2:$AF$7,2,0))</f>
        <v>0</v>
      </c>
      <c r="F3139">
        <f t="shared" ref="F3139:F3202" si="104">D3139*E3139</f>
        <v>0</v>
      </c>
    </row>
    <row r="3140" spans="1:6">
      <c r="A3140" s="30">
        <f t="shared" si="103"/>
        <v>46230</v>
      </c>
      <c r="B3140" s="32" t="s">
        <v>206</v>
      </c>
      <c r="C3140" t="s">
        <v>206</v>
      </c>
      <c r="D3140">
        <f>IF(B3140=$AB$2,$AC$2,$AC$3)</f>
        <v>0</v>
      </c>
      <c r="E3140">
        <f>IF(ISBLANK(C3140),0,VLOOKUP(C3140,$AE$2:$AF$7,2,0))</f>
        <v>0</v>
      </c>
      <c r="F3140">
        <f t="shared" si="104"/>
        <v>0</v>
      </c>
    </row>
    <row r="3141" spans="1:6">
      <c r="A3141" s="30">
        <f t="shared" si="103"/>
        <v>46231</v>
      </c>
      <c r="B3141" s="32" t="s">
        <v>206</v>
      </c>
      <c r="C3141" t="s">
        <v>206</v>
      </c>
      <c r="D3141">
        <f>IF(B3141=$AB$2,$AC$2,$AC$3)</f>
        <v>0</v>
      </c>
      <c r="E3141">
        <f>IF(ISBLANK(C3141),0,VLOOKUP(C3141,$AE$2:$AF$7,2,0))</f>
        <v>0</v>
      </c>
      <c r="F3141">
        <f t="shared" si="104"/>
        <v>0</v>
      </c>
    </row>
    <row r="3142" spans="1:6">
      <c r="A3142" s="30">
        <f t="shared" si="103"/>
        <v>46232</v>
      </c>
      <c r="B3142" s="32" t="s">
        <v>206</v>
      </c>
      <c r="C3142" t="s">
        <v>206</v>
      </c>
      <c r="D3142">
        <f>IF(B3142=$AB$2,$AC$2,$AC$3)</f>
        <v>0</v>
      </c>
      <c r="E3142">
        <f>IF(ISBLANK(C3142),0,VLOOKUP(C3142,$AE$2:$AF$7,2,0))</f>
        <v>0</v>
      </c>
      <c r="F3142">
        <f t="shared" si="104"/>
        <v>0</v>
      </c>
    </row>
    <row r="3143" spans="1:6">
      <c r="A3143" s="30">
        <f t="shared" si="103"/>
        <v>46233</v>
      </c>
      <c r="B3143" s="32" t="s">
        <v>206</v>
      </c>
      <c r="C3143" t="s">
        <v>206</v>
      </c>
      <c r="D3143">
        <f>IF(B3143=$AB$2,$AC$2,$AC$3)</f>
        <v>0</v>
      </c>
      <c r="E3143">
        <f>IF(ISBLANK(C3143),0,VLOOKUP(C3143,$AE$2:$AF$7,2,0))</f>
        <v>0</v>
      </c>
      <c r="F3143">
        <f t="shared" si="104"/>
        <v>0</v>
      </c>
    </row>
    <row r="3144" spans="1:6">
      <c r="A3144" s="30">
        <f t="shared" si="103"/>
        <v>46234</v>
      </c>
      <c r="B3144" s="32" t="s">
        <v>206</v>
      </c>
      <c r="C3144" t="s">
        <v>206</v>
      </c>
      <c r="D3144">
        <f>IF(B3144=$AB$2,$AC$2,$AC$3)</f>
        <v>0</v>
      </c>
      <c r="E3144">
        <f>IF(ISBLANK(C3144),0,VLOOKUP(C3144,$AE$2:$AF$7,2,0))</f>
        <v>0</v>
      </c>
      <c r="F3144">
        <f t="shared" si="104"/>
        <v>0</v>
      </c>
    </row>
    <row r="3145" spans="1:6">
      <c r="A3145" s="30">
        <f t="shared" si="103"/>
        <v>46235</v>
      </c>
      <c r="B3145" s="32" t="s">
        <v>206</v>
      </c>
      <c r="C3145" t="s">
        <v>206</v>
      </c>
      <c r="D3145">
        <f>IF(B3145=$AB$2,$AC$2,$AC$3)</f>
        <v>0</v>
      </c>
      <c r="E3145">
        <f>IF(ISBLANK(C3145),0,VLOOKUP(C3145,$AE$2:$AF$7,2,0))</f>
        <v>0</v>
      </c>
      <c r="F3145">
        <f t="shared" si="104"/>
        <v>0</v>
      </c>
    </row>
    <row r="3146" spans="1:6">
      <c r="A3146" s="30">
        <f t="shared" ref="A3146:A3194" si="105">A3145+1</f>
        <v>46236</v>
      </c>
      <c r="B3146" s="32" t="s">
        <v>206</v>
      </c>
      <c r="C3146" t="s">
        <v>206</v>
      </c>
      <c r="D3146">
        <f>IF(B3146=$AB$2,$AC$2,$AC$3)</f>
        <v>0</v>
      </c>
      <c r="E3146">
        <f>IF(ISBLANK(C3146),0,VLOOKUP(C3146,$AE$2:$AF$7,2,0))</f>
        <v>0</v>
      </c>
      <c r="F3146">
        <f t="shared" si="104"/>
        <v>0</v>
      </c>
    </row>
    <row r="3147" spans="1:6">
      <c r="A3147" s="30">
        <f t="shared" si="105"/>
        <v>46237</v>
      </c>
      <c r="B3147" s="32" t="s">
        <v>206</v>
      </c>
      <c r="C3147" t="s">
        <v>206</v>
      </c>
      <c r="D3147">
        <f>IF(B3147=$AB$2,$AC$2,$AC$3)</f>
        <v>0</v>
      </c>
      <c r="E3147">
        <f>IF(ISBLANK(C3147),0,VLOOKUP(C3147,$AE$2:$AF$7,2,0))</f>
        <v>0</v>
      </c>
      <c r="F3147">
        <f t="shared" si="104"/>
        <v>0</v>
      </c>
    </row>
    <row r="3148" spans="1:6">
      <c r="A3148" s="30">
        <f t="shared" si="105"/>
        <v>46238</v>
      </c>
      <c r="B3148" s="32" t="s">
        <v>206</v>
      </c>
      <c r="C3148" t="s">
        <v>206</v>
      </c>
      <c r="D3148">
        <f>IF(B3148=$AB$2,$AC$2,$AC$3)</f>
        <v>0</v>
      </c>
      <c r="E3148">
        <f>IF(ISBLANK(C3148),0,VLOOKUP(C3148,$AE$2:$AF$7,2,0))</f>
        <v>0</v>
      </c>
      <c r="F3148">
        <f t="shared" si="104"/>
        <v>0</v>
      </c>
    </row>
    <row r="3149" spans="1:6">
      <c r="A3149" s="30">
        <f t="shared" si="105"/>
        <v>46239</v>
      </c>
      <c r="B3149" s="32" t="s">
        <v>206</v>
      </c>
      <c r="C3149" t="s">
        <v>206</v>
      </c>
      <c r="D3149">
        <f>IF(B3149=$AB$2,$AC$2,$AC$3)</f>
        <v>0</v>
      </c>
      <c r="E3149">
        <f>IF(ISBLANK(C3149),0,VLOOKUP(C3149,$AE$2:$AF$7,2,0))</f>
        <v>0</v>
      </c>
      <c r="F3149">
        <f t="shared" si="104"/>
        <v>0</v>
      </c>
    </row>
    <row r="3150" spans="1:6">
      <c r="A3150" s="30">
        <f t="shared" si="105"/>
        <v>46240</v>
      </c>
      <c r="B3150" s="32" t="s">
        <v>206</v>
      </c>
      <c r="C3150" t="s">
        <v>206</v>
      </c>
      <c r="D3150">
        <f>IF(B3150=$AB$2,$AC$2,$AC$3)</f>
        <v>0</v>
      </c>
      <c r="E3150">
        <f>IF(ISBLANK(C3150),0,VLOOKUP(C3150,$AE$2:$AF$7,2,0))</f>
        <v>0</v>
      </c>
      <c r="F3150">
        <f t="shared" si="104"/>
        <v>0</v>
      </c>
    </row>
    <row r="3151" spans="1:6">
      <c r="A3151" s="30">
        <f t="shared" si="105"/>
        <v>46241</v>
      </c>
      <c r="B3151" s="32" t="s">
        <v>206</v>
      </c>
      <c r="C3151" t="s">
        <v>206</v>
      </c>
      <c r="D3151">
        <f>IF(B3151=$AB$2,$AC$2,$AC$3)</f>
        <v>0</v>
      </c>
      <c r="E3151">
        <f>IF(ISBLANK(C3151),0,VLOOKUP(C3151,$AE$2:$AF$7,2,0))</f>
        <v>0</v>
      </c>
      <c r="F3151">
        <f t="shared" si="104"/>
        <v>0</v>
      </c>
    </row>
    <row r="3152" spans="1:6">
      <c r="A3152" s="30">
        <f t="shared" si="105"/>
        <v>46242</v>
      </c>
      <c r="B3152" s="32" t="s">
        <v>206</v>
      </c>
      <c r="C3152" t="s">
        <v>206</v>
      </c>
      <c r="D3152">
        <f>IF(B3152=$AB$2,$AC$2,$AC$3)</f>
        <v>0</v>
      </c>
      <c r="E3152">
        <f>IF(ISBLANK(C3152),0,VLOOKUP(C3152,$AE$2:$AF$7,2,0))</f>
        <v>0</v>
      </c>
      <c r="F3152">
        <f t="shared" si="104"/>
        <v>0</v>
      </c>
    </row>
    <row r="3153" spans="1:6">
      <c r="A3153" s="30">
        <f t="shared" si="105"/>
        <v>46243</v>
      </c>
      <c r="B3153" s="32" t="s">
        <v>206</v>
      </c>
      <c r="C3153" t="s">
        <v>206</v>
      </c>
      <c r="D3153">
        <f>IF(B3153=$AB$2,$AC$2,$AC$3)</f>
        <v>0</v>
      </c>
      <c r="E3153">
        <f>IF(ISBLANK(C3153),0,VLOOKUP(C3153,$AE$2:$AF$7,2,0))</f>
        <v>0</v>
      </c>
      <c r="F3153">
        <f t="shared" si="104"/>
        <v>0</v>
      </c>
    </row>
    <row r="3154" spans="1:6">
      <c r="A3154" s="30">
        <f t="shared" si="105"/>
        <v>46244</v>
      </c>
      <c r="B3154" s="32" t="s">
        <v>206</v>
      </c>
      <c r="C3154" t="s">
        <v>206</v>
      </c>
      <c r="D3154">
        <f>IF(B3154=$AB$2,$AC$2,$AC$3)</f>
        <v>0</v>
      </c>
      <c r="E3154">
        <f>IF(ISBLANK(C3154),0,VLOOKUP(C3154,$AE$2:$AF$7,2,0))</f>
        <v>0</v>
      </c>
      <c r="F3154">
        <f t="shared" si="104"/>
        <v>0</v>
      </c>
    </row>
    <row r="3155" spans="1:6">
      <c r="A3155" s="30">
        <f t="shared" si="105"/>
        <v>46245</v>
      </c>
      <c r="B3155" s="32" t="s">
        <v>206</v>
      </c>
      <c r="C3155" t="s">
        <v>206</v>
      </c>
      <c r="D3155">
        <f>IF(B3155=$AB$2,$AC$2,$AC$3)</f>
        <v>0</v>
      </c>
      <c r="E3155">
        <f>IF(ISBLANK(C3155),0,VLOOKUP(C3155,$AE$2:$AF$7,2,0))</f>
        <v>0</v>
      </c>
      <c r="F3155">
        <f t="shared" si="104"/>
        <v>0</v>
      </c>
    </row>
    <row r="3156" spans="1:6">
      <c r="A3156" s="30">
        <f t="shared" si="105"/>
        <v>46246</v>
      </c>
      <c r="B3156" s="32" t="s">
        <v>206</v>
      </c>
      <c r="C3156" t="s">
        <v>206</v>
      </c>
      <c r="D3156">
        <f>IF(B3156=$AB$2,$AC$2,$AC$3)</f>
        <v>0</v>
      </c>
      <c r="E3156">
        <f>IF(ISBLANK(C3156),0,VLOOKUP(C3156,$AE$2:$AF$7,2,0))</f>
        <v>0</v>
      </c>
      <c r="F3156">
        <f t="shared" si="104"/>
        <v>0</v>
      </c>
    </row>
    <row r="3157" spans="1:6">
      <c r="A3157" s="30">
        <f t="shared" si="105"/>
        <v>46247</v>
      </c>
      <c r="B3157" s="32" t="s">
        <v>206</v>
      </c>
      <c r="C3157" t="s">
        <v>206</v>
      </c>
      <c r="D3157">
        <f>IF(B3157=$AB$2,$AC$2,$AC$3)</f>
        <v>0</v>
      </c>
      <c r="E3157">
        <f>IF(ISBLANK(C3157),0,VLOOKUP(C3157,$AE$2:$AF$7,2,0))</f>
        <v>0</v>
      </c>
      <c r="F3157">
        <f t="shared" si="104"/>
        <v>0</v>
      </c>
    </row>
    <row r="3158" spans="1:6">
      <c r="A3158" s="30">
        <f t="shared" si="105"/>
        <v>46248</v>
      </c>
      <c r="B3158" s="32" t="s">
        <v>206</v>
      </c>
      <c r="C3158" t="s">
        <v>206</v>
      </c>
      <c r="D3158">
        <f>IF(B3158=$AB$2,$AC$2,$AC$3)</f>
        <v>0</v>
      </c>
      <c r="E3158">
        <f>IF(ISBLANK(C3158),0,VLOOKUP(C3158,$AE$2:$AF$7,2,0))</f>
        <v>0</v>
      </c>
      <c r="F3158">
        <f t="shared" si="104"/>
        <v>0</v>
      </c>
    </row>
    <row r="3159" spans="1:6">
      <c r="A3159" s="30">
        <f t="shared" si="105"/>
        <v>46249</v>
      </c>
      <c r="B3159" s="32" t="s">
        <v>206</v>
      </c>
      <c r="C3159" t="s">
        <v>206</v>
      </c>
      <c r="D3159">
        <f>IF(B3159=$AB$2,$AC$2,$AC$3)</f>
        <v>0</v>
      </c>
      <c r="E3159">
        <f>IF(ISBLANK(C3159),0,VLOOKUP(C3159,$AE$2:$AF$7,2,0))</f>
        <v>0</v>
      </c>
      <c r="F3159">
        <f t="shared" si="104"/>
        <v>0</v>
      </c>
    </row>
    <row r="3160" spans="1:6">
      <c r="A3160" s="30">
        <f t="shared" si="105"/>
        <v>46250</v>
      </c>
      <c r="B3160" s="32" t="s">
        <v>206</v>
      </c>
      <c r="C3160" t="s">
        <v>206</v>
      </c>
      <c r="D3160">
        <f>IF(B3160=$AB$2,$AC$2,$AC$3)</f>
        <v>0</v>
      </c>
      <c r="E3160">
        <f>IF(ISBLANK(C3160),0,VLOOKUP(C3160,$AE$2:$AF$7,2,0))</f>
        <v>0</v>
      </c>
      <c r="F3160">
        <f t="shared" si="104"/>
        <v>0</v>
      </c>
    </row>
    <row r="3161" spans="1:6">
      <c r="A3161" s="30">
        <f t="shared" si="105"/>
        <v>46251</v>
      </c>
      <c r="B3161" s="32" t="s">
        <v>206</v>
      </c>
      <c r="C3161" t="s">
        <v>206</v>
      </c>
      <c r="D3161">
        <f>IF(B3161=$AB$2,$AC$2,$AC$3)</f>
        <v>0</v>
      </c>
      <c r="E3161">
        <f>IF(ISBLANK(C3161),0,VLOOKUP(C3161,$AE$2:$AF$7,2,0))</f>
        <v>0</v>
      </c>
      <c r="F3161">
        <f t="shared" si="104"/>
        <v>0</v>
      </c>
    </row>
    <row r="3162" spans="1:6">
      <c r="A3162" s="30">
        <f t="shared" si="105"/>
        <v>46252</v>
      </c>
      <c r="B3162" s="32" t="s">
        <v>206</v>
      </c>
      <c r="C3162" t="s">
        <v>206</v>
      </c>
      <c r="D3162">
        <f>IF(B3162=$AB$2,$AC$2,$AC$3)</f>
        <v>0</v>
      </c>
      <c r="E3162">
        <f>IF(ISBLANK(C3162),0,VLOOKUP(C3162,$AE$2:$AF$7,2,0))</f>
        <v>0</v>
      </c>
      <c r="F3162">
        <f t="shared" si="104"/>
        <v>0</v>
      </c>
    </row>
    <row r="3163" spans="1:6">
      <c r="A3163" s="30">
        <f t="shared" si="105"/>
        <v>46253</v>
      </c>
      <c r="B3163" s="32" t="s">
        <v>206</v>
      </c>
      <c r="C3163" t="s">
        <v>206</v>
      </c>
      <c r="D3163">
        <f>IF(B3163=$AB$2,$AC$2,$AC$3)</f>
        <v>0</v>
      </c>
      <c r="E3163">
        <f>IF(ISBLANK(C3163),0,VLOOKUP(C3163,$AE$2:$AF$7,2,0))</f>
        <v>0</v>
      </c>
      <c r="F3163">
        <f t="shared" si="104"/>
        <v>0</v>
      </c>
    </row>
    <row r="3164" spans="1:6">
      <c r="A3164" s="30">
        <f t="shared" si="105"/>
        <v>46254</v>
      </c>
      <c r="B3164" s="32" t="s">
        <v>206</v>
      </c>
      <c r="C3164" t="s">
        <v>206</v>
      </c>
      <c r="D3164">
        <f>IF(B3164=$AB$2,$AC$2,$AC$3)</f>
        <v>0</v>
      </c>
      <c r="E3164">
        <f>IF(ISBLANK(C3164),0,VLOOKUP(C3164,$AE$2:$AF$7,2,0))</f>
        <v>0</v>
      </c>
      <c r="F3164">
        <f t="shared" si="104"/>
        <v>0</v>
      </c>
    </row>
    <row r="3165" spans="1:6">
      <c r="A3165" s="30">
        <f t="shared" si="105"/>
        <v>46255</v>
      </c>
      <c r="B3165" s="32" t="s">
        <v>206</v>
      </c>
      <c r="C3165" t="s">
        <v>206</v>
      </c>
      <c r="D3165">
        <f>IF(B3165=$AB$2,$AC$2,$AC$3)</f>
        <v>0</v>
      </c>
      <c r="E3165">
        <f>IF(ISBLANK(C3165),0,VLOOKUP(C3165,$AE$2:$AF$7,2,0))</f>
        <v>0</v>
      </c>
      <c r="F3165">
        <f t="shared" si="104"/>
        <v>0</v>
      </c>
    </row>
    <row r="3166" spans="1:6">
      <c r="A3166" s="30">
        <f t="shared" si="105"/>
        <v>46256</v>
      </c>
      <c r="B3166" s="32" t="s">
        <v>206</v>
      </c>
      <c r="C3166" t="s">
        <v>206</v>
      </c>
      <c r="D3166">
        <f>IF(B3166=$AB$2,$AC$2,$AC$3)</f>
        <v>0</v>
      </c>
      <c r="E3166">
        <f>IF(ISBLANK(C3166),0,VLOOKUP(C3166,$AE$2:$AF$7,2,0))</f>
        <v>0</v>
      </c>
      <c r="F3166">
        <f t="shared" si="104"/>
        <v>0</v>
      </c>
    </row>
    <row r="3167" spans="1:6">
      <c r="A3167" s="30">
        <f t="shared" si="105"/>
        <v>46257</v>
      </c>
      <c r="B3167" s="32" t="s">
        <v>206</v>
      </c>
      <c r="C3167" t="s">
        <v>206</v>
      </c>
      <c r="D3167">
        <f>IF(B3167=$AB$2,$AC$2,$AC$3)</f>
        <v>0</v>
      </c>
      <c r="E3167">
        <f>IF(ISBLANK(C3167),0,VLOOKUP(C3167,$AE$2:$AF$7,2,0))</f>
        <v>0</v>
      </c>
      <c r="F3167">
        <f t="shared" si="104"/>
        <v>0</v>
      </c>
    </row>
    <row r="3168" spans="1:6">
      <c r="A3168" s="30">
        <f t="shared" si="105"/>
        <v>46258</v>
      </c>
      <c r="B3168" s="32" t="s">
        <v>206</v>
      </c>
      <c r="C3168" t="s">
        <v>206</v>
      </c>
      <c r="D3168">
        <f>IF(B3168=$AB$2,$AC$2,$AC$3)</f>
        <v>0</v>
      </c>
      <c r="E3168">
        <f>IF(ISBLANK(C3168),0,VLOOKUP(C3168,$AE$2:$AF$7,2,0))</f>
        <v>0</v>
      </c>
      <c r="F3168">
        <f t="shared" si="104"/>
        <v>0</v>
      </c>
    </row>
    <row r="3169" spans="1:6">
      <c r="A3169" s="30">
        <f t="shared" si="105"/>
        <v>46259</v>
      </c>
      <c r="B3169" s="32" t="s">
        <v>206</v>
      </c>
      <c r="C3169" t="s">
        <v>206</v>
      </c>
      <c r="D3169">
        <f>IF(B3169=$AB$2,$AC$2,$AC$3)</f>
        <v>0</v>
      </c>
      <c r="E3169">
        <f>IF(ISBLANK(C3169),0,VLOOKUP(C3169,$AE$2:$AF$7,2,0))</f>
        <v>0</v>
      </c>
      <c r="F3169">
        <f t="shared" si="104"/>
        <v>0</v>
      </c>
    </row>
    <row r="3170" spans="1:6">
      <c r="A3170" s="30">
        <f t="shared" si="105"/>
        <v>46260</v>
      </c>
      <c r="B3170" s="32" t="s">
        <v>206</v>
      </c>
      <c r="C3170" t="s">
        <v>206</v>
      </c>
      <c r="D3170">
        <f>IF(B3170=$AB$2,$AC$2,$AC$3)</f>
        <v>0</v>
      </c>
      <c r="E3170">
        <f>IF(ISBLANK(C3170),0,VLOOKUP(C3170,$AE$2:$AF$7,2,0))</f>
        <v>0</v>
      </c>
      <c r="F3170">
        <f t="shared" si="104"/>
        <v>0</v>
      </c>
    </row>
    <row r="3171" spans="1:6">
      <c r="A3171" s="30">
        <f t="shared" si="105"/>
        <v>46261</v>
      </c>
      <c r="B3171" s="32" t="s">
        <v>206</v>
      </c>
      <c r="C3171" t="s">
        <v>206</v>
      </c>
      <c r="D3171">
        <f>IF(B3171=$AB$2,$AC$2,$AC$3)</f>
        <v>0</v>
      </c>
      <c r="E3171">
        <f>IF(ISBLANK(C3171),0,VLOOKUP(C3171,$AE$2:$AF$7,2,0))</f>
        <v>0</v>
      </c>
      <c r="F3171">
        <f t="shared" si="104"/>
        <v>0</v>
      </c>
    </row>
    <row r="3172" spans="1:6">
      <c r="A3172" s="30">
        <f t="shared" si="105"/>
        <v>46262</v>
      </c>
      <c r="B3172" s="32" t="s">
        <v>206</v>
      </c>
      <c r="C3172" t="s">
        <v>206</v>
      </c>
      <c r="D3172">
        <f>IF(B3172=$AB$2,$AC$2,$AC$3)</f>
        <v>0</v>
      </c>
      <c r="E3172">
        <f>IF(ISBLANK(C3172),0,VLOOKUP(C3172,$AE$2:$AF$7,2,0))</f>
        <v>0</v>
      </c>
      <c r="F3172">
        <f t="shared" si="104"/>
        <v>0</v>
      </c>
    </row>
    <row r="3173" spans="1:6">
      <c r="A3173" s="30">
        <f t="shared" si="105"/>
        <v>46263</v>
      </c>
      <c r="B3173" s="32" t="s">
        <v>206</v>
      </c>
      <c r="C3173" t="s">
        <v>206</v>
      </c>
      <c r="D3173">
        <f>IF(B3173=$AB$2,$AC$2,$AC$3)</f>
        <v>0</v>
      </c>
      <c r="E3173">
        <f>IF(ISBLANK(C3173),0,VLOOKUP(C3173,$AE$2:$AF$7,2,0))</f>
        <v>0</v>
      </c>
      <c r="F3173">
        <f t="shared" si="104"/>
        <v>0</v>
      </c>
    </row>
    <row r="3174" spans="1:6">
      <c r="A3174" s="30">
        <f t="shared" si="105"/>
        <v>46264</v>
      </c>
      <c r="B3174" s="32" t="s">
        <v>206</v>
      </c>
      <c r="C3174" t="s">
        <v>206</v>
      </c>
      <c r="D3174">
        <f>IF(B3174=$AB$2,$AC$2,$AC$3)</f>
        <v>0</v>
      </c>
      <c r="E3174">
        <f>IF(ISBLANK(C3174),0,VLOOKUP(C3174,$AE$2:$AF$7,2,0))</f>
        <v>0</v>
      </c>
      <c r="F3174">
        <f t="shared" si="104"/>
        <v>0</v>
      </c>
    </row>
    <row r="3175" spans="1:6">
      <c r="A3175" s="30">
        <f t="shared" si="105"/>
        <v>46265</v>
      </c>
      <c r="B3175" s="32" t="s">
        <v>206</v>
      </c>
      <c r="C3175" t="s">
        <v>206</v>
      </c>
      <c r="D3175">
        <f>IF(B3175=$AB$2,$AC$2,$AC$3)</f>
        <v>0</v>
      </c>
      <c r="E3175">
        <f>IF(ISBLANK(C3175),0,VLOOKUP(C3175,$AE$2:$AF$7,2,0))</f>
        <v>0</v>
      </c>
      <c r="F3175">
        <f t="shared" si="104"/>
        <v>0</v>
      </c>
    </row>
    <row r="3176" spans="1:6">
      <c r="A3176" s="30">
        <f t="shared" si="105"/>
        <v>46266</v>
      </c>
      <c r="B3176" s="32" t="s">
        <v>206</v>
      </c>
      <c r="C3176" t="s">
        <v>206</v>
      </c>
      <c r="D3176">
        <f>IF(B3176=$AB$2,$AC$2,$AC$3)</f>
        <v>0</v>
      </c>
      <c r="E3176">
        <f>IF(ISBLANK(C3176),0,VLOOKUP(C3176,$AE$2:$AF$7,2,0))</f>
        <v>0</v>
      </c>
      <c r="F3176">
        <f t="shared" si="104"/>
        <v>0</v>
      </c>
    </row>
    <row r="3177" spans="1:6">
      <c r="A3177" s="30">
        <f t="shared" si="105"/>
        <v>46267</v>
      </c>
      <c r="B3177" s="32" t="s">
        <v>206</v>
      </c>
      <c r="C3177" t="s">
        <v>206</v>
      </c>
      <c r="D3177">
        <f>IF(B3177=$AB$2,$AC$2,$AC$3)</f>
        <v>0</v>
      </c>
      <c r="E3177">
        <f>IF(ISBLANK(C3177),0,VLOOKUP(C3177,$AE$2:$AF$7,2,0))</f>
        <v>0</v>
      </c>
      <c r="F3177">
        <f t="shared" si="104"/>
        <v>0</v>
      </c>
    </row>
    <row r="3178" spans="1:6">
      <c r="A3178" s="30">
        <f t="shared" si="105"/>
        <v>46268</v>
      </c>
      <c r="B3178" s="32" t="s">
        <v>206</v>
      </c>
      <c r="C3178" t="s">
        <v>206</v>
      </c>
      <c r="D3178">
        <f>IF(B3178=$AB$2,$AC$2,$AC$3)</f>
        <v>0</v>
      </c>
      <c r="E3178">
        <f>IF(ISBLANK(C3178),0,VLOOKUP(C3178,$AE$2:$AF$7,2,0))</f>
        <v>0</v>
      </c>
      <c r="F3178">
        <f t="shared" si="104"/>
        <v>0</v>
      </c>
    </row>
    <row r="3179" spans="1:6">
      <c r="A3179" s="30">
        <f t="shared" si="105"/>
        <v>46269</v>
      </c>
      <c r="B3179" s="32" t="s">
        <v>206</v>
      </c>
      <c r="C3179" t="s">
        <v>206</v>
      </c>
      <c r="D3179">
        <f>IF(B3179=$AB$2,$AC$2,$AC$3)</f>
        <v>0</v>
      </c>
      <c r="E3179">
        <f>IF(ISBLANK(C3179),0,VLOOKUP(C3179,$AE$2:$AF$7,2,0))</f>
        <v>0</v>
      </c>
      <c r="F3179">
        <f t="shared" si="104"/>
        <v>0</v>
      </c>
    </row>
    <row r="3180" spans="1:6">
      <c r="A3180" s="30">
        <f t="shared" si="105"/>
        <v>46270</v>
      </c>
      <c r="B3180" s="32" t="s">
        <v>206</v>
      </c>
      <c r="C3180" t="s">
        <v>206</v>
      </c>
      <c r="D3180">
        <f>IF(B3180=$AB$2,$AC$2,$AC$3)</f>
        <v>0</v>
      </c>
      <c r="E3180">
        <f>IF(ISBLANK(C3180),0,VLOOKUP(C3180,$AE$2:$AF$7,2,0))</f>
        <v>0</v>
      </c>
      <c r="F3180">
        <f t="shared" si="104"/>
        <v>0</v>
      </c>
    </row>
    <row r="3181" spans="1:6">
      <c r="A3181" s="30">
        <f t="shared" si="105"/>
        <v>46271</v>
      </c>
      <c r="B3181" s="32" t="s">
        <v>206</v>
      </c>
      <c r="C3181" t="s">
        <v>206</v>
      </c>
      <c r="D3181">
        <f>IF(B3181=$AB$2,$AC$2,$AC$3)</f>
        <v>0</v>
      </c>
      <c r="E3181">
        <f>IF(ISBLANK(C3181),0,VLOOKUP(C3181,$AE$2:$AF$7,2,0))</f>
        <v>0</v>
      </c>
      <c r="F3181">
        <f t="shared" si="104"/>
        <v>0</v>
      </c>
    </row>
    <row r="3182" spans="1:6">
      <c r="A3182" s="30">
        <f t="shared" si="105"/>
        <v>46272</v>
      </c>
      <c r="B3182" s="32" t="s">
        <v>206</v>
      </c>
      <c r="C3182" t="s">
        <v>206</v>
      </c>
      <c r="D3182">
        <f>IF(B3182=$AB$2,$AC$2,$AC$3)</f>
        <v>0</v>
      </c>
      <c r="E3182">
        <f>IF(ISBLANK(C3182),0,VLOOKUP(C3182,$AE$2:$AF$7,2,0))</f>
        <v>0</v>
      </c>
      <c r="F3182">
        <f t="shared" si="104"/>
        <v>0</v>
      </c>
    </row>
    <row r="3183" spans="1:6">
      <c r="A3183" s="30">
        <f t="shared" si="105"/>
        <v>46273</v>
      </c>
      <c r="B3183" s="32" t="s">
        <v>206</v>
      </c>
      <c r="C3183" t="s">
        <v>206</v>
      </c>
      <c r="D3183">
        <f>IF(B3183=$AB$2,$AC$2,$AC$3)</f>
        <v>0</v>
      </c>
      <c r="E3183">
        <f>IF(ISBLANK(C3183),0,VLOOKUP(C3183,$AE$2:$AF$7,2,0))</f>
        <v>0</v>
      </c>
      <c r="F3183">
        <f t="shared" si="104"/>
        <v>0</v>
      </c>
    </row>
    <row r="3184" spans="1:6">
      <c r="A3184" s="30">
        <f t="shared" si="105"/>
        <v>46274</v>
      </c>
      <c r="B3184" s="32" t="s">
        <v>206</v>
      </c>
      <c r="C3184" t="s">
        <v>206</v>
      </c>
      <c r="D3184">
        <f>IF(B3184=$AB$2,$AC$2,$AC$3)</f>
        <v>0</v>
      </c>
      <c r="E3184">
        <f>IF(ISBLANK(C3184),0,VLOOKUP(C3184,$AE$2:$AF$7,2,0))</f>
        <v>0</v>
      </c>
      <c r="F3184">
        <f t="shared" si="104"/>
        <v>0</v>
      </c>
    </row>
    <row r="3185" spans="1:6">
      <c r="A3185" s="30">
        <f t="shared" si="105"/>
        <v>46275</v>
      </c>
      <c r="B3185" s="32" t="s">
        <v>206</v>
      </c>
      <c r="C3185" t="s">
        <v>206</v>
      </c>
      <c r="D3185">
        <f>IF(B3185=$AB$2,$AC$2,$AC$3)</f>
        <v>0</v>
      </c>
      <c r="E3185">
        <f>IF(ISBLANK(C3185),0,VLOOKUP(C3185,$AE$2:$AF$7,2,0))</f>
        <v>0</v>
      </c>
      <c r="F3185">
        <f t="shared" si="104"/>
        <v>0</v>
      </c>
    </row>
    <row r="3186" spans="1:6">
      <c r="A3186" s="30">
        <f t="shared" si="105"/>
        <v>46276</v>
      </c>
      <c r="B3186" s="32" t="s">
        <v>206</v>
      </c>
      <c r="C3186" t="s">
        <v>206</v>
      </c>
      <c r="D3186">
        <f>IF(B3186=$AB$2,$AC$2,$AC$3)</f>
        <v>0</v>
      </c>
      <c r="E3186">
        <f>IF(ISBLANK(C3186),0,VLOOKUP(C3186,$AE$2:$AF$7,2,0))</f>
        <v>0</v>
      </c>
      <c r="F3186">
        <f t="shared" si="104"/>
        <v>0</v>
      </c>
    </row>
    <row r="3187" spans="1:6">
      <c r="A3187" s="30">
        <f t="shared" si="105"/>
        <v>46277</v>
      </c>
      <c r="B3187" s="32" t="s">
        <v>206</v>
      </c>
      <c r="C3187" t="s">
        <v>206</v>
      </c>
      <c r="D3187">
        <f>IF(B3187=$AB$2,$AC$2,$AC$3)</f>
        <v>0</v>
      </c>
      <c r="E3187">
        <f>IF(ISBLANK(C3187),0,VLOOKUP(C3187,$AE$2:$AF$7,2,0))</f>
        <v>0</v>
      </c>
      <c r="F3187">
        <f t="shared" si="104"/>
        <v>0</v>
      </c>
    </row>
    <row r="3188" spans="1:6">
      <c r="A3188" s="30">
        <f t="shared" si="105"/>
        <v>46278</v>
      </c>
      <c r="B3188" s="32" t="s">
        <v>206</v>
      </c>
      <c r="C3188" t="s">
        <v>206</v>
      </c>
      <c r="D3188">
        <f>IF(B3188=$AB$2,$AC$2,$AC$3)</f>
        <v>0</v>
      </c>
      <c r="E3188">
        <f>IF(ISBLANK(C3188),0,VLOOKUP(C3188,$AE$2:$AF$7,2,0))</f>
        <v>0</v>
      </c>
      <c r="F3188">
        <f t="shared" si="104"/>
        <v>0</v>
      </c>
    </row>
    <row r="3189" spans="1:6">
      <c r="A3189" s="30">
        <f t="shared" si="105"/>
        <v>46279</v>
      </c>
      <c r="B3189" s="32" t="s">
        <v>206</v>
      </c>
      <c r="C3189" t="s">
        <v>206</v>
      </c>
      <c r="D3189">
        <f>IF(B3189=$AB$2,$AC$2,$AC$3)</f>
        <v>0</v>
      </c>
      <c r="E3189">
        <f>IF(ISBLANK(C3189),0,VLOOKUP(C3189,$AE$2:$AF$7,2,0))</f>
        <v>0</v>
      </c>
      <c r="F3189">
        <f t="shared" si="104"/>
        <v>0</v>
      </c>
    </row>
    <row r="3190" spans="1:6">
      <c r="A3190" s="30">
        <f t="shared" si="105"/>
        <v>46280</v>
      </c>
      <c r="B3190" s="32" t="s">
        <v>206</v>
      </c>
      <c r="C3190" t="s">
        <v>206</v>
      </c>
      <c r="D3190">
        <f>IF(B3190=$AB$2,$AC$2,$AC$3)</f>
        <v>0</v>
      </c>
      <c r="E3190">
        <f>IF(ISBLANK(C3190),0,VLOOKUP(C3190,$AE$2:$AF$7,2,0))</f>
        <v>0</v>
      </c>
      <c r="F3190">
        <f t="shared" si="104"/>
        <v>0</v>
      </c>
    </row>
    <row r="3191" spans="1:6">
      <c r="A3191" s="30">
        <f t="shared" si="105"/>
        <v>46281</v>
      </c>
      <c r="B3191" s="32" t="s">
        <v>206</v>
      </c>
      <c r="C3191" t="s">
        <v>206</v>
      </c>
      <c r="D3191">
        <f>IF(B3191=$AB$2,$AC$2,$AC$3)</f>
        <v>0</v>
      </c>
      <c r="E3191">
        <f>IF(ISBLANK(C3191),0,VLOOKUP(C3191,$AE$2:$AF$7,2,0))</f>
        <v>0</v>
      </c>
      <c r="F3191">
        <f t="shared" si="104"/>
        <v>0</v>
      </c>
    </row>
    <row r="3192" spans="1:6">
      <c r="A3192" s="30">
        <f t="shared" si="105"/>
        <v>46282</v>
      </c>
      <c r="B3192" s="32" t="s">
        <v>206</v>
      </c>
      <c r="C3192" t="s">
        <v>206</v>
      </c>
      <c r="D3192">
        <f>IF(B3192=$AB$2,$AC$2,$AC$3)</f>
        <v>0</v>
      </c>
      <c r="E3192">
        <f>IF(ISBLANK(C3192),0,VLOOKUP(C3192,$AE$2:$AF$7,2,0))</f>
        <v>0</v>
      </c>
      <c r="F3192">
        <f t="shared" si="104"/>
        <v>0</v>
      </c>
    </row>
    <row r="3193" spans="1:6">
      <c r="A3193" s="30">
        <f t="shared" si="105"/>
        <v>46283</v>
      </c>
      <c r="B3193" s="32" t="s">
        <v>206</v>
      </c>
      <c r="C3193" t="s">
        <v>206</v>
      </c>
      <c r="D3193">
        <f>IF(B3193=$AB$2,$AC$2,$AC$3)</f>
        <v>0</v>
      </c>
      <c r="E3193">
        <f>IF(ISBLANK(C3193),0,VLOOKUP(C3193,$AE$2:$AF$7,2,0))</f>
        <v>0</v>
      </c>
      <c r="F3193">
        <f t="shared" si="104"/>
        <v>0</v>
      </c>
    </row>
    <row r="3194" spans="1:6">
      <c r="A3194" s="30">
        <f t="shared" si="105"/>
        <v>46284</v>
      </c>
      <c r="B3194" s="32" t="s">
        <v>206</v>
      </c>
      <c r="C3194" t="s">
        <v>206</v>
      </c>
      <c r="D3194">
        <f>IF(B3194=$AB$2,$AC$2,$AC$3)</f>
        <v>0</v>
      </c>
      <c r="E3194">
        <f>IF(ISBLANK(C3194),0,VLOOKUP(C3194,$AE$2:$AF$7,2,0))</f>
        <v>0</v>
      </c>
      <c r="F3194">
        <f t="shared" si="104"/>
        <v>0</v>
      </c>
    </row>
    <row r="3195" spans="1:6">
      <c r="A3195" s="30">
        <f>A3194+1</f>
        <v>46285</v>
      </c>
      <c r="B3195" s="32" t="s">
        <v>206</v>
      </c>
      <c r="C3195" t="s">
        <v>206</v>
      </c>
      <c r="D3195">
        <f>IF(B3195=$AB$2,$AC$2,$AC$3)</f>
        <v>0</v>
      </c>
      <c r="E3195">
        <f>IF(ISBLANK(C3195),0,VLOOKUP(C3195,$AE$2:$AF$7,2,0))</f>
        <v>0</v>
      </c>
      <c r="F3195">
        <f t="shared" si="104"/>
        <v>0</v>
      </c>
    </row>
    <row r="3196" spans="1:6">
      <c r="A3196" s="30">
        <f t="shared" ref="A3196:A3259" si="106">A3195+1</f>
        <v>46286</v>
      </c>
      <c r="B3196" s="32" t="s">
        <v>206</v>
      </c>
      <c r="C3196" t="s">
        <v>206</v>
      </c>
      <c r="D3196">
        <f>IF(B3196=$AB$2,$AC$2,$AC$3)</f>
        <v>0</v>
      </c>
      <c r="E3196">
        <f>IF(ISBLANK(C3196),0,VLOOKUP(C3196,$AE$2:$AF$7,2,0))</f>
        <v>0</v>
      </c>
      <c r="F3196">
        <f t="shared" si="104"/>
        <v>0</v>
      </c>
    </row>
    <row r="3197" spans="1:6">
      <c r="A3197" s="30">
        <f t="shared" si="106"/>
        <v>46287</v>
      </c>
      <c r="B3197" s="32" t="s">
        <v>206</v>
      </c>
      <c r="C3197" t="s">
        <v>206</v>
      </c>
      <c r="D3197">
        <f>IF(B3197=$AB$2,$AC$2,$AC$3)</f>
        <v>0</v>
      </c>
      <c r="E3197">
        <f>IF(ISBLANK(C3197),0,VLOOKUP(C3197,$AE$2:$AF$7,2,0))</f>
        <v>0</v>
      </c>
      <c r="F3197">
        <f t="shared" si="104"/>
        <v>0</v>
      </c>
    </row>
    <row r="3198" spans="1:6">
      <c r="A3198" s="30">
        <f t="shared" si="106"/>
        <v>46288</v>
      </c>
      <c r="B3198" s="32" t="s">
        <v>206</v>
      </c>
      <c r="C3198" t="s">
        <v>206</v>
      </c>
      <c r="D3198">
        <f>IF(B3198=$AB$2,$AC$2,$AC$3)</f>
        <v>0</v>
      </c>
      <c r="E3198">
        <f>IF(ISBLANK(C3198),0,VLOOKUP(C3198,$AE$2:$AF$7,2,0))</f>
        <v>0</v>
      </c>
      <c r="F3198">
        <f t="shared" si="104"/>
        <v>0</v>
      </c>
    </row>
    <row r="3199" spans="1:6">
      <c r="A3199" s="30">
        <f t="shared" si="106"/>
        <v>46289</v>
      </c>
      <c r="B3199" s="32" t="s">
        <v>206</v>
      </c>
      <c r="C3199" t="s">
        <v>206</v>
      </c>
      <c r="D3199">
        <f>IF(B3199=$AB$2,$AC$2,$AC$3)</f>
        <v>0</v>
      </c>
      <c r="E3199">
        <f>IF(ISBLANK(C3199),0,VLOOKUP(C3199,$AE$2:$AF$7,2,0))</f>
        <v>0</v>
      </c>
      <c r="F3199">
        <f t="shared" si="104"/>
        <v>0</v>
      </c>
    </row>
    <row r="3200" spans="1:6">
      <c r="A3200" s="30">
        <f t="shared" si="106"/>
        <v>46290</v>
      </c>
      <c r="B3200" s="32" t="s">
        <v>206</v>
      </c>
      <c r="C3200" t="s">
        <v>206</v>
      </c>
      <c r="D3200">
        <f>IF(B3200=$AB$2,$AC$2,$AC$3)</f>
        <v>0</v>
      </c>
      <c r="E3200">
        <f>IF(ISBLANK(C3200),0,VLOOKUP(C3200,$AE$2:$AF$7,2,0))</f>
        <v>0</v>
      </c>
      <c r="F3200">
        <f t="shared" si="104"/>
        <v>0</v>
      </c>
    </row>
    <row r="3201" spans="1:6">
      <c r="A3201" s="30">
        <f t="shared" si="106"/>
        <v>46291</v>
      </c>
      <c r="B3201" s="32" t="s">
        <v>206</v>
      </c>
      <c r="C3201" t="s">
        <v>206</v>
      </c>
      <c r="D3201">
        <f>IF(B3201=$AB$2,$AC$2,$AC$3)</f>
        <v>0</v>
      </c>
      <c r="E3201">
        <f>IF(ISBLANK(C3201),0,VLOOKUP(C3201,$AE$2:$AF$7,2,0))</f>
        <v>0</v>
      </c>
      <c r="F3201">
        <f t="shared" si="104"/>
        <v>0</v>
      </c>
    </row>
    <row r="3202" spans="1:6">
      <c r="A3202" s="30">
        <f t="shared" si="106"/>
        <v>46292</v>
      </c>
      <c r="B3202" s="32" t="s">
        <v>206</v>
      </c>
      <c r="C3202" t="s">
        <v>206</v>
      </c>
      <c r="D3202">
        <f>IF(B3202=$AB$2,$AC$2,$AC$3)</f>
        <v>0</v>
      </c>
      <c r="E3202">
        <f>IF(ISBLANK(C3202),0,VLOOKUP(C3202,$AE$2:$AF$7,2,0))</f>
        <v>0</v>
      </c>
      <c r="F3202">
        <f t="shared" si="104"/>
        <v>0</v>
      </c>
    </row>
    <row r="3203" spans="1:6">
      <c r="A3203" s="30">
        <f t="shared" si="106"/>
        <v>46293</v>
      </c>
      <c r="B3203" s="32" t="s">
        <v>206</v>
      </c>
      <c r="C3203" t="s">
        <v>206</v>
      </c>
      <c r="D3203">
        <f>IF(B3203=$AB$2,$AC$2,$AC$3)</f>
        <v>0</v>
      </c>
      <c r="E3203">
        <f>IF(ISBLANK(C3203),0,VLOOKUP(C3203,$AE$2:$AF$7,2,0))</f>
        <v>0</v>
      </c>
      <c r="F3203">
        <f t="shared" ref="F3203:F3266" si="107">D3203*E3203</f>
        <v>0</v>
      </c>
    </row>
    <row r="3204" spans="1:6">
      <c r="A3204" s="30">
        <f t="shared" si="106"/>
        <v>46294</v>
      </c>
      <c r="B3204" s="32" t="s">
        <v>206</v>
      </c>
      <c r="C3204" t="s">
        <v>206</v>
      </c>
      <c r="D3204">
        <f>IF(B3204=$AB$2,$AC$2,$AC$3)</f>
        <v>0</v>
      </c>
      <c r="E3204">
        <f>IF(ISBLANK(C3204),0,VLOOKUP(C3204,$AE$2:$AF$7,2,0))</f>
        <v>0</v>
      </c>
      <c r="F3204">
        <f t="shared" si="107"/>
        <v>0</v>
      </c>
    </row>
    <row r="3205" spans="1:6">
      <c r="A3205" s="30">
        <f t="shared" si="106"/>
        <v>46295</v>
      </c>
      <c r="B3205" s="32" t="s">
        <v>206</v>
      </c>
      <c r="C3205" t="s">
        <v>206</v>
      </c>
      <c r="D3205">
        <f>IF(B3205=$AB$2,$AC$2,$AC$3)</f>
        <v>0</v>
      </c>
      <c r="E3205">
        <f>IF(ISBLANK(C3205),0,VLOOKUP(C3205,$AE$2:$AF$7,2,0))</f>
        <v>0</v>
      </c>
      <c r="F3205">
        <f t="shared" si="107"/>
        <v>0</v>
      </c>
    </row>
    <row r="3206" spans="1:6">
      <c r="A3206" s="30">
        <f t="shared" si="106"/>
        <v>46296</v>
      </c>
      <c r="B3206" s="32" t="s">
        <v>206</v>
      </c>
      <c r="C3206" t="s">
        <v>206</v>
      </c>
      <c r="D3206">
        <f>IF(B3206=$AB$2,$AC$2,$AC$3)</f>
        <v>0</v>
      </c>
      <c r="E3206">
        <f>IF(ISBLANK(C3206),0,VLOOKUP(C3206,$AE$2:$AF$7,2,0))</f>
        <v>0</v>
      </c>
      <c r="F3206">
        <f t="shared" si="107"/>
        <v>0</v>
      </c>
    </row>
    <row r="3207" spans="1:6">
      <c r="A3207" s="30">
        <f t="shared" si="106"/>
        <v>46297</v>
      </c>
      <c r="B3207" s="32" t="s">
        <v>206</v>
      </c>
      <c r="C3207" t="s">
        <v>206</v>
      </c>
      <c r="D3207">
        <f>IF(B3207=$AB$2,$AC$2,$AC$3)</f>
        <v>0</v>
      </c>
      <c r="E3207">
        <f>IF(ISBLANK(C3207),0,VLOOKUP(C3207,$AE$2:$AF$7,2,0))</f>
        <v>0</v>
      </c>
      <c r="F3207">
        <f t="shared" si="107"/>
        <v>0</v>
      </c>
    </row>
    <row r="3208" spans="1:6">
      <c r="A3208" s="30">
        <f t="shared" si="106"/>
        <v>46298</v>
      </c>
      <c r="B3208" s="32" t="s">
        <v>206</v>
      </c>
      <c r="C3208" t="s">
        <v>206</v>
      </c>
      <c r="D3208">
        <f>IF(B3208=$AB$2,$AC$2,$AC$3)</f>
        <v>0</v>
      </c>
      <c r="E3208">
        <f>IF(ISBLANK(C3208),0,VLOOKUP(C3208,$AE$2:$AF$7,2,0))</f>
        <v>0</v>
      </c>
      <c r="F3208">
        <f t="shared" si="107"/>
        <v>0</v>
      </c>
    </row>
    <row r="3209" spans="1:6">
      <c r="A3209" s="30">
        <f t="shared" si="106"/>
        <v>46299</v>
      </c>
      <c r="B3209" s="32" t="s">
        <v>206</v>
      </c>
      <c r="C3209" t="s">
        <v>206</v>
      </c>
      <c r="D3209">
        <f>IF(B3209=$AB$2,$AC$2,$AC$3)</f>
        <v>0</v>
      </c>
      <c r="E3209">
        <f>IF(ISBLANK(C3209),0,VLOOKUP(C3209,$AE$2:$AF$7,2,0))</f>
        <v>0</v>
      </c>
      <c r="F3209">
        <f t="shared" si="107"/>
        <v>0</v>
      </c>
    </row>
    <row r="3210" spans="1:6">
      <c r="A3210" s="30">
        <f t="shared" si="106"/>
        <v>46300</v>
      </c>
      <c r="B3210" s="32" t="s">
        <v>206</v>
      </c>
      <c r="C3210" t="s">
        <v>206</v>
      </c>
      <c r="D3210">
        <f>IF(B3210=$AB$2,$AC$2,$AC$3)</f>
        <v>0</v>
      </c>
      <c r="E3210">
        <f>IF(ISBLANK(C3210),0,VLOOKUP(C3210,$AE$2:$AF$7,2,0))</f>
        <v>0</v>
      </c>
      <c r="F3210">
        <f t="shared" si="107"/>
        <v>0</v>
      </c>
    </row>
    <row r="3211" spans="1:6">
      <c r="A3211" s="30">
        <f t="shared" si="106"/>
        <v>46301</v>
      </c>
      <c r="B3211" s="32" t="s">
        <v>206</v>
      </c>
      <c r="C3211" t="s">
        <v>206</v>
      </c>
      <c r="D3211">
        <f>IF(B3211=$AB$2,$AC$2,$AC$3)</f>
        <v>0</v>
      </c>
      <c r="E3211">
        <f>IF(ISBLANK(C3211),0,VLOOKUP(C3211,$AE$2:$AF$7,2,0))</f>
        <v>0</v>
      </c>
      <c r="F3211">
        <f t="shared" si="107"/>
        <v>0</v>
      </c>
    </row>
    <row r="3212" spans="1:6">
      <c r="A3212" s="30">
        <f t="shared" si="106"/>
        <v>46302</v>
      </c>
      <c r="B3212" s="32" t="s">
        <v>206</v>
      </c>
      <c r="C3212" t="s">
        <v>206</v>
      </c>
      <c r="D3212">
        <f>IF(B3212=$AB$2,$AC$2,$AC$3)</f>
        <v>0</v>
      </c>
      <c r="E3212">
        <f>IF(ISBLANK(C3212),0,VLOOKUP(C3212,$AE$2:$AF$7,2,0))</f>
        <v>0</v>
      </c>
      <c r="F3212">
        <f t="shared" si="107"/>
        <v>0</v>
      </c>
    </row>
    <row r="3213" spans="1:6">
      <c r="A3213" s="30">
        <f t="shared" si="106"/>
        <v>46303</v>
      </c>
      <c r="B3213" s="32" t="s">
        <v>206</v>
      </c>
      <c r="C3213" t="s">
        <v>206</v>
      </c>
      <c r="D3213">
        <f>IF(B3213=$AB$2,$AC$2,$AC$3)</f>
        <v>0</v>
      </c>
      <c r="E3213">
        <f>IF(ISBLANK(C3213),0,VLOOKUP(C3213,$AE$2:$AF$7,2,0))</f>
        <v>0</v>
      </c>
      <c r="F3213">
        <f t="shared" si="107"/>
        <v>0</v>
      </c>
    </row>
    <row r="3214" spans="1:6">
      <c r="A3214" s="30">
        <f t="shared" si="106"/>
        <v>46304</v>
      </c>
      <c r="B3214" s="32" t="s">
        <v>206</v>
      </c>
      <c r="C3214" t="s">
        <v>206</v>
      </c>
      <c r="D3214">
        <f>IF(B3214=$AB$2,$AC$2,$AC$3)</f>
        <v>0</v>
      </c>
      <c r="E3214">
        <f>IF(ISBLANK(C3214),0,VLOOKUP(C3214,$AE$2:$AF$7,2,0))</f>
        <v>0</v>
      </c>
      <c r="F3214">
        <f t="shared" si="107"/>
        <v>0</v>
      </c>
    </row>
    <row r="3215" spans="1:6">
      <c r="A3215" s="30">
        <f t="shared" si="106"/>
        <v>46305</v>
      </c>
      <c r="B3215" s="32" t="s">
        <v>206</v>
      </c>
      <c r="C3215" t="s">
        <v>206</v>
      </c>
      <c r="D3215">
        <f>IF(B3215=$AB$2,$AC$2,$AC$3)</f>
        <v>0</v>
      </c>
      <c r="E3215">
        <f>IF(ISBLANK(C3215),0,VLOOKUP(C3215,$AE$2:$AF$7,2,0))</f>
        <v>0</v>
      </c>
      <c r="F3215">
        <f t="shared" si="107"/>
        <v>0</v>
      </c>
    </row>
    <row r="3216" spans="1:6">
      <c r="A3216" s="30">
        <f t="shared" si="106"/>
        <v>46306</v>
      </c>
      <c r="B3216" s="32" t="s">
        <v>206</v>
      </c>
      <c r="C3216" t="s">
        <v>206</v>
      </c>
      <c r="D3216">
        <f>IF(B3216=$AB$2,$AC$2,$AC$3)</f>
        <v>0</v>
      </c>
      <c r="E3216">
        <f>IF(ISBLANK(C3216),0,VLOOKUP(C3216,$AE$2:$AF$7,2,0))</f>
        <v>0</v>
      </c>
      <c r="F3216">
        <f t="shared" si="107"/>
        <v>0</v>
      </c>
    </row>
    <row r="3217" spans="1:6">
      <c r="A3217" s="30">
        <f t="shared" si="106"/>
        <v>46307</v>
      </c>
      <c r="B3217" s="32" t="s">
        <v>206</v>
      </c>
      <c r="C3217" t="s">
        <v>206</v>
      </c>
      <c r="D3217">
        <f>IF(B3217=$AB$2,$AC$2,$AC$3)</f>
        <v>0</v>
      </c>
      <c r="E3217">
        <f>IF(ISBLANK(C3217),0,VLOOKUP(C3217,$AE$2:$AF$7,2,0))</f>
        <v>0</v>
      </c>
      <c r="F3217">
        <f t="shared" si="107"/>
        <v>0</v>
      </c>
    </row>
    <row r="3218" spans="1:6">
      <c r="A3218" s="30">
        <f t="shared" si="106"/>
        <v>46308</v>
      </c>
      <c r="B3218" s="32" t="s">
        <v>206</v>
      </c>
      <c r="C3218" t="s">
        <v>206</v>
      </c>
      <c r="D3218">
        <f>IF(B3218=$AB$2,$AC$2,$AC$3)</f>
        <v>0</v>
      </c>
      <c r="E3218">
        <f>IF(ISBLANK(C3218),0,VLOOKUP(C3218,$AE$2:$AF$7,2,0))</f>
        <v>0</v>
      </c>
      <c r="F3218">
        <f t="shared" si="107"/>
        <v>0</v>
      </c>
    </row>
    <row r="3219" spans="1:6">
      <c r="A3219" s="30">
        <f t="shared" si="106"/>
        <v>46309</v>
      </c>
      <c r="B3219" s="32" t="s">
        <v>206</v>
      </c>
      <c r="C3219" t="s">
        <v>206</v>
      </c>
      <c r="D3219">
        <f>IF(B3219=$AB$2,$AC$2,$AC$3)</f>
        <v>0</v>
      </c>
      <c r="E3219">
        <f>IF(ISBLANK(C3219),0,VLOOKUP(C3219,$AE$2:$AF$7,2,0))</f>
        <v>0</v>
      </c>
      <c r="F3219">
        <f t="shared" si="107"/>
        <v>0</v>
      </c>
    </row>
    <row r="3220" spans="1:6">
      <c r="A3220" s="30">
        <f t="shared" si="106"/>
        <v>46310</v>
      </c>
      <c r="B3220" s="32" t="s">
        <v>206</v>
      </c>
      <c r="C3220" t="s">
        <v>206</v>
      </c>
      <c r="D3220">
        <f>IF(B3220=$AB$2,$AC$2,$AC$3)</f>
        <v>0</v>
      </c>
      <c r="E3220">
        <f>IF(ISBLANK(C3220),0,VLOOKUP(C3220,$AE$2:$AF$7,2,0))</f>
        <v>0</v>
      </c>
      <c r="F3220">
        <f t="shared" si="107"/>
        <v>0</v>
      </c>
    </row>
    <row r="3221" spans="1:6">
      <c r="A3221" s="30">
        <f t="shared" si="106"/>
        <v>46311</v>
      </c>
      <c r="B3221" s="32" t="s">
        <v>206</v>
      </c>
      <c r="C3221" t="s">
        <v>206</v>
      </c>
      <c r="D3221">
        <f>IF(B3221=$AB$2,$AC$2,$AC$3)</f>
        <v>0</v>
      </c>
      <c r="E3221">
        <f>IF(ISBLANK(C3221),0,VLOOKUP(C3221,$AE$2:$AF$7,2,0))</f>
        <v>0</v>
      </c>
      <c r="F3221">
        <f t="shared" si="107"/>
        <v>0</v>
      </c>
    </row>
    <row r="3222" spans="1:6">
      <c r="A3222" s="30">
        <f t="shared" si="106"/>
        <v>46312</v>
      </c>
      <c r="B3222" s="32" t="s">
        <v>206</v>
      </c>
      <c r="C3222" t="s">
        <v>206</v>
      </c>
      <c r="D3222">
        <f>IF(B3222=$AB$2,$AC$2,$AC$3)</f>
        <v>0</v>
      </c>
      <c r="E3222">
        <f>IF(ISBLANK(C3222),0,VLOOKUP(C3222,$AE$2:$AF$7,2,0))</f>
        <v>0</v>
      </c>
      <c r="F3222">
        <f t="shared" si="107"/>
        <v>0</v>
      </c>
    </row>
    <row r="3223" spans="1:6">
      <c r="A3223" s="30">
        <f t="shared" si="106"/>
        <v>46313</v>
      </c>
      <c r="B3223" s="32" t="s">
        <v>206</v>
      </c>
      <c r="C3223" t="s">
        <v>206</v>
      </c>
      <c r="D3223">
        <f>IF(B3223=$AB$2,$AC$2,$AC$3)</f>
        <v>0</v>
      </c>
      <c r="E3223">
        <f>IF(ISBLANK(C3223),0,VLOOKUP(C3223,$AE$2:$AF$7,2,0))</f>
        <v>0</v>
      </c>
      <c r="F3223">
        <f t="shared" si="107"/>
        <v>0</v>
      </c>
    </row>
    <row r="3224" spans="1:6">
      <c r="A3224" s="30">
        <f t="shared" si="106"/>
        <v>46314</v>
      </c>
      <c r="B3224" s="32" t="s">
        <v>206</v>
      </c>
      <c r="C3224" t="s">
        <v>206</v>
      </c>
      <c r="D3224">
        <f>IF(B3224=$AB$2,$AC$2,$AC$3)</f>
        <v>0</v>
      </c>
      <c r="E3224">
        <f>IF(ISBLANK(C3224),0,VLOOKUP(C3224,$AE$2:$AF$7,2,0))</f>
        <v>0</v>
      </c>
      <c r="F3224">
        <f t="shared" si="107"/>
        <v>0</v>
      </c>
    </row>
    <row r="3225" spans="1:6">
      <c r="A3225" s="30">
        <f t="shared" si="106"/>
        <v>46315</v>
      </c>
      <c r="B3225" s="32" t="s">
        <v>206</v>
      </c>
      <c r="C3225" t="s">
        <v>206</v>
      </c>
      <c r="D3225">
        <f>IF(B3225=$AB$2,$AC$2,$AC$3)</f>
        <v>0</v>
      </c>
      <c r="E3225">
        <f>IF(ISBLANK(C3225),0,VLOOKUP(C3225,$AE$2:$AF$7,2,0))</f>
        <v>0</v>
      </c>
      <c r="F3225">
        <f t="shared" si="107"/>
        <v>0</v>
      </c>
    </row>
    <row r="3226" spans="1:6">
      <c r="A3226" s="30">
        <f t="shared" si="106"/>
        <v>46316</v>
      </c>
      <c r="B3226" s="32" t="s">
        <v>206</v>
      </c>
      <c r="C3226" t="s">
        <v>206</v>
      </c>
      <c r="D3226">
        <f>IF(B3226=$AB$2,$AC$2,$AC$3)</f>
        <v>0</v>
      </c>
      <c r="E3226">
        <f>IF(ISBLANK(C3226),0,VLOOKUP(C3226,$AE$2:$AF$7,2,0))</f>
        <v>0</v>
      </c>
      <c r="F3226">
        <f t="shared" si="107"/>
        <v>0</v>
      </c>
    </row>
    <row r="3227" spans="1:6">
      <c r="A3227" s="30">
        <f t="shared" si="106"/>
        <v>46317</v>
      </c>
      <c r="B3227" s="32" t="s">
        <v>206</v>
      </c>
      <c r="C3227" t="s">
        <v>206</v>
      </c>
      <c r="D3227">
        <f>IF(B3227=$AB$2,$AC$2,$AC$3)</f>
        <v>0</v>
      </c>
      <c r="E3227">
        <f>IF(ISBLANK(C3227),0,VLOOKUP(C3227,$AE$2:$AF$7,2,0))</f>
        <v>0</v>
      </c>
      <c r="F3227">
        <f t="shared" si="107"/>
        <v>0</v>
      </c>
    </row>
    <row r="3228" spans="1:6">
      <c r="A3228" s="30">
        <f t="shared" si="106"/>
        <v>46318</v>
      </c>
      <c r="B3228" s="32" t="s">
        <v>206</v>
      </c>
      <c r="C3228" t="s">
        <v>206</v>
      </c>
      <c r="D3228">
        <f>IF(B3228=$AB$2,$AC$2,$AC$3)</f>
        <v>0</v>
      </c>
      <c r="E3228">
        <f>IF(ISBLANK(C3228),0,VLOOKUP(C3228,$AE$2:$AF$7,2,0))</f>
        <v>0</v>
      </c>
      <c r="F3228">
        <f t="shared" si="107"/>
        <v>0</v>
      </c>
    </row>
    <row r="3229" spans="1:6">
      <c r="A3229" s="30">
        <f t="shared" si="106"/>
        <v>46319</v>
      </c>
      <c r="B3229" s="32" t="s">
        <v>206</v>
      </c>
      <c r="C3229" t="s">
        <v>206</v>
      </c>
      <c r="D3229">
        <f>IF(B3229=$AB$2,$AC$2,$AC$3)</f>
        <v>0</v>
      </c>
      <c r="E3229">
        <f>IF(ISBLANK(C3229),0,VLOOKUP(C3229,$AE$2:$AF$7,2,0))</f>
        <v>0</v>
      </c>
      <c r="F3229">
        <f t="shared" si="107"/>
        <v>0</v>
      </c>
    </row>
    <row r="3230" spans="1:6">
      <c r="A3230" s="30">
        <f t="shared" si="106"/>
        <v>46320</v>
      </c>
      <c r="B3230" s="32" t="s">
        <v>206</v>
      </c>
      <c r="C3230" t="s">
        <v>206</v>
      </c>
      <c r="D3230">
        <f>IF(B3230=$AB$2,$AC$2,$AC$3)</f>
        <v>0</v>
      </c>
      <c r="E3230">
        <f>IF(ISBLANK(C3230),0,VLOOKUP(C3230,$AE$2:$AF$7,2,0))</f>
        <v>0</v>
      </c>
      <c r="F3230">
        <f t="shared" si="107"/>
        <v>0</v>
      </c>
    </row>
    <row r="3231" spans="1:6">
      <c r="A3231" s="30">
        <f t="shared" si="106"/>
        <v>46321</v>
      </c>
      <c r="B3231" s="32" t="s">
        <v>206</v>
      </c>
      <c r="C3231" t="s">
        <v>206</v>
      </c>
      <c r="D3231">
        <f>IF(B3231=$AB$2,$AC$2,$AC$3)</f>
        <v>0</v>
      </c>
      <c r="E3231">
        <f>IF(ISBLANK(C3231),0,VLOOKUP(C3231,$AE$2:$AF$7,2,0))</f>
        <v>0</v>
      </c>
      <c r="F3231">
        <f t="shared" si="107"/>
        <v>0</v>
      </c>
    </row>
    <row r="3232" spans="1:6">
      <c r="A3232" s="30">
        <f t="shared" si="106"/>
        <v>46322</v>
      </c>
      <c r="B3232" s="32" t="s">
        <v>206</v>
      </c>
      <c r="C3232" t="s">
        <v>206</v>
      </c>
      <c r="D3232">
        <f>IF(B3232=$AB$2,$AC$2,$AC$3)</f>
        <v>0</v>
      </c>
      <c r="E3232">
        <f>IF(ISBLANK(C3232),0,VLOOKUP(C3232,$AE$2:$AF$7,2,0))</f>
        <v>0</v>
      </c>
      <c r="F3232">
        <f t="shared" si="107"/>
        <v>0</v>
      </c>
    </row>
    <row r="3233" spans="1:6">
      <c r="A3233" s="30">
        <f t="shared" si="106"/>
        <v>46323</v>
      </c>
      <c r="B3233" s="32" t="s">
        <v>206</v>
      </c>
      <c r="C3233" t="s">
        <v>206</v>
      </c>
      <c r="D3233">
        <f>IF(B3233=$AB$2,$AC$2,$AC$3)</f>
        <v>0</v>
      </c>
      <c r="E3233">
        <f>IF(ISBLANK(C3233),0,VLOOKUP(C3233,$AE$2:$AF$7,2,0))</f>
        <v>0</v>
      </c>
      <c r="F3233">
        <f t="shared" si="107"/>
        <v>0</v>
      </c>
    </row>
    <row r="3234" spans="1:6">
      <c r="A3234" s="30">
        <f t="shared" si="106"/>
        <v>46324</v>
      </c>
      <c r="B3234" s="32" t="s">
        <v>206</v>
      </c>
      <c r="C3234" t="s">
        <v>206</v>
      </c>
      <c r="D3234">
        <f>IF(B3234=$AB$2,$AC$2,$AC$3)</f>
        <v>0</v>
      </c>
      <c r="E3234">
        <f>IF(ISBLANK(C3234),0,VLOOKUP(C3234,$AE$2:$AF$7,2,0))</f>
        <v>0</v>
      </c>
      <c r="F3234">
        <f t="shared" si="107"/>
        <v>0</v>
      </c>
    </row>
    <row r="3235" spans="1:6">
      <c r="A3235" s="30">
        <f t="shared" si="106"/>
        <v>46325</v>
      </c>
      <c r="B3235" s="32" t="s">
        <v>206</v>
      </c>
      <c r="C3235" t="s">
        <v>206</v>
      </c>
      <c r="D3235">
        <f>IF(B3235=$AB$2,$AC$2,$AC$3)</f>
        <v>0</v>
      </c>
      <c r="E3235">
        <f>IF(ISBLANK(C3235),0,VLOOKUP(C3235,$AE$2:$AF$7,2,0))</f>
        <v>0</v>
      </c>
      <c r="F3235">
        <f t="shared" si="107"/>
        <v>0</v>
      </c>
    </row>
    <row r="3236" spans="1:6">
      <c r="A3236" s="30">
        <f t="shared" si="106"/>
        <v>46326</v>
      </c>
      <c r="B3236" s="32" t="s">
        <v>206</v>
      </c>
      <c r="C3236" t="s">
        <v>206</v>
      </c>
      <c r="D3236">
        <f>IF(B3236=$AB$2,$AC$2,$AC$3)</f>
        <v>0</v>
      </c>
      <c r="E3236">
        <f>IF(ISBLANK(C3236),0,VLOOKUP(C3236,$AE$2:$AF$7,2,0))</f>
        <v>0</v>
      </c>
      <c r="F3236">
        <f t="shared" si="107"/>
        <v>0</v>
      </c>
    </row>
    <row r="3237" spans="1:6">
      <c r="A3237" s="30">
        <f t="shared" si="106"/>
        <v>46327</v>
      </c>
      <c r="B3237" s="32" t="s">
        <v>206</v>
      </c>
      <c r="C3237" t="s">
        <v>206</v>
      </c>
      <c r="D3237">
        <f>IF(B3237=$AB$2,$AC$2,$AC$3)</f>
        <v>0</v>
      </c>
      <c r="E3237">
        <f>IF(ISBLANK(C3237),0,VLOOKUP(C3237,$AE$2:$AF$7,2,0))</f>
        <v>0</v>
      </c>
      <c r="F3237">
        <f t="shared" si="107"/>
        <v>0</v>
      </c>
    </row>
    <row r="3238" spans="1:6">
      <c r="A3238" s="30">
        <f t="shared" si="106"/>
        <v>46328</v>
      </c>
      <c r="B3238" s="32" t="s">
        <v>206</v>
      </c>
      <c r="C3238" t="s">
        <v>206</v>
      </c>
      <c r="D3238">
        <f>IF(B3238=$AB$2,$AC$2,$AC$3)</f>
        <v>0</v>
      </c>
      <c r="E3238">
        <f>IF(ISBLANK(C3238),0,VLOOKUP(C3238,$AE$2:$AF$7,2,0))</f>
        <v>0</v>
      </c>
      <c r="F3238">
        <f t="shared" si="107"/>
        <v>0</v>
      </c>
    </row>
    <row r="3239" spans="1:6">
      <c r="A3239" s="30">
        <f t="shared" si="106"/>
        <v>46329</v>
      </c>
      <c r="B3239" s="32" t="s">
        <v>206</v>
      </c>
      <c r="C3239" t="s">
        <v>206</v>
      </c>
      <c r="D3239">
        <f>IF(B3239=$AB$2,$AC$2,$AC$3)</f>
        <v>0</v>
      </c>
      <c r="E3239">
        <f>IF(ISBLANK(C3239),0,VLOOKUP(C3239,$AE$2:$AF$7,2,0))</f>
        <v>0</v>
      </c>
      <c r="F3239">
        <f t="shared" si="107"/>
        <v>0</v>
      </c>
    </row>
    <row r="3240" spans="1:6">
      <c r="A3240" s="30">
        <f t="shared" si="106"/>
        <v>46330</v>
      </c>
      <c r="B3240" s="32" t="s">
        <v>206</v>
      </c>
      <c r="C3240" t="s">
        <v>206</v>
      </c>
      <c r="D3240">
        <f>IF(B3240=$AB$2,$AC$2,$AC$3)</f>
        <v>0</v>
      </c>
      <c r="E3240">
        <f>IF(ISBLANK(C3240),0,VLOOKUP(C3240,$AE$2:$AF$7,2,0))</f>
        <v>0</v>
      </c>
      <c r="F3240">
        <f t="shared" si="107"/>
        <v>0</v>
      </c>
    </row>
    <row r="3241" spans="1:6">
      <c r="A3241" s="30">
        <f t="shared" si="106"/>
        <v>46331</v>
      </c>
      <c r="B3241" s="32" t="s">
        <v>206</v>
      </c>
      <c r="C3241" t="s">
        <v>206</v>
      </c>
      <c r="D3241">
        <f>IF(B3241=$AB$2,$AC$2,$AC$3)</f>
        <v>0</v>
      </c>
      <c r="E3241">
        <f>IF(ISBLANK(C3241),0,VLOOKUP(C3241,$AE$2:$AF$7,2,0))</f>
        <v>0</v>
      </c>
      <c r="F3241">
        <f t="shared" si="107"/>
        <v>0</v>
      </c>
    </row>
    <row r="3242" spans="1:6">
      <c r="A3242" s="30">
        <f t="shared" si="106"/>
        <v>46332</v>
      </c>
      <c r="B3242" s="32" t="s">
        <v>206</v>
      </c>
      <c r="C3242" t="s">
        <v>206</v>
      </c>
      <c r="D3242">
        <f>IF(B3242=$AB$2,$AC$2,$AC$3)</f>
        <v>0</v>
      </c>
      <c r="E3242">
        <f>IF(ISBLANK(C3242),0,VLOOKUP(C3242,$AE$2:$AF$7,2,0))</f>
        <v>0</v>
      </c>
      <c r="F3242">
        <f t="shared" si="107"/>
        <v>0</v>
      </c>
    </row>
    <row r="3243" spans="1:6">
      <c r="A3243" s="30">
        <f t="shared" si="106"/>
        <v>46333</v>
      </c>
      <c r="B3243" s="32" t="s">
        <v>206</v>
      </c>
      <c r="C3243" t="s">
        <v>206</v>
      </c>
      <c r="D3243">
        <f>IF(B3243=$AB$2,$AC$2,$AC$3)</f>
        <v>0</v>
      </c>
      <c r="E3243">
        <f>IF(ISBLANK(C3243),0,VLOOKUP(C3243,$AE$2:$AF$7,2,0))</f>
        <v>0</v>
      </c>
      <c r="F3243">
        <f t="shared" si="107"/>
        <v>0</v>
      </c>
    </row>
    <row r="3244" spans="1:6">
      <c r="A3244" s="30">
        <f t="shared" si="106"/>
        <v>46334</v>
      </c>
      <c r="B3244" s="32" t="s">
        <v>206</v>
      </c>
      <c r="C3244" t="s">
        <v>206</v>
      </c>
      <c r="D3244">
        <f>IF(B3244=$AB$2,$AC$2,$AC$3)</f>
        <v>0</v>
      </c>
      <c r="E3244">
        <f>IF(ISBLANK(C3244),0,VLOOKUP(C3244,$AE$2:$AF$7,2,0))</f>
        <v>0</v>
      </c>
      <c r="F3244">
        <f t="shared" si="107"/>
        <v>0</v>
      </c>
    </row>
    <row r="3245" spans="1:6">
      <c r="A3245" s="30">
        <f t="shared" si="106"/>
        <v>46335</v>
      </c>
      <c r="B3245" s="32" t="s">
        <v>206</v>
      </c>
      <c r="C3245" t="s">
        <v>206</v>
      </c>
      <c r="D3245">
        <f>IF(B3245=$AB$2,$AC$2,$AC$3)</f>
        <v>0</v>
      </c>
      <c r="E3245">
        <f>IF(ISBLANK(C3245),0,VLOOKUP(C3245,$AE$2:$AF$7,2,0))</f>
        <v>0</v>
      </c>
      <c r="F3245">
        <f t="shared" si="107"/>
        <v>0</v>
      </c>
    </row>
    <row r="3246" spans="1:6">
      <c r="A3246" s="30">
        <f t="shared" si="106"/>
        <v>46336</v>
      </c>
      <c r="B3246" s="32" t="s">
        <v>206</v>
      </c>
      <c r="C3246" t="s">
        <v>206</v>
      </c>
      <c r="D3246">
        <f>IF(B3246=$AB$2,$AC$2,$AC$3)</f>
        <v>0</v>
      </c>
      <c r="E3246">
        <f>IF(ISBLANK(C3246),0,VLOOKUP(C3246,$AE$2:$AF$7,2,0))</f>
        <v>0</v>
      </c>
      <c r="F3246">
        <f t="shared" si="107"/>
        <v>0</v>
      </c>
    </row>
    <row r="3247" spans="1:6">
      <c r="A3247" s="30">
        <f t="shared" si="106"/>
        <v>46337</v>
      </c>
      <c r="B3247" s="32" t="s">
        <v>206</v>
      </c>
      <c r="C3247" t="s">
        <v>206</v>
      </c>
      <c r="D3247">
        <f>IF(B3247=$AB$2,$AC$2,$AC$3)</f>
        <v>0</v>
      </c>
      <c r="E3247">
        <f>IF(ISBLANK(C3247),0,VLOOKUP(C3247,$AE$2:$AF$7,2,0))</f>
        <v>0</v>
      </c>
      <c r="F3247">
        <f t="shared" si="107"/>
        <v>0</v>
      </c>
    </row>
    <row r="3248" spans="1:6">
      <c r="A3248" s="30">
        <f t="shared" si="106"/>
        <v>46338</v>
      </c>
      <c r="B3248" s="32" t="s">
        <v>206</v>
      </c>
      <c r="C3248" t="s">
        <v>206</v>
      </c>
      <c r="D3248">
        <f>IF(B3248=$AB$2,$AC$2,$AC$3)</f>
        <v>0</v>
      </c>
      <c r="E3248">
        <f>IF(ISBLANK(C3248),0,VLOOKUP(C3248,$AE$2:$AF$7,2,0))</f>
        <v>0</v>
      </c>
      <c r="F3248">
        <f t="shared" si="107"/>
        <v>0</v>
      </c>
    </row>
    <row r="3249" spans="1:6">
      <c r="A3249" s="30">
        <f t="shared" si="106"/>
        <v>46339</v>
      </c>
      <c r="B3249" s="32" t="s">
        <v>206</v>
      </c>
      <c r="C3249" t="s">
        <v>206</v>
      </c>
      <c r="D3249">
        <f>IF(B3249=$AB$2,$AC$2,$AC$3)</f>
        <v>0</v>
      </c>
      <c r="E3249">
        <f>IF(ISBLANK(C3249),0,VLOOKUP(C3249,$AE$2:$AF$7,2,0))</f>
        <v>0</v>
      </c>
      <c r="F3249">
        <f t="shared" si="107"/>
        <v>0</v>
      </c>
    </row>
    <row r="3250" spans="1:6">
      <c r="A3250" s="30">
        <f t="shared" si="106"/>
        <v>46340</v>
      </c>
      <c r="B3250" s="32" t="s">
        <v>206</v>
      </c>
      <c r="C3250" t="s">
        <v>206</v>
      </c>
      <c r="D3250">
        <f>IF(B3250=$AB$2,$AC$2,$AC$3)</f>
        <v>0</v>
      </c>
      <c r="E3250">
        <f>IF(ISBLANK(C3250),0,VLOOKUP(C3250,$AE$2:$AF$7,2,0))</f>
        <v>0</v>
      </c>
      <c r="F3250">
        <f t="shared" si="107"/>
        <v>0</v>
      </c>
    </row>
    <row r="3251" spans="1:6">
      <c r="A3251" s="30">
        <f t="shared" si="106"/>
        <v>46341</v>
      </c>
      <c r="B3251" s="32" t="s">
        <v>206</v>
      </c>
      <c r="C3251" t="s">
        <v>206</v>
      </c>
      <c r="D3251">
        <f>IF(B3251=$AB$2,$AC$2,$AC$3)</f>
        <v>0</v>
      </c>
      <c r="E3251">
        <f>IF(ISBLANK(C3251),0,VLOOKUP(C3251,$AE$2:$AF$7,2,0))</f>
        <v>0</v>
      </c>
      <c r="F3251">
        <f t="shared" si="107"/>
        <v>0</v>
      </c>
    </row>
    <row r="3252" spans="1:6">
      <c r="A3252" s="30">
        <f t="shared" si="106"/>
        <v>46342</v>
      </c>
      <c r="B3252" s="32" t="s">
        <v>206</v>
      </c>
      <c r="C3252" t="s">
        <v>206</v>
      </c>
      <c r="D3252">
        <f>IF(B3252=$AB$2,$AC$2,$AC$3)</f>
        <v>0</v>
      </c>
      <c r="E3252">
        <f>IF(ISBLANK(C3252),0,VLOOKUP(C3252,$AE$2:$AF$7,2,0))</f>
        <v>0</v>
      </c>
      <c r="F3252">
        <f t="shared" si="107"/>
        <v>0</v>
      </c>
    </row>
    <row r="3253" spans="1:6">
      <c r="A3253" s="30">
        <f t="shared" si="106"/>
        <v>46343</v>
      </c>
      <c r="B3253" s="32" t="s">
        <v>206</v>
      </c>
      <c r="C3253" t="s">
        <v>206</v>
      </c>
      <c r="D3253">
        <f>IF(B3253=$AB$2,$AC$2,$AC$3)</f>
        <v>0</v>
      </c>
      <c r="E3253">
        <f>IF(ISBLANK(C3253),0,VLOOKUP(C3253,$AE$2:$AF$7,2,0))</f>
        <v>0</v>
      </c>
      <c r="F3253">
        <f t="shared" si="107"/>
        <v>0</v>
      </c>
    </row>
    <row r="3254" spans="1:6">
      <c r="A3254" s="30">
        <f t="shared" si="106"/>
        <v>46344</v>
      </c>
      <c r="B3254" s="32" t="s">
        <v>206</v>
      </c>
      <c r="C3254" t="s">
        <v>206</v>
      </c>
      <c r="D3254">
        <f>IF(B3254=$AB$2,$AC$2,$AC$3)</f>
        <v>0</v>
      </c>
      <c r="E3254">
        <f>IF(ISBLANK(C3254),0,VLOOKUP(C3254,$AE$2:$AF$7,2,0))</f>
        <v>0</v>
      </c>
      <c r="F3254">
        <f t="shared" si="107"/>
        <v>0</v>
      </c>
    </row>
    <row r="3255" spans="1:6">
      <c r="A3255" s="30">
        <f t="shared" si="106"/>
        <v>46345</v>
      </c>
      <c r="B3255" s="32" t="s">
        <v>206</v>
      </c>
      <c r="C3255" t="s">
        <v>206</v>
      </c>
      <c r="D3255">
        <f>IF(B3255=$AB$2,$AC$2,$AC$3)</f>
        <v>0</v>
      </c>
      <c r="E3255">
        <f>IF(ISBLANK(C3255),0,VLOOKUP(C3255,$AE$2:$AF$7,2,0))</f>
        <v>0</v>
      </c>
      <c r="F3255">
        <f t="shared" si="107"/>
        <v>0</v>
      </c>
    </row>
    <row r="3256" spans="1:6">
      <c r="A3256" s="30">
        <f t="shared" si="106"/>
        <v>46346</v>
      </c>
      <c r="B3256" s="32" t="s">
        <v>206</v>
      </c>
      <c r="C3256" t="s">
        <v>206</v>
      </c>
      <c r="D3256">
        <f>IF(B3256=$AB$2,$AC$2,$AC$3)</f>
        <v>0</v>
      </c>
      <c r="E3256">
        <f>IF(ISBLANK(C3256),0,VLOOKUP(C3256,$AE$2:$AF$7,2,0))</f>
        <v>0</v>
      </c>
      <c r="F3256">
        <f t="shared" si="107"/>
        <v>0</v>
      </c>
    </row>
    <row r="3257" spans="1:6">
      <c r="A3257" s="30">
        <f t="shared" si="106"/>
        <v>46347</v>
      </c>
      <c r="B3257" s="32" t="s">
        <v>206</v>
      </c>
      <c r="C3257" t="s">
        <v>206</v>
      </c>
      <c r="D3257">
        <f>IF(B3257=$AB$2,$AC$2,$AC$3)</f>
        <v>0</v>
      </c>
      <c r="E3257">
        <f>IF(ISBLANK(C3257),0,VLOOKUP(C3257,$AE$2:$AF$7,2,0))</f>
        <v>0</v>
      </c>
      <c r="F3257">
        <f t="shared" si="107"/>
        <v>0</v>
      </c>
    </row>
    <row r="3258" spans="1:6">
      <c r="A3258" s="30">
        <f t="shared" si="106"/>
        <v>46348</v>
      </c>
      <c r="B3258" s="32" t="s">
        <v>206</v>
      </c>
      <c r="C3258" t="s">
        <v>206</v>
      </c>
      <c r="D3258">
        <f>IF(B3258=$AB$2,$AC$2,$AC$3)</f>
        <v>0</v>
      </c>
      <c r="E3258">
        <f>IF(ISBLANK(C3258),0,VLOOKUP(C3258,$AE$2:$AF$7,2,0))</f>
        <v>0</v>
      </c>
      <c r="F3258">
        <f t="shared" si="107"/>
        <v>0</v>
      </c>
    </row>
    <row r="3259" spans="1:6">
      <c r="A3259" s="30">
        <f t="shared" si="106"/>
        <v>46349</v>
      </c>
      <c r="B3259" s="32" t="s">
        <v>206</v>
      </c>
      <c r="C3259" t="s">
        <v>206</v>
      </c>
      <c r="D3259">
        <f>IF(B3259=$AB$2,$AC$2,$AC$3)</f>
        <v>0</v>
      </c>
      <c r="E3259">
        <f>IF(ISBLANK(C3259),0,VLOOKUP(C3259,$AE$2:$AF$7,2,0))</f>
        <v>0</v>
      </c>
      <c r="F3259">
        <f t="shared" si="107"/>
        <v>0</v>
      </c>
    </row>
    <row r="3260" spans="1:6">
      <c r="A3260" s="30">
        <f t="shared" ref="A3260:A3308" si="108">A3259+1</f>
        <v>46350</v>
      </c>
      <c r="B3260" s="32" t="s">
        <v>206</v>
      </c>
      <c r="C3260" t="s">
        <v>206</v>
      </c>
      <c r="D3260">
        <f>IF(B3260=$AB$2,$AC$2,$AC$3)</f>
        <v>0</v>
      </c>
      <c r="E3260">
        <f>IF(ISBLANK(C3260),0,VLOOKUP(C3260,$AE$2:$AF$7,2,0))</f>
        <v>0</v>
      </c>
      <c r="F3260">
        <f t="shared" si="107"/>
        <v>0</v>
      </c>
    </row>
    <row r="3261" spans="1:6">
      <c r="A3261" s="30">
        <f t="shared" si="108"/>
        <v>46351</v>
      </c>
      <c r="B3261" s="32" t="s">
        <v>206</v>
      </c>
      <c r="C3261" t="s">
        <v>206</v>
      </c>
      <c r="D3261">
        <f>IF(B3261=$AB$2,$AC$2,$AC$3)</f>
        <v>0</v>
      </c>
      <c r="E3261">
        <f>IF(ISBLANK(C3261),0,VLOOKUP(C3261,$AE$2:$AF$7,2,0))</f>
        <v>0</v>
      </c>
      <c r="F3261">
        <f t="shared" si="107"/>
        <v>0</v>
      </c>
    </row>
    <row r="3262" spans="1:6">
      <c r="A3262" s="30">
        <f t="shared" si="108"/>
        <v>46352</v>
      </c>
      <c r="B3262" s="32" t="s">
        <v>206</v>
      </c>
      <c r="C3262" t="s">
        <v>206</v>
      </c>
      <c r="D3262">
        <f>IF(B3262=$AB$2,$AC$2,$AC$3)</f>
        <v>0</v>
      </c>
      <c r="E3262">
        <f>IF(ISBLANK(C3262),0,VLOOKUP(C3262,$AE$2:$AF$7,2,0))</f>
        <v>0</v>
      </c>
      <c r="F3262">
        <f t="shared" si="107"/>
        <v>0</v>
      </c>
    </row>
    <row r="3263" spans="1:6">
      <c r="A3263" s="30">
        <f t="shared" si="108"/>
        <v>46353</v>
      </c>
      <c r="B3263" s="32" t="s">
        <v>206</v>
      </c>
      <c r="C3263" t="s">
        <v>206</v>
      </c>
      <c r="D3263">
        <f>IF(B3263=$AB$2,$AC$2,$AC$3)</f>
        <v>0</v>
      </c>
      <c r="E3263">
        <f>IF(ISBLANK(C3263),0,VLOOKUP(C3263,$AE$2:$AF$7,2,0))</f>
        <v>0</v>
      </c>
      <c r="F3263">
        <f t="shared" si="107"/>
        <v>0</v>
      </c>
    </row>
    <row r="3264" spans="1:6">
      <c r="A3264" s="30">
        <f t="shared" si="108"/>
        <v>46354</v>
      </c>
      <c r="B3264" s="32" t="s">
        <v>206</v>
      </c>
      <c r="C3264" t="s">
        <v>206</v>
      </c>
      <c r="D3264">
        <f>IF(B3264=$AB$2,$AC$2,$AC$3)</f>
        <v>0</v>
      </c>
      <c r="E3264">
        <f>IF(ISBLANK(C3264),0,VLOOKUP(C3264,$AE$2:$AF$7,2,0))</f>
        <v>0</v>
      </c>
      <c r="F3264">
        <f t="shared" si="107"/>
        <v>0</v>
      </c>
    </row>
    <row r="3265" spans="1:6">
      <c r="A3265" s="30">
        <f t="shared" si="108"/>
        <v>46355</v>
      </c>
      <c r="B3265" s="32" t="s">
        <v>206</v>
      </c>
      <c r="C3265" t="s">
        <v>206</v>
      </c>
      <c r="D3265">
        <f>IF(B3265=$AB$2,$AC$2,$AC$3)</f>
        <v>0</v>
      </c>
      <c r="E3265">
        <f>IF(ISBLANK(C3265),0,VLOOKUP(C3265,$AE$2:$AF$7,2,0))</f>
        <v>0</v>
      </c>
      <c r="F3265">
        <f t="shared" si="107"/>
        <v>0</v>
      </c>
    </row>
    <row r="3266" spans="1:6">
      <c r="A3266" s="30">
        <f t="shared" si="108"/>
        <v>46356</v>
      </c>
      <c r="B3266" s="32" t="s">
        <v>206</v>
      </c>
      <c r="C3266" t="s">
        <v>206</v>
      </c>
      <c r="D3266">
        <f>IF(B3266=$AB$2,$AC$2,$AC$3)</f>
        <v>0</v>
      </c>
      <c r="E3266">
        <f>IF(ISBLANK(C3266),0,VLOOKUP(C3266,$AE$2:$AF$7,2,0))</f>
        <v>0</v>
      </c>
      <c r="F3266">
        <f t="shared" si="107"/>
        <v>0</v>
      </c>
    </row>
    <row r="3267" spans="1:6">
      <c r="A3267" s="30">
        <f t="shared" si="108"/>
        <v>46357</v>
      </c>
      <c r="B3267" s="32" t="s">
        <v>206</v>
      </c>
      <c r="C3267" t="s">
        <v>206</v>
      </c>
      <c r="D3267">
        <f>IF(B3267=$AB$2,$AC$2,$AC$3)</f>
        <v>0</v>
      </c>
      <c r="E3267">
        <f>IF(ISBLANK(C3267),0,VLOOKUP(C3267,$AE$2:$AF$7,2,0))</f>
        <v>0</v>
      </c>
      <c r="F3267">
        <f t="shared" ref="F3267:F3330" si="109">D3267*E3267</f>
        <v>0</v>
      </c>
    </row>
    <row r="3268" spans="1:6">
      <c r="A3268" s="30">
        <f t="shared" si="108"/>
        <v>46358</v>
      </c>
      <c r="B3268" s="32" t="s">
        <v>206</v>
      </c>
      <c r="C3268" t="s">
        <v>206</v>
      </c>
      <c r="D3268">
        <f>IF(B3268=$AB$2,$AC$2,$AC$3)</f>
        <v>0</v>
      </c>
      <c r="E3268">
        <f>IF(ISBLANK(C3268),0,VLOOKUP(C3268,$AE$2:$AF$7,2,0))</f>
        <v>0</v>
      </c>
      <c r="F3268">
        <f t="shared" si="109"/>
        <v>0</v>
      </c>
    </row>
    <row r="3269" spans="1:6">
      <c r="A3269" s="30">
        <f t="shared" si="108"/>
        <v>46359</v>
      </c>
      <c r="B3269" s="32" t="s">
        <v>206</v>
      </c>
      <c r="C3269" t="s">
        <v>206</v>
      </c>
      <c r="D3269">
        <f>IF(B3269=$AB$2,$AC$2,$AC$3)</f>
        <v>0</v>
      </c>
      <c r="E3269">
        <f>IF(ISBLANK(C3269),0,VLOOKUP(C3269,$AE$2:$AF$7,2,0))</f>
        <v>0</v>
      </c>
      <c r="F3269">
        <f t="shared" si="109"/>
        <v>0</v>
      </c>
    </row>
    <row r="3270" spans="1:6">
      <c r="A3270" s="30">
        <f t="shared" si="108"/>
        <v>46360</v>
      </c>
      <c r="B3270" s="32" t="s">
        <v>206</v>
      </c>
      <c r="C3270" t="s">
        <v>206</v>
      </c>
      <c r="D3270">
        <f>IF(B3270=$AB$2,$AC$2,$AC$3)</f>
        <v>0</v>
      </c>
      <c r="E3270">
        <f>IF(ISBLANK(C3270),0,VLOOKUP(C3270,$AE$2:$AF$7,2,0))</f>
        <v>0</v>
      </c>
      <c r="F3270">
        <f t="shared" si="109"/>
        <v>0</v>
      </c>
    </row>
    <row r="3271" spans="1:6">
      <c r="A3271" s="30">
        <f t="shared" si="108"/>
        <v>46361</v>
      </c>
      <c r="B3271" s="32" t="s">
        <v>206</v>
      </c>
      <c r="C3271" t="s">
        <v>206</v>
      </c>
      <c r="D3271">
        <f>IF(B3271=$AB$2,$AC$2,$AC$3)</f>
        <v>0</v>
      </c>
      <c r="E3271">
        <f>IF(ISBLANK(C3271),0,VLOOKUP(C3271,$AE$2:$AF$7,2,0))</f>
        <v>0</v>
      </c>
      <c r="F3271">
        <f t="shared" si="109"/>
        <v>0</v>
      </c>
    </row>
    <row r="3272" spans="1:6">
      <c r="A3272" s="30">
        <f t="shared" si="108"/>
        <v>46362</v>
      </c>
      <c r="B3272" s="32" t="s">
        <v>206</v>
      </c>
      <c r="C3272" t="s">
        <v>206</v>
      </c>
      <c r="D3272">
        <f>IF(B3272=$AB$2,$AC$2,$AC$3)</f>
        <v>0</v>
      </c>
      <c r="E3272">
        <f>IF(ISBLANK(C3272),0,VLOOKUP(C3272,$AE$2:$AF$7,2,0))</f>
        <v>0</v>
      </c>
      <c r="F3272">
        <f t="shared" si="109"/>
        <v>0</v>
      </c>
    </row>
    <row r="3273" spans="1:6">
      <c r="A3273" s="30">
        <f t="shared" si="108"/>
        <v>46363</v>
      </c>
      <c r="B3273" s="32" t="s">
        <v>206</v>
      </c>
      <c r="C3273" t="s">
        <v>206</v>
      </c>
      <c r="D3273">
        <f>IF(B3273=$AB$2,$AC$2,$AC$3)</f>
        <v>0</v>
      </c>
      <c r="E3273">
        <f>IF(ISBLANK(C3273),0,VLOOKUP(C3273,$AE$2:$AF$7,2,0))</f>
        <v>0</v>
      </c>
      <c r="F3273">
        <f t="shared" si="109"/>
        <v>0</v>
      </c>
    </row>
    <row r="3274" spans="1:6">
      <c r="A3274" s="30">
        <f t="shared" si="108"/>
        <v>46364</v>
      </c>
      <c r="B3274" s="32" t="s">
        <v>206</v>
      </c>
      <c r="C3274" t="s">
        <v>206</v>
      </c>
      <c r="D3274">
        <f>IF(B3274=$AB$2,$AC$2,$AC$3)</f>
        <v>0</v>
      </c>
      <c r="E3274">
        <f>IF(ISBLANK(C3274),0,VLOOKUP(C3274,$AE$2:$AF$7,2,0))</f>
        <v>0</v>
      </c>
      <c r="F3274">
        <f t="shared" si="109"/>
        <v>0</v>
      </c>
    </row>
    <row r="3275" spans="1:6">
      <c r="A3275" s="30">
        <f t="shared" si="108"/>
        <v>46365</v>
      </c>
      <c r="B3275" s="32" t="s">
        <v>206</v>
      </c>
      <c r="C3275" t="s">
        <v>206</v>
      </c>
      <c r="D3275">
        <f>IF(B3275=$AB$2,$AC$2,$AC$3)</f>
        <v>0</v>
      </c>
      <c r="E3275">
        <f>IF(ISBLANK(C3275),0,VLOOKUP(C3275,$AE$2:$AF$7,2,0))</f>
        <v>0</v>
      </c>
      <c r="F3275">
        <f t="shared" si="109"/>
        <v>0</v>
      </c>
    </row>
    <row r="3276" spans="1:6">
      <c r="A3276" s="30">
        <f t="shared" si="108"/>
        <v>46366</v>
      </c>
      <c r="B3276" s="32" t="s">
        <v>206</v>
      </c>
      <c r="C3276" t="s">
        <v>206</v>
      </c>
      <c r="D3276">
        <f>IF(B3276=$AB$2,$AC$2,$AC$3)</f>
        <v>0</v>
      </c>
      <c r="E3276">
        <f>IF(ISBLANK(C3276),0,VLOOKUP(C3276,$AE$2:$AF$7,2,0))</f>
        <v>0</v>
      </c>
      <c r="F3276">
        <f t="shared" si="109"/>
        <v>0</v>
      </c>
    </row>
    <row r="3277" spans="1:6">
      <c r="A3277" s="30">
        <f t="shared" si="108"/>
        <v>46367</v>
      </c>
      <c r="B3277" s="32" t="s">
        <v>206</v>
      </c>
      <c r="C3277" t="s">
        <v>206</v>
      </c>
      <c r="D3277">
        <f>IF(B3277=$AB$2,$AC$2,$AC$3)</f>
        <v>0</v>
      </c>
      <c r="E3277">
        <f>IF(ISBLANK(C3277),0,VLOOKUP(C3277,$AE$2:$AF$7,2,0))</f>
        <v>0</v>
      </c>
      <c r="F3277">
        <f t="shared" si="109"/>
        <v>0</v>
      </c>
    </row>
    <row r="3278" spans="1:6">
      <c r="A3278" s="30">
        <f t="shared" si="108"/>
        <v>46368</v>
      </c>
      <c r="B3278" s="32" t="s">
        <v>206</v>
      </c>
      <c r="C3278" t="s">
        <v>206</v>
      </c>
      <c r="D3278">
        <f>IF(B3278=$AB$2,$AC$2,$AC$3)</f>
        <v>0</v>
      </c>
      <c r="E3278">
        <f>IF(ISBLANK(C3278),0,VLOOKUP(C3278,$AE$2:$AF$7,2,0))</f>
        <v>0</v>
      </c>
      <c r="F3278">
        <f t="shared" si="109"/>
        <v>0</v>
      </c>
    </row>
    <row r="3279" spans="1:6">
      <c r="A3279" s="30">
        <f t="shared" si="108"/>
        <v>46369</v>
      </c>
      <c r="B3279" s="32" t="s">
        <v>206</v>
      </c>
      <c r="C3279" t="s">
        <v>206</v>
      </c>
      <c r="D3279">
        <f>IF(B3279=$AB$2,$AC$2,$AC$3)</f>
        <v>0</v>
      </c>
      <c r="E3279">
        <f>IF(ISBLANK(C3279),0,VLOOKUP(C3279,$AE$2:$AF$7,2,0))</f>
        <v>0</v>
      </c>
      <c r="F3279">
        <f t="shared" si="109"/>
        <v>0</v>
      </c>
    </row>
    <row r="3280" spans="1:6">
      <c r="A3280" s="30">
        <f t="shared" si="108"/>
        <v>46370</v>
      </c>
      <c r="B3280" s="32" t="s">
        <v>206</v>
      </c>
      <c r="C3280" t="s">
        <v>206</v>
      </c>
      <c r="D3280">
        <f>IF(B3280=$AB$2,$AC$2,$AC$3)</f>
        <v>0</v>
      </c>
      <c r="E3280">
        <f>IF(ISBLANK(C3280),0,VLOOKUP(C3280,$AE$2:$AF$7,2,0))</f>
        <v>0</v>
      </c>
      <c r="F3280">
        <f t="shared" si="109"/>
        <v>0</v>
      </c>
    </row>
    <row r="3281" spans="1:6">
      <c r="A3281" s="30">
        <f t="shared" si="108"/>
        <v>46371</v>
      </c>
      <c r="B3281" s="32" t="s">
        <v>206</v>
      </c>
      <c r="C3281" t="s">
        <v>206</v>
      </c>
      <c r="D3281">
        <f>IF(B3281=$AB$2,$AC$2,$AC$3)</f>
        <v>0</v>
      </c>
      <c r="E3281">
        <f>IF(ISBLANK(C3281),0,VLOOKUP(C3281,$AE$2:$AF$7,2,0))</f>
        <v>0</v>
      </c>
      <c r="F3281">
        <f t="shared" si="109"/>
        <v>0</v>
      </c>
    </row>
    <row r="3282" spans="1:6">
      <c r="A3282" s="30">
        <f t="shared" si="108"/>
        <v>46372</v>
      </c>
      <c r="B3282" s="32" t="s">
        <v>206</v>
      </c>
      <c r="C3282" t="s">
        <v>206</v>
      </c>
      <c r="D3282">
        <f>IF(B3282=$AB$2,$AC$2,$AC$3)</f>
        <v>0</v>
      </c>
      <c r="E3282">
        <f>IF(ISBLANK(C3282),0,VLOOKUP(C3282,$AE$2:$AF$7,2,0))</f>
        <v>0</v>
      </c>
      <c r="F3282">
        <f t="shared" si="109"/>
        <v>0</v>
      </c>
    </row>
    <row r="3283" spans="1:6">
      <c r="A3283" s="30">
        <f t="shared" si="108"/>
        <v>46373</v>
      </c>
      <c r="B3283" s="32" t="s">
        <v>206</v>
      </c>
      <c r="C3283" t="s">
        <v>206</v>
      </c>
      <c r="D3283">
        <f>IF(B3283=$AB$2,$AC$2,$AC$3)</f>
        <v>0</v>
      </c>
      <c r="E3283">
        <f>IF(ISBLANK(C3283),0,VLOOKUP(C3283,$AE$2:$AF$7,2,0))</f>
        <v>0</v>
      </c>
      <c r="F3283">
        <f t="shared" si="109"/>
        <v>0</v>
      </c>
    </row>
    <row r="3284" spans="1:6">
      <c r="A3284" s="30">
        <f t="shared" si="108"/>
        <v>46374</v>
      </c>
      <c r="B3284" s="32" t="s">
        <v>206</v>
      </c>
      <c r="C3284" t="s">
        <v>206</v>
      </c>
      <c r="D3284">
        <f>IF(B3284=$AB$2,$AC$2,$AC$3)</f>
        <v>0</v>
      </c>
      <c r="E3284">
        <f>IF(ISBLANK(C3284),0,VLOOKUP(C3284,$AE$2:$AF$7,2,0))</f>
        <v>0</v>
      </c>
      <c r="F3284">
        <f t="shared" si="109"/>
        <v>0</v>
      </c>
    </row>
    <row r="3285" spans="1:6">
      <c r="A3285" s="30">
        <f t="shared" si="108"/>
        <v>46375</v>
      </c>
      <c r="B3285" s="32" t="s">
        <v>206</v>
      </c>
      <c r="C3285" t="s">
        <v>206</v>
      </c>
      <c r="D3285">
        <f>IF(B3285=$AB$2,$AC$2,$AC$3)</f>
        <v>0</v>
      </c>
      <c r="E3285">
        <f>IF(ISBLANK(C3285),0,VLOOKUP(C3285,$AE$2:$AF$7,2,0))</f>
        <v>0</v>
      </c>
      <c r="F3285">
        <f t="shared" si="109"/>
        <v>0</v>
      </c>
    </row>
    <row r="3286" spans="1:6">
      <c r="A3286" s="30">
        <f t="shared" si="108"/>
        <v>46376</v>
      </c>
      <c r="B3286" s="32" t="s">
        <v>206</v>
      </c>
      <c r="C3286" t="s">
        <v>206</v>
      </c>
      <c r="D3286">
        <f>IF(B3286=$AB$2,$AC$2,$AC$3)</f>
        <v>0</v>
      </c>
      <c r="E3286">
        <f>IF(ISBLANK(C3286),0,VLOOKUP(C3286,$AE$2:$AF$7,2,0))</f>
        <v>0</v>
      </c>
      <c r="F3286">
        <f t="shared" si="109"/>
        <v>0</v>
      </c>
    </row>
    <row r="3287" spans="1:6">
      <c r="A3287" s="30">
        <f t="shared" si="108"/>
        <v>46377</v>
      </c>
      <c r="B3287" s="32" t="s">
        <v>206</v>
      </c>
      <c r="C3287" t="s">
        <v>206</v>
      </c>
      <c r="D3287">
        <f>IF(B3287=$AB$2,$AC$2,$AC$3)</f>
        <v>0</v>
      </c>
      <c r="E3287">
        <f>IF(ISBLANK(C3287),0,VLOOKUP(C3287,$AE$2:$AF$7,2,0))</f>
        <v>0</v>
      </c>
      <c r="F3287">
        <f t="shared" si="109"/>
        <v>0</v>
      </c>
    </row>
    <row r="3288" spans="1:6">
      <c r="A3288" s="30">
        <f t="shared" si="108"/>
        <v>46378</v>
      </c>
      <c r="B3288" s="32" t="s">
        <v>206</v>
      </c>
      <c r="C3288" t="s">
        <v>206</v>
      </c>
      <c r="D3288">
        <f>IF(B3288=$AB$2,$AC$2,$AC$3)</f>
        <v>0</v>
      </c>
      <c r="E3288">
        <f>IF(ISBLANK(C3288),0,VLOOKUP(C3288,$AE$2:$AF$7,2,0))</f>
        <v>0</v>
      </c>
      <c r="F3288">
        <f t="shared" si="109"/>
        <v>0</v>
      </c>
    </row>
    <row r="3289" spans="1:6">
      <c r="A3289" s="30">
        <f t="shared" si="108"/>
        <v>46379</v>
      </c>
      <c r="B3289" s="32" t="s">
        <v>206</v>
      </c>
      <c r="C3289" t="s">
        <v>206</v>
      </c>
      <c r="D3289">
        <f>IF(B3289=$AB$2,$AC$2,$AC$3)</f>
        <v>0</v>
      </c>
      <c r="E3289">
        <f>IF(ISBLANK(C3289),0,VLOOKUP(C3289,$AE$2:$AF$7,2,0))</f>
        <v>0</v>
      </c>
      <c r="F3289">
        <f t="shared" si="109"/>
        <v>0</v>
      </c>
    </row>
    <row r="3290" spans="1:6">
      <c r="A3290" s="30">
        <f t="shared" si="108"/>
        <v>46380</v>
      </c>
      <c r="B3290" s="32" t="s">
        <v>206</v>
      </c>
      <c r="C3290" t="s">
        <v>206</v>
      </c>
      <c r="D3290">
        <f>IF(B3290=$AB$2,$AC$2,$AC$3)</f>
        <v>0</v>
      </c>
      <c r="E3290">
        <f>IF(ISBLANK(C3290),0,VLOOKUP(C3290,$AE$2:$AF$7,2,0))</f>
        <v>0</v>
      </c>
      <c r="F3290">
        <f t="shared" si="109"/>
        <v>0</v>
      </c>
    </row>
    <row r="3291" spans="1:6">
      <c r="A3291" s="30">
        <f t="shared" si="108"/>
        <v>46381</v>
      </c>
      <c r="B3291" s="32" t="s">
        <v>206</v>
      </c>
      <c r="C3291" t="s">
        <v>206</v>
      </c>
      <c r="D3291">
        <f>IF(B3291=$AB$2,$AC$2,$AC$3)</f>
        <v>0</v>
      </c>
      <c r="E3291">
        <f>IF(ISBLANK(C3291),0,VLOOKUP(C3291,$AE$2:$AF$7,2,0))</f>
        <v>0</v>
      </c>
      <c r="F3291">
        <f t="shared" si="109"/>
        <v>0</v>
      </c>
    </row>
    <row r="3292" spans="1:6">
      <c r="A3292" s="30">
        <f t="shared" si="108"/>
        <v>46382</v>
      </c>
      <c r="B3292" s="32" t="s">
        <v>206</v>
      </c>
      <c r="C3292" t="s">
        <v>206</v>
      </c>
      <c r="D3292">
        <f>IF(B3292=$AB$2,$AC$2,$AC$3)</f>
        <v>0</v>
      </c>
      <c r="E3292">
        <f>IF(ISBLANK(C3292),0,VLOOKUP(C3292,$AE$2:$AF$7,2,0))</f>
        <v>0</v>
      </c>
      <c r="F3292">
        <f t="shared" si="109"/>
        <v>0</v>
      </c>
    </row>
    <row r="3293" spans="1:6">
      <c r="A3293" s="30">
        <f t="shared" si="108"/>
        <v>46383</v>
      </c>
      <c r="B3293" s="32" t="s">
        <v>206</v>
      </c>
      <c r="C3293" t="s">
        <v>206</v>
      </c>
      <c r="D3293">
        <f>IF(B3293=$AB$2,$AC$2,$AC$3)</f>
        <v>0</v>
      </c>
      <c r="E3293">
        <f>IF(ISBLANK(C3293),0,VLOOKUP(C3293,$AE$2:$AF$7,2,0))</f>
        <v>0</v>
      </c>
      <c r="F3293">
        <f t="shared" si="109"/>
        <v>0</v>
      </c>
    </row>
    <row r="3294" spans="1:6">
      <c r="A3294" s="30">
        <f t="shared" si="108"/>
        <v>46384</v>
      </c>
      <c r="B3294" s="32" t="s">
        <v>206</v>
      </c>
      <c r="C3294" t="s">
        <v>206</v>
      </c>
      <c r="D3294">
        <f>IF(B3294=$AB$2,$AC$2,$AC$3)</f>
        <v>0</v>
      </c>
      <c r="E3294">
        <f>IF(ISBLANK(C3294),0,VLOOKUP(C3294,$AE$2:$AF$7,2,0))</f>
        <v>0</v>
      </c>
      <c r="F3294">
        <f t="shared" si="109"/>
        <v>0</v>
      </c>
    </row>
    <row r="3295" spans="1:6">
      <c r="A3295" s="30">
        <f t="shared" si="108"/>
        <v>46385</v>
      </c>
      <c r="B3295" s="32" t="s">
        <v>206</v>
      </c>
      <c r="C3295" t="s">
        <v>206</v>
      </c>
      <c r="D3295">
        <f>IF(B3295=$AB$2,$AC$2,$AC$3)</f>
        <v>0</v>
      </c>
      <c r="E3295">
        <f>IF(ISBLANK(C3295),0,VLOOKUP(C3295,$AE$2:$AF$7,2,0))</f>
        <v>0</v>
      </c>
      <c r="F3295">
        <f t="shared" si="109"/>
        <v>0</v>
      </c>
    </row>
    <row r="3296" spans="1:6">
      <c r="A3296" s="30">
        <f t="shared" si="108"/>
        <v>46386</v>
      </c>
      <c r="B3296" s="32" t="s">
        <v>206</v>
      </c>
      <c r="C3296" t="s">
        <v>206</v>
      </c>
      <c r="D3296">
        <f>IF(B3296=$AB$2,$AC$2,$AC$3)</f>
        <v>0</v>
      </c>
      <c r="E3296">
        <f>IF(ISBLANK(C3296),0,VLOOKUP(C3296,$AE$2:$AF$7,2,0))</f>
        <v>0</v>
      </c>
      <c r="F3296">
        <f t="shared" si="109"/>
        <v>0</v>
      </c>
    </row>
    <row r="3297" spans="1:6">
      <c r="A3297" s="30">
        <f t="shared" si="108"/>
        <v>46387</v>
      </c>
      <c r="B3297" s="32" t="s">
        <v>206</v>
      </c>
      <c r="C3297" t="s">
        <v>206</v>
      </c>
      <c r="D3297">
        <f>IF(B3297=$AB$2,$AC$2,$AC$3)</f>
        <v>0</v>
      </c>
      <c r="E3297">
        <f>IF(ISBLANK(C3297),0,VLOOKUP(C3297,$AE$2:$AF$7,2,0))</f>
        <v>0</v>
      </c>
      <c r="F3297">
        <f t="shared" si="109"/>
        <v>0</v>
      </c>
    </row>
    <row r="3298" spans="1:6">
      <c r="A3298" s="30">
        <f t="shared" si="108"/>
        <v>46388</v>
      </c>
      <c r="B3298" s="32" t="s">
        <v>206</v>
      </c>
      <c r="C3298" t="s">
        <v>206</v>
      </c>
      <c r="D3298">
        <f>IF(B3298=$AB$2,$AC$2,$AC$3)</f>
        <v>0</v>
      </c>
      <c r="E3298">
        <f>IF(ISBLANK(C3298),0,VLOOKUP(C3298,$AE$2:$AF$7,2,0))</f>
        <v>0</v>
      </c>
      <c r="F3298">
        <f t="shared" si="109"/>
        <v>0</v>
      </c>
    </row>
    <row r="3299" spans="1:6">
      <c r="A3299" s="30">
        <f t="shared" si="108"/>
        <v>46389</v>
      </c>
      <c r="B3299" s="32" t="s">
        <v>206</v>
      </c>
      <c r="C3299" t="s">
        <v>206</v>
      </c>
      <c r="D3299">
        <f>IF(B3299=$AB$2,$AC$2,$AC$3)</f>
        <v>0</v>
      </c>
      <c r="E3299">
        <f>IF(ISBLANK(C3299),0,VLOOKUP(C3299,$AE$2:$AF$7,2,0))</f>
        <v>0</v>
      </c>
      <c r="F3299">
        <f t="shared" si="109"/>
        <v>0</v>
      </c>
    </row>
    <row r="3300" spans="1:6">
      <c r="A3300" s="30">
        <f t="shared" si="108"/>
        <v>46390</v>
      </c>
      <c r="B3300" s="32" t="s">
        <v>206</v>
      </c>
      <c r="C3300" t="s">
        <v>206</v>
      </c>
      <c r="D3300">
        <f>IF(B3300=$AB$2,$AC$2,$AC$3)</f>
        <v>0</v>
      </c>
      <c r="E3300">
        <f>IF(ISBLANK(C3300),0,VLOOKUP(C3300,$AE$2:$AF$7,2,0))</f>
        <v>0</v>
      </c>
      <c r="F3300">
        <f t="shared" si="109"/>
        <v>0</v>
      </c>
    </row>
    <row r="3301" spans="1:6">
      <c r="A3301" s="30">
        <f t="shared" si="108"/>
        <v>46391</v>
      </c>
      <c r="B3301" s="32" t="s">
        <v>206</v>
      </c>
      <c r="C3301" t="s">
        <v>206</v>
      </c>
      <c r="D3301">
        <f>IF(B3301=$AB$2,$AC$2,$AC$3)</f>
        <v>0</v>
      </c>
      <c r="E3301">
        <f>IF(ISBLANK(C3301),0,VLOOKUP(C3301,$AE$2:$AF$7,2,0))</f>
        <v>0</v>
      </c>
      <c r="F3301">
        <f t="shared" si="109"/>
        <v>0</v>
      </c>
    </row>
    <row r="3302" spans="1:6">
      <c r="A3302" s="30">
        <f t="shared" si="108"/>
        <v>46392</v>
      </c>
      <c r="B3302" s="32" t="s">
        <v>206</v>
      </c>
      <c r="C3302" t="s">
        <v>206</v>
      </c>
      <c r="D3302">
        <f>IF(B3302=$AB$2,$AC$2,$AC$3)</f>
        <v>0</v>
      </c>
      <c r="E3302">
        <f>IF(ISBLANK(C3302),0,VLOOKUP(C3302,$AE$2:$AF$7,2,0))</f>
        <v>0</v>
      </c>
      <c r="F3302">
        <f t="shared" si="109"/>
        <v>0</v>
      </c>
    </row>
    <row r="3303" spans="1:6">
      <c r="A3303" s="30">
        <f t="shared" si="108"/>
        <v>46393</v>
      </c>
      <c r="B3303" s="32" t="s">
        <v>206</v>
      </c>
      <c r="C3303" t="s">
        <v>206</v>
      </c>
      <c r="D3303">
        <f>IF(B3303=$AB$2,$AC$2,$AC$3)</f>
        <v>0</v>
      </c>
      <c r="E3303">
        <f>IF(ISBLANK(C3303),0,VLOOKUP(C3303,$AE$2:$AF$7,2,0))</f>
        <v>0</v>
      </c>
      <c r="F3303">
        <f t="shared" si="109"/>
        <v>0</v>
      </c>
    </row>
    <row r="3304" spans="1:6">
      <c r="A3304" s="30">
        <f t="shared" si="108"/>
        <v>46394</v>
      </c>
      <c r="B3304" s="32" t="s">
        <v>206</v>
      </c>
      <c r="C3304" t="s">
        <v>206</v>
      </c>
      <c r="D3304">
        <f>IF(B3304=$AB$2,$AC$2,$AC$3)</f>
        <v>0</v>
      </c>
      <c r="E3304">
        <f>IF(ISBLANK(C3304),0,VLOOKUP(C3304,$AE$2:$AF$7,2,0))</f>
        <v>0</v>
      </c>
      <c r="F3304">
        <f t="shared" si="109"/>
        <v>0</v>
      </c>
    </row>
    <row r="3305" spans="1:6">
      <c r="A3305" s="30">
        <f t="shared" si="108"/>
        <v>46395</v>
      </c>
      <c r="B3305" s="32" t="s">
        <v>206</v>
      </c>
      <c r="C3305" t="s">
        <v>206</v>
      </c>
      <c r="D3305">
        <f>IF(B3305=$AB$2,$AC$2,$AC$3)</f>
        <v>0</v>
      </c>
      <c r="E3305">
        <f>IF(ISBLANK(C3305),0,VLOOKUP(C3305,$AE$2:$AF$7,2,0))</f>
        <v>0</v>
      </c>
      <c r="F3305">
        <f t="shared" si="109"/>
        <v>0</v>
      </c>
    </row>
    <row r="3306" spans="1:6">
      <c r="A3306" s="30">
        <f t="shared" si="108"/>
        <v>46396</v>
      </c>
      <c r="B3306" s="32" t="s">
        <v>206</v>
      </c>
      <c r="C3306" t="s">
        <v>206</v>
      </c>
      <c r="D3306">
        <f>IF(B3306=$AB$2,$AC$2,$AC$3)</f>
        <v>0</v>
      </c>
      <c r="E3306">
        <f>IF(ISBLANK(C3306),0,VLOOKUP(C3306,$AE$2:$AF$7,2,0))</f>
        <v>0</v>
      </c>
      <c r="F3306">
        <f t="shared" si="109"/>
        <v>0</v>
      </c>
    </row>
    <row r="3307" spans="1:6">
      <c r="A3307" s="30">
        <f t="shared" si="108"/>
        <v>46397</v>
      </c>
      <c r="B3307" s="32" t="s">
        <v>206</v>
      </c>
      <c r="C3307" t="s">
        <v>206</v>
      </c>
      <c r="D3307">
        <f>IF(B3307=$AB$2,$AC$2,$AC$3)</f>
        <v>0</v>
      </c>
      <c r="E3307">
        <f>IF(ISBLANK(C3307),0,VLOOKUP(C3307,$AE$2:$AF$7,2,0))</f>
        <v>0</v>
      </c>
      <c r="F3307">
        <f t="shared" si="109"/>
        <v>0</v>
      </c>
    </row>
    <row r="3308" spans="1:6">
      <c r="A3308" s="30">
        <f t="shared" si="108"/>
        <v>46398</v>
      </c>
      <c r="B3308" s="32" t="s">
        <v>206</v>
      </c>
      <c r="C3308" t="s">
        <v>206</v>
      </c>
      <c r="D3308">
        <f>IF(B3308=$AB$2,$AC$2,$AC$3)</f>
        <v>0</v>
      </c>
      <c r="E3308">
        <f>IF(ISBLANK(C3308),0,VLOOKUP(C3308,$AE$2:$AF$7,2,0))</f>
        <v>0</v>
      </c>
      <c r="F3308">
        <f t="shared" si="109"/>
        <v>0</v>
      </c>
    </row>
    <row r="3309" spans="1:6">
      <c r="A3309" s="30">
        <f>A3308+1</f>
        <v>46399</v>
      </c>
      <c r="B3309" s="32" t="s">
        <v>206</v>
      </c>
      <c r="C3309" t="s">
        <v>206</v>
      </c>
      <c r="D3309">
        <f>IF(B3309=$AB$2,$AC$2,$AC$3)</f>
        <v>0</v>
      </c>
      <c r="E3309">
        <f>IF(ISBLANK(C3309),0,VLOOKUP(C3309,$AE$2:$AF$7,2,0))</f>
        <v>0</v>
      </c>
      <c r="F3309">
        <f t="shared" si="109"/>
        <v>0</v>
      </c>
    </row>
    <row r="3310" spans="1:6">
      <c r="A3310" s="30">
        <f t="shared" ref="A3310:A3373" si="110">A3309+1</f>
        <v>46400</v>
      </c>
      <c r="B3310" s="32" t="s">
        <v>206</v>
      </c>
      <c r="C3310" t="s">
        <v>206</v>
      </c>
      <c r="D3310">
        <f>IF(B3310=$AB$2,$AC$2,$AC$3)</f>
        <v>0</v>
      </c>
      <c r="E3310">
        <f>IF(ISBLANK(C3310),0,VLOOKUP(C3310,$AE$2:$AF$7,2,0))</f>
        <v>0</v>
      </c>
      <c r="F3310">
        <f t="shared" si="109"/>
        <v>0</v>
      </c>
    </row>
    <row r="3311" spans="1:6">
      <c r="A3311" s="30">
        <f t="shared" si="110"/>
        <v>46401</v>
      </c>
      <c r="B3311" s="32" t="s">
        <v>206</v>
      </c>
      <c r="C3311" t="s">
        <v>206</v>
      </c>
      <c r="D3311">
        <f>IF(B3311=$AB$2,$AC$2,$AC$3)</f>
        <v>0</v>
      </c>
      <c r="E3311">
        <f>IF(ISBLANK(C3311),0,VLOOKUP(C3311,$AE$2:$AF$7,2,0))</f>
        <v>0</v>
      </c>
      <c r="F3311">
        <f t="shared" si="109"/>
        <v>0</v>
      </c>
    </row>
    <row r="3312" spans="1:6">
      <c r="A3312" s="30">
        <f t="shared" si="110"/>
        <v>46402</v>
      </c>
      <c r="B3312" s="32" t="s">
        <v>206</v>
      </c>
      <c r="C3312" t="s">
        <v>206</v>
      </c>
      <c r="D3312">
        <f>IF(B3312=$AB$2,$AC$2,$AC$3)</f>
        <v>0</v>
      </c>
      <c r="E3312">
        <f>IF(ISBLANK(C3312),0,VLOOKUP(C3312,$AE$2:$AF$7,2,0))</f>
        <v>0</v>
      </c>
      <c r="F3312">
        <f t="shared" si="109"/>
        <v>0</v>
      </c>
    </row>
    <row r="3313" spans="1:6">
      <c r="A3313" s="30">
        <f t="shared" si="110"/>
        <v>46403</v>
      </c>
      <c r="B3313" s="32" t="s">
        <v>206</v>
      </c>
      <c r="C3313" t="s">
        <v>206</v>
      </c>
      <c r="D3313">
        <f>IF(B3313=$AB$2,$AC$2,$AC$3)</f>
        <v>0</v>
      </c>
      <c r="E3313">
        <f>IF(ISBLANK(C3313),0,VLOOKUP(C3313,$AE$2:$AF$7,2,0))</f>
        <v>0</v>
      </c>
      <c r="F3313">
        <f t="shared" si="109"/>
        <v>0</v>
      </c>
    </row>
    <row r="3314" spans="1:6">
      <c r="A3314" s="30">
        <f t="shared" si="110"/>
        <v>46404</v>
      </c>
      <c r="B3314" s="32" t="s">
        <v>206</v>
      </c>
      <c r="C3314" t="s">
        <v>206</v>
      </c>
      <c r="D3314">
        <f>IF(B3314=$AB$2,$AC$2,$AC$3)</f>
        <v>0</v>
      </c>
      <c r="E3314">
        <f>IF(ISBLANK(C3314),0,VLOOKUP(C3314,$AE$2:$AF$7,2,0))</f>
        <v>0</v>
      </c>
      <c r="F3314">
        <f t="shared" si="109"/>
        <v>0</v>
      </c>
    </row>
    <row r="3315" spans="1:6">
      <c r="A3315" s="30">
        <f t="shared" si="110"/>
        <v>46405</v>
      </c>
      <c r="B3315" s="32" t="s">
        <v>206</v>
      </c>
      <c r="C3315" t="s">
        <v>206</v>
      </c>
      <c r="D3315">
        <f>IF(B3315=$AB$2,$AC$2,$AC$3)</f>
        <v>0</v>
      </c>
      <c r="E3315">
        <f>IF(ISBLANK(C3315),0,VLOOKUP(C3315,$AE$2:$AF$7,2,0))</f>
        <v>0</v>
      </c>
      <c r="F3315">
        <f t="shared" si="109"/>
        <v>0</v>
      </c>
    </row>
    <row r="3316" spans="1:6">
      <c r="A3316" s="30">
        <f t="shared" si="110"/>
        <v>46406</v>
      </c>
      <c r="B3316" s="32" t="s">
        <v>206</v>
      </c>
      <c r="C3316" t="s">
        <v>206</v>
      </c>
      <c r="D3316">
        <f>IF(B3316=$AB$2,$AC$2,$AC$3)</f>
        <v>0</v>
      </c>
      <c r="E3316">
        <f>IF(ISBLANK(C3316),0,VLOOKUP(C3316,$AE$2:$AF$7,2,0))</f>
        <v>0</v>
      </c>
      <c r="F3316">
        <f t="shared" si="109"/>
        <v>0</v>
      </c>
    </row>
    <row r="3317" spans="1:6">
      <c r="A3317" s="30">
        <f t="shared" si="110"/>
        <v>46407</v>
      </c>
      <c r="B3317" s="32" t="s">
        <v>206</v>
      </c>
      <c r="C3317" t="s">
        <v>206</v>
      </c>
      <c r="D3317">
        <f>IF(B3317=$AB$2,$AC$2,$AC$3)</f>
        <v>0</v>
      </c>
      <c r="E3317">
        <f>IF(ISBLANK(C3317),0,VLOOKUP(C3317,$AE$2:$AF$7,2,0))</f>
        <v>0</v>
      </c>
      <c r="F3317">
        <f t="shared" si="109"/>
        <v>0</v>
      </c>
    </row>
    <row r="3318" spans="1:6">
      <c r="A3318" s="30">
        <f t="shared" si="110"/>
        <v>46408</v>
      </c>
      <c r="B3318" s="32" t="s">
        <v>206</v>
      </c>
      <c r="C3318" t="s">
        <v>206</v>
      </c>
      <c r="D3318">
        <f>IF(B3318=$AB$2,$AC$2,$AC$3)</f>
        <v>0</v>
      </c>
      <c r="E3318">
        <f>IF(ISBLANK(C3318),0,VLOOKUP(C3318,$AE$2:$AF$7,2,0))</f>
        <v>0</v>
      </c>
      <c r="F3318">
        <f t="shared" si="109"/>
        <v>0</v>
      </c>
    </row>
    <row r="3319" spans="1:6">
      <c r="A3319" s="30">
        <f t="shared" si="110"/>
        <v>46409</v>
      </c>
      <c r="B3319" s="32" t="s">
        <v>206</v>
      </c>
      <c r="C3319" t="s">
        <v>206</v>
      </c>
      <c r="D3319">
        <f>IF(B3319=$AB$2,$AC$2,$AC$3)</f>
        <v>0</v>
      </c>
      <c r="E3319">
        <f>IF(ISBLANK(C3319),0,VLOOKUP(C3319,$AE$2:$AF$7,2,0))</f>
        <v>0</v>
      </c>
      <c r="F3319">
        <f t="shared" si="109"/>
        <v>0</v>
      </c>
    </row>
    <row r="3320" spans="1:6">
      <c r="A3320" s="30">
        <f t="shared" si="110"/>
        <v>46410</v>
      </c>
      <c r="B3320" s="32" t="s">
        <v>206</v>
      </c>
      <c r="C3320" t="s">
        <v>206</v>
      </c>
      <c r="D3320">
        <f>IF(B3320=$AB$2,$AC$2,$AC$3)</f>
        <v>0</v>
      </c>
      <c r="E3320">
        <f>IF(ISBLANK(C3320),0,VLOOKUP(C3320,$AE$2:$AF$7,2,0))</f>
        <v>0</v>
      </c>
      <c r="F3320">
        <f t="shared" si="109"/>
        <v>0</v>
      </c>
    </row>
    <row r="3321" spans="1:6">
      <c r="A3321" s="30">
        <f t="shared" si="110"/>
        <v>46411</v>
      </c>
      <c r="B3321" s="32" t="s">
        <v>206</v>
      </c>
      <c r="C3321" t="s">
        <v>206</v>
      </c>
      <c r="D3321">
        <f>IF(B3321=$AB$2,$AC$2,$AC$3)</f>
        <v>0</v>
      </c>
      <c r="E3321">
        <f>IF(ISBLANK(C3321),0,VLOOKUP(C3321,$AE$2:$AF$7,2,0))</f>
        <v>0</v>
      </c>
      <c r="F3321">
        <f t="shared" si="109"/>
        <v>0</v>
      </c>
    </row>
    <row r="3322" spans="1:6">
      <c r="A3322" s="30">
        <f t="shared" si="110"/>
        <v>46412</v>
      </c>
      <c r="B3322" s="32" t="s">
        <v>206</v>
      </c>
      <c r="C3322" t="s">
        <v>206</v>
      </c>
      <c r="D3322">
        <f>IF(B3322=$AB$2,$AC$2,$AC$3)</f>
        <v>0</v>
      </c>
      <c r="E3322">
        <f>IF(ISBLANK(C3322),0,VLOOKUP(C3322,$AE$2:$AF$7,2,0))</f>
        <v>0</v>
      </c>
      <c r="F3322">
        <f t="shared" si="109"/>
        <v>0</v>
      </c>
    </row>
    <row r="3323" spans="1:6">
      <c r="A3323" s="30">
        <f t="shared" si="110"/>
        <v>46413</v>
      </c>
      <c r="B3323" s="32" t="s">
        <v>206</v>
      </c>
      <c r="C3323" t="s">
        <v>206</v>
      </c>
      <c r="D3323">
        <f>IF(B3323=$AB$2,$AC$2,$AC$3)</f>
        <v>0</v>
      </c>
      <c r="E3323">
        <f>IF(ISBLANK(C3323),0,VLOOKUP(C3323,$AE$2:$AF$7,2,0))</f>
        <v>0</v>
      </c>
      <c r="F3323">
        <f t="shared" si="109"/>
        <v>0</v>
      </c>
    </row>
    <row r="3324" spans="1:6">
      <c r="A3324" s="30">
        <f t="shared" si="110"/>
        <v>46414</v>
      </c>
      <c r="B3324" s="32" t="s">
        <v>206</v>
      </c>
      <c r="C3324" t="s">
        <v>206</v>
      </c>
      <c r="D3324">
        <f>IF(B3324=$AB$2,$AC$2,$AC$3)</f>
        <v>0</v>
      </c>
      <c r="E3324">
        <f>IF(ISBLANK(C3324),0,VLOOKUP(C3324,$AE$2:$AF$7,2,0))</f>
        <v>0</v>
      </c>
      <c r="F3324">
        <f t="shared" si="109"/>
        <v>0</v>
      </c>
    </row>
    <row r="3325" spans="1:6">
      <c r="A3325" s="30">
        <f t="shared" si="110"/>
        <v>46415</v>
      </c>
      <c r="B3325" s="32" t="s">
        <v>206</v>
      </c>
      <c r="C3325" t="s">
        <v>206</v>
      </c>
      <c r="D3325">
        <f>IF(B3325=$AB$2,$AC$2,$AC$3)</f>
        <v>0</v>
      </c>
      <c r="E3325">
        <f>IF(ISBLANK(C3325),0,VLOOKUP(C3325,$AE$2:$AF$7,2,0))</f>
        <v>0</v>
      </c>
      <c r="F3325">
        <f t="shared" si="109"/>
        <v>0</v>
      </c>
    </row>
    <row r="3326" spans="1:6">
      <c r="A3326" s="30">
        <f t="shared" si="110"/>
        <v>46416</v>
      </c>
      <c r="B3326" s="32" t="s">
        <v>206</v>
      </c>
      <c r="C3326" t="s">
        <v>206</v>
      </c>
      <c r="D3326">
        <f>IF(B3326=$AB$2,$AC$2,$AC$3)</f>
        <v>0</v>
      </c>
      <c r="E3326">
        <f>IF(ISBLANK(C3326),0,VLOOKUP(C3326,$AE$2:$AF$7,2,0))</f>
        <v>0</v>
      </c>
      <c r="F3326">
        <f t="shared" si="109"/>
        <v>0</v>
      </c>
    </row>
    <row r="3327" spans="1:6">
      <c r="A3327" s="30">
        <f t="shared" si="110"/>
        <v>46417</v>
      </c>
      <c r="B3327" s="32" t="s">
        <v>206</v>
      </c>
      <c r="C3327" t="s">
        <v>206</v>
      </c>
      <c r="D3327">
        <f>IF(B3327=$AB$2,$AC$2,$AC$3)</f>
        <v>0</v>
      </c>
      <c r="E3327">
        <f>IF(ISBLANK(C3327),0,VLOOKUP(C3327,$AE$2:$AF$7,2,0))</f>
        <v>0</v>
      </c>
      <c r="F3327">
        <f t="shared" si="109"/>
        <v>0</v>
      </c>
    </row>
    <row r="3328" spans="1:6">
      <c r="A3328" s="30">
        <f t="shared" si="110"/>
        <v>46418</v>
      </c>
      <c r="B3328" s="32" t="s">
        <v>206</v>
      </c>
      <c r="C3328" t="s">
        <v>206</v>
      </c>
      <c r="D3328">
        <f>IF(B3328=$AB$2,$AC$2,$AC$3)</f>
        <v>0</v>
      </c>
      <c r="E3328">
        <f>IF(ISBLANK(C3328),0,VLOOKUP(C3328,$AE$2:$AF$7,2,0))</f>
        <v>0</v>
      </c>
      <c r="F3328">
        <f t="shared" si="109"/>
        <v>0</v>
      </c>
    </row>
    <row r="3329" spans="1:6">
      <c r="A3329" s="30">
        <f t="shared" si="110"/>
        <v>46419</v>
      </c>
      <c r="B3329" s="32" t="s">
        <v>206</v>
      </c>
      <c r="C3329" t="s">
        <v>206</v>
      </c>
      <c r="D3329">
        <f>IF(B3329=$AB$2,$AC$2,$AC$3)</f>
        <v>0</v>
      </c>
      <c r="E3329">
        <f>IF(ISBLANK(C3329),0,VLOOKUP(C3329,$AE$2:$AF$7,2,0))</f>
        <v>0</v>
      </c>
      <c r="F3329">
        <f t="shared" si="109"/>
        <v>0</v>
      </c>
    </row>
    <row r="3330" spans="1:6">
      <c r="A3330" s="30">
        <f t="shared" si="110"/>
        <v>46420</v>
      </c>
      <c r="B3330" s="32" t="s">
        <v>206</v>
      </c>
      <c r="C3330" t="s">
        <v>206</v>
      </c>
      <c r="D3330">
        <f>IF(B3330=$AB$2,$AC$2,$AC$3)</f>
        <v>0</v>
      </c>
      <c r="E3330">
        <f>IF(ISBLANK(C3330),0,VLOOKUP(C3330,$AE$2:$AF$7,2,0))</f>
        <v>0</v>
      </c>
      <c r="F3330">
        <f t="shared" si="109"/>
        <v>0</v>
      </c>
    </row>
    <row r="3331" spans="1:6">
      <c r="A3331" s="30">
        <f t="shared" si="110"/>
        <v>46421</v>
      </c>
      <c r="B3331" s="32" t="s">
        <v>206</v>
      </c>
      <c r="C3331" t="s">
        <v>206</v>
      </c>
      <c r="D3331">
        <f>IF(B3331=$AB$2,$AC$2,$AC$3)</f>
        <v>0</v>
      </c>
      <c r="E3331">
        <f>IF(ISBLANK(C3331),0,VLOOKUP(C3331,$AE$2:$AF$7,2,0))</f>
        <v>0</v>
      </c>
      <c r="F3331">
        <f t="shared" ref="F3331:F3394" si="111">D3331*E3331</f>
        <v>0</v>
      </c>
    </row>
    <row r="3332" spans="1:6">
      <c r="A3332" s="30">
        <f t="shared" si="110"/>
        <v>46422</v>
      </c>
      <c r="B3332" s="32" t="s">
        <v>206</v>
      </c>
      <c r="C3332" t="s">
        <v>206</v>
      </c>
      <c r="D3332">
        <f>IF(B3332=$AB$2,$AC$2,$AC$3)</f>
        <v>0</v>
      </c>
      <c r="E3332">
        <f>IF(ISBLANK(C3332),0,VLOOKUP(C3332,$AE$2:$AF$7,2,0))</f>
        <v>0</v>
      </c>
      <c r="F3332">
        <f t="shared" si="111"/>
        <v>0</v>
      </c>
    </row>
    <row r="3333" spans="1:6">
      <c r="A3333" s="30">
        <f t="shared" si="110"/>
        <v>46423</v>
      </c>
      <c r="B3333" s="32" t="s">
        <v>206</v>
      </c>
      <c r="C3333" t="s">
        <v>206</v>
      </c>
      <c r="D3333">
        <f>IF(B3333=$AB$2,$AC$2,$AC$3)</f>
        <v>0</v>
      </c>
      <c r="E3333">
        <f>IF(ISBLANK(C3333),0,VLOOKUP(C3333,$AE$2:$AF$7,2,0))</f>
        <v>0</v>
      </c>
      <c r="F3333">
        <f t="shared" si="111"/>
        <v>0</v>
      </c>
    </row>
    <row r="3334" spans="1:6">
      <c r="A3334" s="30">
        <f t="shared" si="110"/>
        <v>46424</v>
      </c>
      <c r="B3334" s="32" t="s">
        <v>206</v>
      </c>
      <c r="C3334" t="s">
        <v>206</v>
      </c>
      <c r="D3334">
        <f>IF(B3334=$AB$2,$AC$2,$AC$3)</f>
        <v>0</v>
      </c>
      <c r="E3334">
        <f>IF(ISBLANK(C3334),0,VLOOKUP(C3334,$AE$2:$AF$7,2,0))</f>
        <v>0</v>
      </c>
      <c r="F3334">
        <f t="shared" si="111"/>
        <v>0</v>
      </c>
    </row>
    <row r="3335" spans="1:6">
      <c r="A3335" s="30">
        <f t="shared" si="110"/>
        <v>46425</v>
      </c>
      <c r="B3335" s="32" t="s">
        <v>206</v>
      </c>
      <c r="C3335" t="s">
        <v>206</v>
      </c>
      <c r="D3335">
        <f>IF(B3335=$AB$2,$AC$2,$AC$3)</f>
        <v>0</v>
      </c>
      <c r="E3335">
        <f>IF(ISBLANK(C3335),0,VLOOKUP(C3335,$AE$2:$AF$7,2,0))</f>
        <v>0</v>
      </c>
      <c r="F3335">
        <f t="shared" si="111"/>
        <v>0</v>
      </c>
    </row>
    <row r="3336" spans="1:6">
      <c r="A3336" s="30">
        <f t="shared" si="110"/>
        <v>46426</v>
      </c>
      <c r="B3336" s="32" t="s">
        <v>206</v>
      </c>
      <c r="C3336" t="s">
        <v>206</v>
      </c>
      <c r="D3336">
        <f>IF(B3336=$AB$2,$AC$2,$AC$3)</f>
        <v>0</v>
      </c>
      <c r="E3336">
        <f>IF(ISBLANK(C3336),0,VLOOKUP(C3336,$AE$2:$AF$7,2,0))</f>
        <v>0</v>
      </c>
      <c r="F3336">
        <f t="shared" si="111"/>
        <v>0</v>
      </c>
    </row>
    <row r="3337" spans="1:6">
      <c r="A3337" s="30">
        <f t="shared" si="110"/>
        <v>46427</v>
      </c>
      <c r="B3337" s="32" t="s">
        <v>206</v>
      </c>
      <c r="C3337" t="s">
        <v>206</v>
      </c>
      <c r="D3337">
        <f>IF(B3337=$AB$2,$AC$2,$AC$3)</f>
        <v>0</v>
      </c>
      <c r="E3337">
        <f>IF(ISBLANK(C3337),0,VLOOKUP(C3337,$AE$2:$AF$7,2,0))</f>
        <v>0</v>
      </c>
      <c r="F3337">
        <f t="shared" si="111"/>
        <v>0</v>
      </c>
    </row>
    <row r="3338" spans="1:6">
      <c r="A3338" s="30">
        <f t="shared" si="110"/>
        <v>46428</v>
      </c>
      <c r="B3338" s="32" t="s">
        <v>206</v>
      </c>
      <c r="C3338" t="s">
        <v>206</v>
      </c>
      <c r="D3338">
        <f>IF(B3338=$AB$2,$AC$2,$AC$3)</f>
        <v>0</v>
      </c>
      <c r="E3338">
        <f>IF(ISBLANK(C3338),0,VLOOKUP(C3338,$AE$2:$AF$7,2,0))</f>
        <v>0</v>
      </c>
      <c r="F3338">
        <f t="shared" si="111"/>
        <v>0</v>
      </c>
    </row>
    <row r="3339" spans="1:6">
      <c r="A3339" s="30">
        <f t="shared" si="110"/>
        <v>46429</v>
      </c>
      <c r="B3339" s="32" t="s">
        <v>206</v>
      </c>
      <c r="C3339" t="s">
        <v>206</v>
      </c>
      <c r="D3339">
        <f>IF(B3339=$AB$2,$AC$2,$AC$3)</f>
        <v>0</v>
      </c>
      <c r="E3339">
        <f>IF(ISBLANK(C3339),0,VLOOKUP(C3339,$AE$2:$AF$7,2,0))</f>
        <v>0</v>
      </c>
      <c r="F3339">
        <f t="shared" si="111"/>
        <v>0</v>
      </c>
    </row>
    <row r="3340" spans="1:6">
      <c r="A3340" s="30">
        <f t="shared" si="110"/>
        <v>46430</v>
      </c>
      <c r="B3340" s="32" t="s">
        <v>206</v>
      </c>
      <c r="C3340" t="s">
        <v>206</v>
      </c>
      <c r="D3340">
        <f>IF(B3340=$AB$2,$AC$2,$AC$3)</f>
        <v>0</v>
      </c>
      <c r="E3340">
        <f>IF(ISBLANK(C3340),0,VLOOKUP(C3340,$AE$2:$AF$7,2,0))</f>
        <v>0</v>
      </c>
      <c r="F3340">
        <f t="shared" si="111"/>
        <v>0</v>
      </c>
    </row>
    <row r="3341" spans="1:6">
      <c r="A3341" s="30">
        <f t="shared" si="110"/>
        <v>46431</v>
      </c>
      <c r="B3341" s="32" t="s">
        <v>206</v>
      </c>
      <c r="C3341" t="s">
        <v>206</v>
      </c>
      <c r="D3341">
        <f>IF(B3341=$AB$2,$AC$2,$AC$3)</f>
        <v>0</v>
      </c>
      <c r="E3341">
        <f>IF(ISBLANK(C3341),0,VLOOKUP(C3341,$AE$2:$AF$7,2,0))</f>
        <v>0</v>
      </c>
      <c r="F3341">
        <f t="shared" si="111"/>
        <v>0</v>
      </c>
    </row>
    <row r="3342" spans="1:6">
      <c r="A3342" s="30">
        <f t="shared" si="110"/>
        <v>46432</v>
      </c>
      <c r="B3342" s="32" t="s">
        <v>206</v>
      </c>
      <c r="C3342" t="s">
        <v>206</v>
      </c>
      <c r="D3342">
        <f>IF(B3342=$AB$2,$AC$2,$AC$3)</f>
        <v>0</v>
      </c>
      <c r="E3342">
        <f>IF(ISBLANK(C3342),0,VLOOKUP(C3342,$AE$2:$AF$7,2,0))</f>
        <v>0</v>
      </c>
      <c r="F3342">
        <f t="shared" si="111"/>
        <v>0</v>
      </c>
    </row>
    <row r="3343" spans="1:6">
      <c r="A3343" s="30">
        <f t="shared" si="110"/>
        <v>46433</v>
      </c>
      <c r="B3343" s="32" t="s">
        <v>206</v>
      </c>
      <c r="C3343" t="s">
        <v>206</v>
      </c>
      <c r="D3343">
        <f>IF(B3343=$AB$2,$AC$2,$AC$3)</f>
        <v>0</v>
      </c>
      <c r="E3343">
        <f>IF(ISBLANK(C3343),0,VLOOKUP(C3343,$AE$2:$AF$7,2,0))</f>
        <v>0</v>
      </c>
      <c r="F3343">
        <f t="shared" si="111"/>
        <v>0</v>
      </c>
    </row>
    <row r="3344" spans="1:6">
      <c r="A3344" s="30">
        <f t="shared" si="110"/>
        <v>46434</v>
      </c>
      <c r="B3344" s="32" t="s">
        <v>206</v>
      </c>
      <c r="C3344" t="s">
        <v>206</v>
      </c>
      <c r="D3344">
        <f>IF(B3344=$AB$2,$AC$2,$AC$3)</f>
        <v>0</v>
      </c>
      <c r="E3344">
        <f>IF(ISBLANK(C3344),0,VLOOKUP(C3344,$AE$2:$AF$7,2,0))</f>
        <v>0</v>
      </c>
      <c r="F3344">
        <f t="shared" si="111"/>
        <v>0</v>
      </c>
    </row>
    <row r="3345" spans="1:6">
      <c r="A3345" s="30">
        <f t="shared" si="110"/>
        <v>46435</v>
      </c>
      <c r="B3345" s="32" t="s">
        <v>206</v>
      </c>
      <c r="C3345" t="s">
        <v>206</v>
      </c>
      <c r="D3345">
        <f>IF(B3345=$AB$2,$AC$2,$AC$3)</f>
        <v>0</v>
      </c>
      <c r="E3345">
        <f>IF(ISBLANK(C3345),0,VLOOKUP(C3345,$AE$2:$AF$7,2,0))</f>
        <v>0</v>
      </c>
      <c r="F3345">
        <f t="shared" si="111"/>
        <v>0</v>
      </c>
    </row>
    <row r="3346" spans="1:6">
      <c r="A3346" s="30">
        <f t="shared" si="110"/>
        <v>46436</v>
      </c>
      <c r="B3346" s="32" t="s">
        <v>206</v>
      </c>
      <c r="C3346" t="s">
        <v>206</v>
      </c>
      <c r="D3346">
        <f>IF(B3346=$AB$2,$AC$2,$AC$3)</f>
        <v>0</v>
      </c>
      <c r="E3346">
        <f>IF(ISBLANK(C3346),0,VLOOKUP(C3346,$AE$2:$AF$7,2,0))</f>
        <v>0</v>
      </c>
      <c r="F3346">
        <f t="shared" si="111"/>
        <v>0</v>
      </c>
    </row>
    <row r="3347" spans="1:6">
      <c r="A3347" s="30">
        <f t="shared" si="110"/>
        <v>46437</v>
      </c>
      <c r="B3347" s="32" t="s">
        <v>206</v>
      </c>
      <c r="C3347" t="s">
        <v>206</v>
      </c>
      <c r="D3347">
        <f>IF(B3347=$AB$2,$AC$2,$AC$3)</f>
        <v>0</v>
      </c>
      <c r="E3347">
        <f>IF(ISBLANK(C3347),0,VLOOKUP(C3347,$AE$2:$AF$7,2,0))</f>
        <v>0</v>
      </c>
      <c r="F3347">
        <f t="shared" si="111"/>
        <v>0</v>
      </c>
    </row>
    <row r="3348" spans="1:6">
      <c r="A3348" s="30">
        <f t="shared" si="110"/>
        <v>46438</v>
      </c>
      <c r="B3348" s="32" t="s">
        <v>206</v>
      </c>
      <c r="C3348" t="s">
        <v>206</v>
      </c>
      <c r="D3348">
        <f>IF(B3348=$AB$2,$AC$2,$AC$3)</f>
        <v>0</v>
      </c>
      <c r="E3348">
        <f>IF(ISBLANK(C3348),0,VLOOKUP(C3348,$AE$2:$AF$7,2,0))</f>
        <v>0</v>
      </c>
      <c r="F3348">
        <f t="shared" si="111"/>
        <v>0</v>
      </c>
    </row>
    <row r="3349" spans="1:6">
      <c r="A3349" s="30">
        <f t="shared" si="110"/>
        <v>46439</v>
      </c>
      <c r="B3349" s="32" t="s">
        <v>206</v>
      </c>
      <c r="C3349" t="s">
        <v>206</v>
      </c>
      <c r="D3349">
        <f>IF(B3349=$AB$2,$AC$2,$AC$3)</f>
        <v>0</v>
      </c>
      <c r="E3349">
        <f>IF(ISBLANK(C3349),0,VLOOKUP(C3349,$AE$2:$AF$7,2,0))</f>
        <v>0</v>
      </c>
      <c r="F3349">
        <f t="shared" si="111"/>
        <v>0</v>
      </c>
    </row>
    <row r="3350" spans="1:6">
      <c r="A3350" s="30">
        <f t="shared" si="110"/>
        <v>46440</v>
      </c>
      <c r="B3350" s="32" t="s">
        <v>206</v>
      </c>
      <c r="C3350" t="s">
        <v>206</v>
      </c>
      <c r="D3350">
        <f>IF(B3350=$AB$2,$AC$2,$AC$3)</f>
        <v>0</v>
      </c>
      <c r="E3350">
        <f>IF(ISBLANK(C3350),0,VLOOKUP(C3350,$AE$2:$AF$7,2,0))</f>
        <v>0</v>
      </c>
      <c r="F3350">
        <f t="shared" si="111"/>
        <v>0</v>
      </c>
    </row>
    <row r="3351" spans="1:6">
      <c r="A3351" s="30">
        <f t="shared" si="110"/>
        <v>46441</v>
      </c>
      <c r="B3351" s="32" t="s">
        <v>206</v>
      </c>
      <c r="C3351" t="s">
        <v>206</v>
      </c>
      <c r="D3351">
        <f>IF(B3351=$AB$2,$AC$2,$AC$3)</f>
        <v>0</v>
      </c>
      <c r="E3351">
        <f>IF(ISBLANK(C3351),0,VLOOKUP(C3351,$AE$2:$AF$7,2,0))</f>
        <v>0</v>
      </c>
      <c r="F3351">
        <f t="shared" si="111"/>
        <v>0</v>
      </c>
    </row>
    <row r="3352" spans="1:6">
      <c r="A3352" s="30">
        <f t="shared" si="110"/>
        <v>46442</v>
      </c>
      <c r="B3352" s="32" t="s">
        <v>206</v>
      </c>
      <c r="C3352" t="s">
        <v>206</v>
      </c>
      <c r="D3352">
        <f>IF(B3352=$AB$2,$AC$2,$AC$3)</f>
        <v>0</v>
      </c>
      <c r="E3352">
        <f>IF(ISBLANK(C3352),0,VLOOKUP(C3352,$AE$2:$AF$7,2,0))</f>
        <v>0</v>
      </c>
      <c r="F3352">
        <f t="shared" si="111"/>
        <v>0</v>
      </c>
    </row>
    <row r="3353" spans="1:6">
      <c r="A3353" s="30">
        <f t="shared" si="110"/>
        <v>46443</v>
      </c>
      <c r="B3353" s="32" t="s">
        <v>206</v>
      </c>
      <c r="C3353" t="s">
        <v>206</v>
      </c>
      <c r="D3353">
        <f>IF(B3353=$AB$2,$AC$2,$AC$3)</f>
        <v>0</v>
      </c>
      <c r="E3353">
        <f>IF(ISBLANK(C3353),0,VLOOKUP(C3353,$AE$2:$AF$7,2,0))</f>
        <v>0</v>
      </c>
      <c r="F3353">
        <f t="shared" si="111"/>
        <v>0</v>
      </c>
    </row>
    <row r="3354" spans="1:6">
      <c r="A3354" s="30">
        <f t="shared" si="110"/>
        <v>46444</v>
      </c>
      <c r="B3354" s="32" t="s">
        <v>206</v>
      </c>
      <c r="C3354" t="s">
        <v>206</v>
      </c>
      <c r="D3354">
        <f>IF(B3354=$AB$2,$AC$2,$AC$3)</f>
        <v>0</v>
      </c>
      <c r="E3354">
        <f>IF(ISBLANK(C3354),0,VLOOKUP(C3354,$AE$2:$AF$7,2,0))</f>
        <v>0</v>
      </c>
      <c r="F3354">
        <f t="shared" si="111"/>
        <v>0</v>
      </c>
    </row>
    <row r="3355" spans="1:6">
      <c r="A3355" s="30">
        <f t="shared" si="110"/>
        <v>46445</v>
      </c>
      <c r="B3355" s="32" t="s">
        <v>206</v>
      </c>
      <c r="C3355" t="s">
        <v>206</v>
      </c>
      <c r="D3355">
        <f>IF(B3355=$AB$2,$AC$2,$AC$3)</f>
        <v>0</v>
      </c>
      <c r="E3355">
        <f>IF(ISBLANK(C3355),0,VLOOKUP(C3355,$AE$2:$AF$7,2,0))</f>
        <v>0</v>
      </c>
      <c r="F3355">
        <f t="shared" si="111"/>
        <v>0</v>
      </c>
    </row>
    <row r="3356" spans="1:6">
      <c r="A3356" s="30">
        <f t="shared" si="110"/>
        <v>46446</v>
      </c>
      <c r="B3356" s="32" t="s">
        <v>206</v>
      </c>
      <c r="C3356" t="s">
        <v>206</v>
      </c>
      <c r="D3356">
        <f>IF(B3356=$AB$2,$AC$2,$AC$3)</f>
        <v>0</v>
      </c>
      <c r="E3356">
        <f>IF(ISBLANK(C3356),0,VLOOKUP(C3356,$AE$2:$AF$7,2,0))</f>
        <v>0</v>
      </c>
      <c r="F3356">
        <f t="shared" si="111"/>
        <v>0</v>
      </c>
    </row>
    <row r="3357" spans="1:6">
      <c r="A3357" s="30">
        <f t="shared" si="110"/>
        <v>46447</v>
      </c>
      <c r="B3357" s="32" t="s">
        <v>206</v>
      </c>
      <c r="C3357" t="s">
        <v>206</v>
      </c>
      <c r="D3357">
        <f>IF(B3357=$AB$2,$AC$2,$AC$3)</f>
        <v>0</v>
      </c>
      <c r="E3357">
        <f>IF(ISBLANK(C3357),0,VLOOKUP(C3357,$AE$2:$AF$7,2,0))</f>
        <v>0</v>
      </c>
      <c r="F3357">
        <f t="shared" si="111"/>
        <v>0</v>
      </c>
    </row>
    <row r="3358" spans="1:6">
      <c r="A3358" s="30">
        <f t="shared" si="110"/>
        <v>46448</v>
      </c>
      <c r="B3358" s="32" t="s">
        <v>206</v>
      </c>
      <c r="C3358" t="s">
        <v>206</v>
      </c>
      <c r="D3358">
        <f>IF(B3358=$AB$2,$AC$2,$AC$3)</f>
        <v>0</v>
      </c>
      <c r="E3358">
        <f>IF(ISBLANK(C3358),0,VLOOKUP(C3358,$AE$2:$AF$7,2,0))</f>
        <v>0</v>
      </c>
      <c r="F3358">
        <f t="shared" si="111"/>
        <v>0</v>
      </c>
    </row>
    <row r="3359" spans="1:6">
      <c r="A3359" s="30">
        <f t="shared" si="110"/>
        <v>46449</v>
      </c>
      <c r="B3359" s="32" t="s">
        <v>206</v>
      </c>
      <c r="C3359" t="s">
        <v>206</v>
      </c>
      <c r="D3359">
        <f>IF(B3359=$AB$2,$AC$2,$AC$3)</f>
        <v>0</v>
      </c>
      <c r="E3359">
        <f>IF(ISBLANK(C3359),0,VLOOKUP(C3359,$AE$2:$AF$7,2,0))</f>
        <v>0</v>
      </c>
      <c r="F3359">
        <f t="shared" si="111"/>
        <v>0</v>
      </c>
    </row>
    <row r="3360" spans="1:6">
      <c r="A3360" s="30">
        <f t="shared" si="110"/>
        <v>46450</v>
      </c>
      <c r="B3360" s="32" t="s">
        <v>206</v>
      </c>
      <c r="C3360" t="s">
        <v>206</v>
      </c>
      <c r="D3360">
        <f>IF(B3360=$AB$2,$AC$2,$AC$3)</f>
        <v>0</v>
      </c>
      <c r="E3360">
        <f>IF(ISBLANK(C3360),0,VLOOKUP(C3360,$AE$2:$AF$7,2,0))</f>
        <v>0</v>
      </c>
      <c r="F3360">
        <f t="shared" si="111"/>
        <v>0</v>
      </c>
    </row>
    <row r="3361" spans="1:6">
      <c r="A3361" s="30">
        <f t="shared" si="110"/>
        <v>46451</v>
      </c>
      <c r="B3361" s="32" t="s">
        <v>206</v>
      </c>
      <c r="C3361" t="s">
        <v>206</v>
      </c>
      <c r="D3361">
        <f>IF(B3361=$AB$2,$AC$2,$AC$3)</f>
        <v>0</v>
      </c>
      <c r="E3361">
        <f>IF(ISBLANK(C3361),0,VLOOKUP(C3361,$AE$2:$AF$7,2,0))</f>
        <v>0</v>
      </c>
      <c r="F3361">
        <f t="shared" si="111"/>
        <v>0</v>
      </c>
    </row>
    <row r="3362" spans="1:6">
      <c r="A3362" s="30">
        <f t="shared" si="110"/>
        <v>46452</v>
      </c>
      <c r="B3362" s="32" t="s">
        <v>206</v>
      </c>
      <c r="C3362" t="s">
        <v>206</v>
      </c>
      <c r="D3362">
        <f>IF(B3362=$AB$2,$AC$2,$AC$3)</f>
        <v>0</v>
      </c>
      <c r="E3362">
        <f>IF(ISBLANK(C3362),0,VLOOKUP(C3362,$AE$2:$AF$7,2,0))</f>
        <v>0</v>
      </c>
      <c r="F3362">
        <f t="shared" si="111"/>
        <v>0</v>
      </c>
    </row>
    <row r="3363" spans="1:6">
      <c r="A3363" s="30">
        <f t="shared" si="110"/>
        <v>46453</v>
      </c>
      <c r="B3363" s="32" t="s">
        <v>206</v>
      </c>
      <c r="C3363" t="s">
        <v>206</v>
      </c>
      <c r="D3363">
        <f>IF(B3363=$AB$2,$AC$2,$AC$3)</f>
        <v>0</v>
      </c>
      <c r="E3363">
        <f>IF(ISBLANK(C3363),0,VLOOKUP(C3363,$AE$2:$AF$7,2,0))</f>
        <v>0</v>
      </c>
      <c r="F3363">
        <f t="shared" si="111"/>
        <v>0</v>
      </c>
    </row>
    <row r="3364" spans="1:6">
      <c r="A3364" s="30">
        <f t="shared" si="110"/>
        <v>46454</v>
      </c>
      <c r="B3364" s="32" t="s">
        <v>206</v>
      </c>
      <c r="C3364" t="s">
        <v>206</v>
      </c>
      <c r="D3364">
        <f>IF(B3364=$AB$2,$AC$2,$AC$3)</f>
        <v>0</v>
      </c>
      <c r="E3364">
        <f>IF(ISBLANK(C3364),0,VLOOKUP(C3364,$AE$2:$AF$7,2,0))</f>
        <v>0</v>
      </c>
      <c r="F3364">
        <f t="shared" si="111"/>
        <v>0</v>
      </c>
    </row>
    <row r="3365" spans="1:6">
      <c r="A3365" s="30">
        <f t="shared" si="110"/>
        <v>46455</v>
      </c>
      <c r="B3365" s="32" t="s">
        <v>206</v>
      </c>
      <c r="C3365" t="s">
        <v>206</v>
      </c>
      <c r="D3365">
        <f>IF(B3365=$AB$2,$AC$2,$AC$3)</f>
        <v>0</v>
      </c>
      <c r="E3365">
        <f>IF(ISBLANK(C3365),0,VLOOKUP(C3365,$AE$2:$AF$7,2,0))</f>
        <v>0</v>
      </c>
      <c r="F3365">
        <f t="shared" si="111"/>
        <v>0</v>
      </c>
    </row>
    <row r="3366" spans="1:6">
      <c r="A3366" s="30">
        <f t="shared" si="110"/>
        <v>46456</v>
      </c>
      <c r="B3366" s="32" t="s">
        <v>206</v>
      </c>
      <c r="C3366" t="s">
        <v>206</v>
      </c>
      <c r="D3366">
        <f>IF(B3366=$AB$2,$AC$2,$AC$3)</f>
        <v>0</v>
      </c>
      <c r="E3366">
        <f>IF(ISBLANK(C3366),0,VLOOKUP(C3366,$AE$2:$AF$7,2,0))</f>
        <v>0</v>
      </c>
      <c r="F3366">
        <f t="shared" si="111"/>
        <v>0</v>
      </c>
    </row>
    <row r="3367" spans="1:6">
      <c r="A3367" s="30">
        <f t="shared" si="110"/>
        <v>46457</v>
      </c>
      <c r="B3367" s="32" t="s">
        <v>206</v>
      </c>
      <c r="C3367" t="s">
        <v>206</v>
      </c>
      <c r="D3367">
        <f>IF(B3367=$AB$2,$AC$2,$AC$3)</f>
        <v>0</v>
      </c>
      <c r="E3367">
        <f>IF(ISBLANK(C3367),0,VLOOKUP(C3367,$AE$2:$AF$7,2,0))</f>
        <v>0</v>
      </c>
      <c r="F3367">
        <f t="shared" si="111"/>
        <v>0</v>
      </c>
    </row>
    <row r="3368" spans="1:6">
      <c r="A3368" s="30">
        <f t="shared" si="110"/>
        <v>46458</v>
      </c>
      <c r="B3368" s="32" t="s">
        <v>206</v>
      </c>
      <c r="C3368" t="s">
        <v>206</v>
      </c>
      <c r="D3368">
        <f>IF(B3368=$AB$2,$AC$2,$AC$3)</f>
        <v>0</v>
      </c>
      <c r="E3368">
        <f>IF(ISBLANK(C3368),0,VLOOKUP(C3368,$AE$2:$AF$7,2,0))</f>
        <v>0</v>
      </c>
      <c r="F3368">
        <f t="shared" si="111"/>
        <v>0</v>
      </c>
    </row>
    <row r="3369" spans="1:6">
      <c r="A3369" s="30">
        <f t="shared" si="110"/>
        <v>46459</v>
      </c>
      <c r="B3369" s="32" t="s">
        <v>206</v>
      </c>
      <c r="C3369" t="s">
        <v>206</v>
      </c>
      <c r="D3369">
        <f>IF(B3369=$AB$2,$AC$2,$AC$3)</f>
        <v>0</v>
      </c>
      <c r="E3369">
        <f>IF(ISBLANK(C3369),0,VLOOKUP(C3369,$AE$2:$AF$7,2,0))</f>
        <v>0</v>
      </c>
      <c r="F3369">
        <f t="shared" si="111"/>
        <v>0</v>
      </c>
    </row>
    <row r="3370" spans="1:6">
      <c r="A3370" s="30">
        <f t="shared" si="110"/>
        <v>46460</v>
      </c>
      <c r="B3370" s="32" t="s">
        <v>206</v>
      </c>
      <c r="C3370" t="s">
        <v>206</v>
      </c>
      <c r="D3370">
        <f>IF(B3370=$AB$2,$AC$2,$AC$3)</f>
        <v>0</v>
      </c>
      <c r="E3370">
        <f>IF(ISBLANK(C3370),0,VLOOKUP(C3370,$AE$2:$AF$7,2,0))</f>
        <v>0</v>
      </c>
      <c r="F3370">
        <f t="shared" si="111"/>
        <v>0</v>
      </c>
    </row>
    <row r="3371" spans="1:6">
      <c r="A3371" s="30">
        <f t="shared" si="110"/>
        <v>46461</v>
      </c>
      <c r="B3371" s="32" t="s">
        <v>206</v>
      </c>
      <c r="C3371" t="s">
        <v>206</v>
      </c>
      <c r="D3371">
        <f>IF(B3371=$AB$2,$AC$2,$AC$3)</f>
        <v>0</v>
      </c>
      <c r="E3371">
        <f>IF(ISBLANK(C3371),0,VLOOKUP(C3371,$AE$2:$AF$7,2,0))</f>
        <v>0</v>
      </c>
      <c r="F3371">
        <f t="shared" si="111"/>
        <v>0</v>
      </c>
    </row>
    <row r="3372" spans="1:6">
      <c r="A3372" s="30">
        <f t="shared" si="110"/>
        <v>46462</v>
      </c>
      <c r="B3372" s="32" t="s">
        <v>206</v>
      </c>
      <c r="C3372" t="s">
        <v>206</v>
      </c>
      <c r="D3372">
        <f>IF(B3372=$AB$2,$AC$2,$AC$3)</f>
        <v>0</v>
      </c>
      <c r="E3372">
        <f>IF(ISBLANK(C3372),0,VLOOKUP(C3372,$AE$2:$AF$7,2,0))</f>
        <v>0</v>
      </c>
      <c r="F3372">
        <f t="shared" si="111"/>
        <v>0</v>
      </c>
    </row>
    <row r="3373" spans="1:6">
      <c r="A3373" s="30">
        <f t="shared" si="110"/>
        <v>46463</v>
      </c>
      <c r="B3373" s="32" t="s">
        <v>206</v>
      </c>
      <c r="C3373" t="s">
        <v>206</v>
      </c>
      <c r="D3373">
        <f>IF(B3373=$AB$2,$AC$2,$AC$3)</f>
        <v>0</v>
      </c>
      <c r="E3373">
        <f>IF(ISBLANK(C3373),0,VLOOKUP(C3373,$AE$2:$AF$7,2,0))</f>
        <v>0</v>
      </c>
      <c r="F3373">
        <f t="shared" si="111"/>
        <v>0</v>
      </c>
    </row>
    <row r="3374" spans="1:6">
      <c r="A3374" s="30">
        <f t="shared" ref="A3374:A3422" si="112">A3373+1</f>
        <v>46464</v>
      </c>
      <c r="B3374" s="32" t="s">
        <v>206</v>
      </c>
      <c r="C3374" t="s">
        <v>206</v>
      </c>
      <c r="D3374">
        <f>IF(B3374=$AB$2,$AC$2,$AC$3)</f>
        <v>0</v>
      </c>
      <c r="E3374">
        <f>IF(ISBLANK(C3374),0,VLOOKUP(C3374,$AE$2:$AF$7,2,0))</f>
        <v>0</v>
      </c>
      <c r="F3374">
        <f t="shared" si="111"/>
        <v>0</v>
      </c>
    </row>
    <row r="3375" spans="1:6">
      <c r="A3375" s="30">
        <f t="shared" si="112"/>
        <v>46465</v>
      </c>
      <c r="B3375" s="32" t="s">
        <v>206</v>
      </c>
      <c r="C3375" t="s">
        <v>206</v>
      </c>
      <c r="D3375">
        <f>IF(B3375=$AB$2,$AC$2,$AC$3)</f>
        <v>0</v>
      </c>
      <c r="E3375">
        <f>IF(ISBLANK(C3375),0,VLOOKUP(C3375,$AE$2:$AF$7,2,0))</f>
        <v>0</v>
      </c>
      <c r="F3375">
        <f t="shared" si="111"/>
        <v>0</v>
      </c>
    </row>
    <row r="3376" spans="1:6">
      <c r="A3376" s="30">
        <f t="shared" si="112"/>
        <v>46466</v>
      </c>
      <c r="B3376" s="32" t="s">
        <v>206</v>
      </c>
      <c r="C3376" t="s">
        <v>206</v>
      </c>
      <c r="D3376">
        <f>IF(B3376=$AB$2,$AC$2,$AC$3)</f>
        <v>0</v>
      </c>
      <c r="E3376">
        <f>IF(ISBLANK(C3376),0,VLOOKUP(C3376,$AE$2:$AF$7,2,0))</f>
        <v>0</v>
      </c>
      <c r="F3376">
        <f t="shared" si="111"/>
        <v>0</v>
      </c>
    </row>
    <row r="3377" spans="1:6">
      <c r="A3377" s="30">
        <f t="shared" si="112"/>
        <v>46467</v>
      </c>
      <c r="B3377" s="32" t="s">
        <v>206</v>
      </c>
      <c r="C3377" t="s">
        <v>206</v>
      </c>
      <c r="D3377">
        <f>IF(B3377=$AB$2,$AC$2,$AC$3)</f>
        <v>0</v>
      </c>
      <c r="E3377">
        <f>IF(ISBLANK(C3377),0,VLOOKUP(C3377,$AE$2:$AF$7,2,0))</f>
        <v>0</v>
      </c>
      <c r="F3377">
        <f t="shared" si="111"/>
        <v>0</v>
      </c>
    </row>
    <row r="3378" spans="1:6">
      <c r="A3378" s="30">
        <f t="shared" si="112"/>
        <v>46468</v>
      </c>
      <c r="B3378" s="32" t="s">
        <v>206</v>
      </c>
      <c r="C3378" t="s">
        <v>206</v>
      </c>
      <c r="D3378">
        <f>IF(B3378=$AB$2,$AC$2,$AC$3)</f>
        <v>0</v>
      </c>
      <c r="E3378">
        <f>IF(ISBLANK(C3378),0,VLOOKUP(C3378,$AE$2:$AF$7,2,0))</f>
        <v>0</v>
      </c>
      <c r="F3378">
        <f t="shared" si="111"/>
        <v>0</v>
      </c>
    </row>
    <row r="3379" spans="1:6">
      <c r="A3379" s="30">
        <f t="shared" si="112"/>
        <v>46469</v>
      </c>
      <c r="B3379" s="32" t="s">
        <v>206</v>
      </c>
      <c r="C3379" t="s">
        <v>206</v>
      </c>
      <c r="D3379">
        <f>IF(B3379=$AB$2,$AC$2,$AC$3)</f>
        <v>0</v>
      </c>
      <c r="E3379">
        <f>IF(ISBLANK(C3379),0,VLOOKUP(C3379,$AE$2:$AF$7,2,0))</f>
        <v>0</v>
      </c>
      <c r="F3379">
        <f t="shared" si="111"/>
        <v>0</v>
      </c>
    </row>
    <row r="3380" spans="1:6">
      <c r="A3380" s="30">
        <f t="shared" si="112"/>
        <v>46470</v>
      </c>
      <c r="B3380" s="32" t="s">
        <v>206</v>
      </c>
      <c r="C3380" t="s">
        <v>206</v>
      </c>
      <c r="D3380">
        <f>IF(B3380=$AB$2,$AC$2,$AC$3)</f>
        <v>0</v>
      </c>
      <c r="E3380">
        <f>IF(ISBLANK(C3380),0,VLOOKUP(C3380,$AE$2:$AF$7,2,0))</f>
        <v>0</v>
      </c>
      <c r="F3380">
        <f t="shared" si="111"/>
        <v>0</v>
      </c>
    </row>
    <row r="3381" spans="1:6">
      <c r="A3381" s="30">
        <f t="shared" si="112"/>
        <v>46471</v>
      </c>
      <c r="B3381" s="32" t="s">
        <v>206</v>
      </c>
      <c r="C3381" t="s">
        <v>206</v>
      </c>
      <c r="D3381">
        <f>IF(B3381=$AB$2,$AC$2,$AC$3)</f>
        <v>0</v>
      </c>
      <c r="E3381">
        <f>IF(ISBLANK(C3381),0,VLOOKUP(C3381,$AE$2:$AF$7,2,0))</f>
        <v>0</v>
      </c>
      <c r="F3381">
        <f t="shared" si="111"/>
        <v>0</v>
      </c>
    </row>
    <row r="3382" spans="1:6">
      <c r="A3382" s="30">
        <f t="shared" si="112"/>
        <v>46472</v>
      </c>
      <c r="B3382" s="32" t="s">
        <v>206</v>
      </c>
      <c r="C3382" t="s">
        <v>206</v>
      </c>
      <c r="D3382">
        <f>IF(B3382=$AB$2,$AC$2,$AC$3)</f>
        <v>0</v>
      </c>
      <c r="E3382">
        <f>IF(ISBLANK(C3382),0,VLOOKUP(C3382,$AE$2:$AF$7,2,0))</f>
        <v>0</v>
      </c>
      <c r="F3382">
        <f t="shared" si="111"/>
        <v>0</v>
      </c>
    </row>
    <row r="3383" spans="1:6">
      <c r="A3383" s="30">
        <f t="shared" si="112"/>
        <v>46473</v>
      </c>
      <c r="B3383" s="32" t="s">
        <v>206</v>
      </c>
      <c r="C3383" t="s">
        <v>206</v>
      </c>
      <c r="D3383">
        <f>IF(B3383=$AB$2,$AC$2,$AC$3)</f>
        <v>0</v>
      </c>
      <c r="E3383">
        <f>IF(ISBLANK(C3383),0,VLOOKUP(C3383,$AE$2:$AF$7,2,0))</f>
        <v>0</v>
      </c>
      <c r="F3383">
        <f t="shared" si="111"/>
        <v>0</v>
      </c>
    </row>
    <row r="3384" spans="1:6">
      <c r="A3384" s="30">
        <f t="shared" si="112"/>
        <v>46474</v>
      </c>
      <c r="B3384" s="32" t="s">
        <v>206</v>
      </c>
      <c r="C3384" t="s">
        <v>206</v>
      </c>
      <c r="D3384">
        <f>IF(B3384=$AB$2,$AC$2,$AC$3)</f>
        <v>0</v>
      </c>
      <c r="E3384">
        <f>IF(ISBLANK(C3384),0,VLOOKUP(C3384,$AE$2:$AF$7,2,0))</f>
        <v>0</v>
      </c>
      <c r="F3384">
        <f t="shared" si="111"/>
        <v>0</v>
      </c>
    </row>
    <row r="3385" spans="1:6">
      <c r="A3385" s="30">
        <f t="shared" si="112"/>
        <v>46475</v>
      </c>
      <c r="B3385" s="32" t="s">
        <v>206</v>
      </c>
      <c r="C3385" t="s">
        <v>206</v>
      </c>
      <c r="D3385">
        <f>IF(B3385=$AB$2,$AC$2,$AC$3)</f>
        <v>0</v>
      </c>
      <c r="E3385">
        <f>IF(ISBLANK(C3385),0,VLOOKUP(C3385,$AE$2:$AF$7,2,0))</f>
        <v>0</v>
      </c>
      <c r="F3385">
        <f t="shared" si="111"/>
        <v>0</v>
      </c>
    </row>
    <row r="3386" spans="1:6">
      <c r="A3386" s="30">
        <f t="shared" si="112"/>
        <v>46476</v>
      </c>
      <c r="B3386" s="32" t="s">
        <v>206</v>
      </c>
      <c r="C3386" t="s">
        <v>206</v>
      </c>
      <c r="D3386">
        <f>IF(B3386=$AB$2,$AC$2,$AC$3)</f>
        <v>0</v>
      </c>
      <c r="E3386">
        <f>IF(ISBLANK(C3386),0,VLOOKUP(C3386,$AE$2:$AF$7,2,0))</f>
        <v>0</v>
      </c>
      <c r="F3386">
        <f t="shared" si="111"/>
        <v>0</v>
      </c>
    </row>
    <row r="3387" spans="1:6">
      <c r="A3387" s="30">
        <f t="shared" si="112"/>
        <v>46477</v>
      </c>
      <c r="B3387" s="32" t="s">
        <v>206</v>
      </c>
      <c r="C3387" t="s">
        <v>206</v>
      </c>
      <c r="D3387">
        <f>IF(B3387=$AB$2,$AC$2,$AC$3)</f>
        <v>0</v>
      </c>
      <c r="E3387">
        <f>IF(ISBLANK(C3387),0,VLOOKUP(C3387,$AE$2:$AF$7,2,0))</f>
        <v>0</v>
      </c>
      <c r="F3387">
        <f t="shared" si="111"/>
        <v>0</v>
      </c>
    </row>
    <row r="3388" spans="1:6">
      <c r="A3388" s="30">
        <f t="shared" si="112"/>
        <v>46478</v>
      </c>
      <c r="B3388" s="32" t="s">
        <v>206</v>
      </c>
      <c r="C3388" t="s">
        <v>206</v>
      </c>
      <c r="D3388">
        <f>IF(B3388=$AB$2,$AC$2,$AC$3)</f>
        <v>0</v>
      </c>
      <c r="E3388">
        <f>IF(ISBLANK(C3388),0,VLOOKUP(C3388,$AE$2:$AF$7,2,0))</f>
        <v>0</v>
      </c>
      <c r="F3388">
        <f t="shared" si="111"/>
        <v>0</v>
      </c>
    </row>
    <row r="3389" spans="1:6">
      <c r="A3389" s="30">
        <f t="shared" si="112"/>
        <v>46479</v>
      </c>
      <c r="B3389" s="32" t="s">
        <v>206</v>
      </c>
      <c r="C3389" t="s">
        <v>206</v>
      </c>
      <c r="D3389">
        <f>IF(B3389=$AB$2,$AC$2,$AC$3)</f>
        <v>0</v>
      </c>
      <c r="E3389">
        <f>IF(ISBLANK(C3389),0,VLOOKUP(C3389,$AE$2:$AF$7,2,0))</f>
        <v>0</v>
      </c>
      <c r="F3389">
        <f t="shared" si="111"/>
        <v>0</v>
      </c>
    </row>
    <row r="3390" spans="1:6">
      <c r="A3390" s="30">
        <f t="shared" si="112"/>
        <v>46480</v>
      </c>
      <c r="B3390" s="32" t="s">
        <v>206</v>
      </c>
      <c r="C3390" t="s">
        <v>206</v>
      </c>
      <c r="D3390">
        <f>IF(B3390=$AB$2,$AC$2,$AC$3)</f>
        <v>0</v>
      </c>
      <c r="E3390">
        <f>IF(ISBLANK(C3390),0,VLOOKUP(C3390,$AE$2:$AF$7,2,0))</f>
        <v>0</v>
      </c>
      <c r="F3390">
        <f t="shared" si="111"/>
        <v>0</v>
      </c>
    </row>
    <row r="3391" spans="1:6">
      <c r="A3391" s="30">
        <f t="shared" si="112"/>
        <v>46481</v>
      </c>
      <c r="B3391" s="32" t="s">
        <v>206</v>
      </c>
      <c r="C3391" t="s">
        <v>206</v>
      </c>
      <c r="D3391">
        <f>IF(B3391=$AB$2,$AC$2,$AC$3)</f>
        <v>0</v>
      </c>
      <c r="E3391">
        <f>IF(ISBLANK(C3391),0,VLOOKUP(C3391,$AE$2:$AF$7,2,0))</f>
        <v>0</v>
      </c>
      <c r="F3391">
        <f t="shared" si="111"/>
        <v>0</v>
      </c>
    </row>
    <row r="3392" spans="1:6">
      <c r="A3392" s="30">
        <f t="shared" si="112"/>
        <v>46482</v>
      </c>
      <c r="B3392" s="32" t="s">
        <v>206</v>
      </c>
      <c r="C3392" t="s">
        <v>206</v>
      </c>
      <c r="D3392">
        <f>IF(B3392=$AB$2,$AC$2,$AC$3)</f>
        <v>0</v>
      </c>
      <c r="E3392">
        <f>IF(ISBLANK(C3392),0,VLOOKUP(C3392,$AE$2:$AF$7,2,0))</f>
        <v>0</v>
      </c>
      <c r="F3392">
        <f t="shared" si="111"/>
        <v>0</v>
      </c>
    </row>
    <row r="3393" spans="1:6">
      <c r="A3393" s="30">
        <f t="shared" si="112"/>
        <v>46483</v>
      </c>
      <c r="B3393" s="32" t="s">
        <v>206</v>
      </c>
      <c r="C3393" t="s">
        <v>206</v>
      </c>
      <c r="D3393">
        <f>IF(B3393=$AB$2,$AC$2,$AC$3)</f>
        <v>0</v>
      </c>
      <c r="E3393">
        <f>IF(ISBLANK(C3393),0,VLOOKUP(C3393,$AE$2:$AF$7,2,0))</f>
        <v>0</v>
      </c>
      <c r="F3393">
        <f t="shared" si="111"/>
        <v>0</v>
      </c>
    </row>
    <row r="3394" spans="1:6">
      <c r="A3394" s="30">
        <f t="shared" si="112"/>
        <v>46484</v>
      </c>
      <c r="B3394" s="32" t="s">
        <v>206</v>
      </c>
      <c r="C3394" t="s">
        <v>206</v>
      </c>
      <c r="D3394">
        <f>IF(B3394=$AB$2,$AC$2,$AC$3)</f>
        <v>0</v>
      </c>
      <c r="E3394">
        <f>IF(ISBLANK(C3394),0,VLOOKUP(C3394,$AE$2:$AF$7,2,0))</f>
        <v>0</v>
      </c>
      <c r="F3394">
        <f t="shared" si="111"/>
        <v>0</v>
      </c>
    </row>
    <row r="3395" spans="1:6">
      <c r="A3395" s="30">
        <f t="shared" si="112"/>
        <v>46485</v>
      </c>
      <c r="B3395" s="32" t="s">
        <v>206</v>
      </c>
      <c r="C3395" t="s">
        <v>206</v>
      </c>
      <c r="D3395">
        <f>IF(B3395=$AB$2,$AC$2,$AC$3)</f>
        <v>0</v>
      </c>
      <c r="E3395">
        <f>IF(ISBLANK(C3395),0,VLOOKUP(C3395,$AE$2:$AF$7,2,0))</f>
        <v>0</v>
      </c>
      <c r="F3395">
        <f t="shared" ref="F3395:F3458" si="113">D3395*E3395</f>
        <v>0</v>
      </c>
    </row>
    <row r="3396" spans="1:6">
      <c r="A3396" s="30">
        <f t="shared" si="112"/>
        <v>46486</v>
      </c>
      <c r="B3396" s="32" t="s">
        <v>206</v>
      </c>
      <c r="C3396" t="s">
        <v>206</v>
      </c>
      <c r="D3396">
        <f>IF(B3396=$AB$2,$AC$2,$AC$3)</f>
        <v>0</v>
      </c>
      <c r="E3396">
        <f>IF(ISBLANK(C3396),0,VLOOKUP(C3396,$AE$2:$AF$7,2,0))</f>
        <v>0</v>
      </c>
      <c r="F3396">
        <f t="shared" si="113"/>
        <v>0</v>
      </c>
    </row>
    <row r="3397" spans="1:6">
      <c r="A3397" s="30">
        <f t="shared" si="112"/>
        <v>46487</v>
      </c>
      <c r="B3397" s="32" t="s">
        <v>206</v>
      </c>
      <c r="C3397" t="s">
        <v>206</v>
      </c>
      <c r="D3397">
        <f>IF(B3397=$AB$2,$AC$2,$AC$3)</f>
        <v>0</v>
      </c>
      <c r="E3397">
        <f>IF(ISBLANK(C3397),0,VLOOKUP(C3397,$AE$2:$AF$7,2,0))</f>
        <v>0</v>
      </c>
      <c r="F3397">
        <f t="shared" si="113"/>
        <v>0</v>
      </c>
    </row>
    <row r="3398" spans="1:6">
      <c r="A3398" s="30">
        <f t="shared" si="112"/>
        <v>46488</v>
      </c>
      <c r="B3398" s="32" t="s">
        <v>206</v>
      </c>
      <c r="C3398" t="s">
        <v>206</v>
      </c>
      <c r="D3398">
        <f>IF(B3398=$AB$2,$AC$2,$AC$3)</f>
        <v>0</v>
      </c>
      <c r="E3398">
        <f>IF(ISBLANK(C3398),0,VLOOKUP(C3398,$AE$2:$AF$7,2,0))</f>
        <v>0</v>
      </c>
      <c r="F3398">
        <f t="shared" si="113"/>
        <v>0</v>
      </c>
    </row>
    <row r="3399" spans="1:6">
      <c r="A3399" s="30">
        <f t="shared" si="112"/>
        <v>46489</v>
      </c>
      <c r="B3399" s="32" t="s">
        <v>206</v>
      </c>
      <c r="C3399" t="s">
        <v>206</v>
      </c>
      <c r="D3399">
        <f>IF(B3399=$AB$2,$AC$2,$AC$3)</f>
        <v>0</v>
      </c>
      <c r="E3399">
        <f>IF(ISBLANK(C3399),0,VLOOKUP(C3399,$AE$2:$AF$7,2,0))</f>
        <v>0</v>
      </c>
      <c r="F3399">
        <f t="shared" si="113"/>
        <v>0</v>
      </c>
    </row>
    <row r="3400" spans="1:6">
      <c r="A3400" s="30">
        <f t="shared" si="112"/>
        <v>46490</v>
      </c>
      <c r="B3400" s="32" t="s">
        <v>206</v>
      </c>
      <c r="C3400" t="s">
        <v>206</v>
      </c>
      <c r="D3400">
        <f>IF(B3400=$AB$2,$AC$2,$AC$3)</f>
        <v>0</v>
      </c>
      <c r="E3400">
        <f>IF(ISBLANK(C3400),0,VLOOKUP(C3400,$AE$2:$AF$7,2,0))</f>
        <v>0</v>
      </c>
      <c r="F3400">
        <f t="shared" si="113"/>
        <v>0</v>
      </c>
    </row>
    <row r="3401" spans="1:6">
      <c r="A3401" s="30">
        <f t="shared" si="112"/>
        <v>46491</v>
      </c>
      <c r="B3401" s="32" t="s">
        <v>206</v>
      </c>
      <c r="C3401" t="s">
        <v>206</v>
      </c>
      <c r="D3401">
        <f>IF(B3401=$AB$2,$AC$2,$AC$3)</f>
        <v>0</v>
      </c>
      <c r="E3401">
        <f>IF(ISBLANK(C3401),0,VLOOKUP(C3401,$AE$2:$AF$7,2,0))</f>
        <v>0</v>
      </c>
      <c r="F3401">
        <f t="shared" si="113"/>
        <v>0</v>
      </c>
    </row>
    <row r="3402" spans="1:6">
      <c r="A3402" s="30">
        <f t="shared" si="112"/>
        <v>46492</v>
      </c>
      <c r="B3402" s="32" t="s">
        <v>206</v>
      </c>
      <c r="C3402" t="s">
        <v>206</v>
      </c>
      <c r="D3402">
        <f>IF(B3402=$AB$2,$AC$2,$AC$3)</f>
        <v>0</v>
      </c>
      <c r="E3402">
        <f>IF(ISBLANK(C3402),0,VLOOKUP(C3402,$AE$2:$AF$7,2,0))</f>
        <v>0</v>
      </c>
      <c r="F3402">
        <f t="shared" si="113"/>
        <v>0</v>
      </c>
    </row>
    <row r="3403" spans="1:6">
      <c r="A3403" s="30">
        <f t="shared" si="112"/>
        <v>46493</v>
      </c>
      <c r="B3403" s="32" t="s">
        <v>206</v>
      </c>
      <c r="C3403" t="s">
        <v>206</v>
      </c>
      <c r="D3403">
        <f>IF(B3403=$AB$2,$AC$2,$AC$3)</f>
        <v>0</v>
      </c>
      <c r="E3403">
        <f>IF(ISBLANK(C3403),0,VLOOKUP(C3403,$AE$2:$AF$7,2,0))</f>
        <v>0</v>
      </c>
      <c r="F3403">
        <f t="shared" si="113"/>
        <v>0</v>
      </c>
    </row>
    <row r="3404" spans="1:6">
      <c r="A3404" s="30">
        <f t="shared" si="112"/>
        <v>46494</v>
      </c>
      <c r="B3404" s="32" t="s">
        <v>206</v>
      </c>
      <c r="C3404" t="s">
        <v>206</v>
      </c>
      <c r="D3404">
        <f>IF(B3404=$AB$2,$AC$2,$AC$3)</f>
        <v>0</v>
      </c>
      <c r="E3404">
        <f>IF(ISBLANK(C3404),0,VLOOKUP(C3404,$AE$2:$AF$7,2,0))</f>
        <v>0</v>
      </c>
      <c r="F3404">
        <f t="shared" si="113"/>
        <v>0</v>
      </c>
    </row>
    <row r="3405" spans="1:6">
      <c r="A3405" s="30">
        <f t="shared" si="112"/>
        <v>46495</v>
      </c>
      <c r="B3405" s="32" t="s">
        <v>206</v>
      </c>
      <c r="C3405" t="s">
        <v>206</v>
      </c>
      <c r="D3405">
        <f>IF(B3405=$AB$2,$AC$2,$AC$3)</f>
        <v>0</v>
      </c>
      <c r="E3405">
        <f>IF(ISBLANK(C3405),0,VLOOKUP(C3405,$AE$2:$AF$7,2,0))</f>
        <v>0</v>
      </c>
      <c r="F3405">
        <f t="shared" si="113"/>
        <v>0</v>
      </c>
    </row>
    <row r="3406" spans="1:6">
      <c r="A3406" s="30">
        <f t="shared" si="112"/>
        <v>46496</v>
      </c>
      <c r="B3406" s="32" t="s">
        <v>206</v>
      </c>
      <c r="C3406" t="s">
        <v>206</v>
      </c>
      <c r="D3406">
        <f>IF(B3406=$AB$2,$AC$2,$AC$3)</f>
        <v>0</v>
      </c>
      <c r="E3406">
        <f>IF(ISBLANK(C3406),0,VLOOKUP(C3406,$AE$2:$AF$7,2,0))</f>
        <v>0</v>
      </c>
      <c r="F3406">
        <f t="shared" si="113"/>
        <v>0</v>
      </c>
    </row>
    <row r="3407" spans="1:6">
      <c r="A3407" s="30">
        <f t="shared" si="112"/>
        <v>46497</v>
      </c>
      <c r="B3407" s="32" t="s">
        <v>206</v>
      </c>
      <c r="C3407" t="s">
        <v>206</v>
      </c>
      <c r="D3407">
        <f>IF(B3407=$AB$2,$AC$2,$AC$3)</f>
        <v>0</v>
      </c>
      <c r="E3407">
        <f>IF(ISBLANK(C3407),0,VLOOKUP(C3407,$AE$2:$AF$7,2,0))</f>
        <v>0</v>
      </c>
      <c r="F3407">
        <f t="shared" si="113"/>
        <v>0</v>
      </c>
    </row>
    <row r="3408" spans="1:6">
      <c r="A3408" s="30">
        <f t="shared" si="112"/>
        <v>46498</v>
      </c>
      <c r="B3408" s="32" t="s">
        <v>206</v>
      </c>
      <c r="C3408" t="s">
        <v>206</v>
      </c>
      <c r="D3408">
        <f>IF(B3408=$AB$2,$AC$2,$AC$3)</f>
        <v>0</v>
      </c>
      <c r="E3408">
        <f>IF(ISBLANK(C3408),0,VLOOKUP(C3408,$AE$2:$AF$7,2,0))</f>
        <v>0</v>
      </c>
      <c r="F3408">
        <f t="shared" si="113"/>
        <v>0</v>
      </c>
    </row>
    <row r="3409" spans="1:6">
      <c r="A3409" s="30">
        <f t="shared" si="112"/>
        <v>46499</v>
      </c>
      <c r="B3409" s="32" t="s">
        <v>206</v>
      </c>
      <c r="C3409" t="s">
        <v>206</v>
      </c>
      <c r="D3409">
        <f>IF(B3409=$AB$2,$AC$2,$AC$3)</f>
        <v>0</v>
      </c>
      <c r="E3409">
        <f>IF(ISBLANK(C3409),0,VLOOKUP(C3409,$AE$2:$AF$7,2,0))</f>
        <v>0</v>
      </c>
      <c r="F3409">
        <f t="shared" si="113"/>
        <v>0</v>
      </c>
    </row>
    <row r="3410" spans="1:6">
      <c r="A3410" s="30">
        <f t="shared" si="112"/>
        <v>46500</v>
      </c>
      <c r="B3410" s="32" t="s">
        <v>206</v>
      </c>
      <c r="C3410" t="s">
        <v>206</v>
      </c>
      <c r="D3410">
        <f>IF(B3410=$AB$2,$AC$2,$AC$3)</f>
        <v>0</v>
      </c>
      <c r="E3410">
        <f>IF(ISBLANK(C3410),0,VLOOKUP(C3410,$AE$2:$AF$7,2,0))</f>
        <v>0</v>
      </c>
      <c r="F3410">
        <f t="shared" si="113"/>
        <v>0</v>
      </c>
    </row>
    <row r="3411" spans="1:6">
      <c r="A3411" s="30">
        <f t="shared" si="112"/>
        <v>46501</v>
      </c>
      <c r="B3411" s="32" t="s">
        <v>206</v>
      </c>
      <c r="C3411" t="s">
        <v>206</v>
      </c>
      <c r="D3411">
        <f>IF(B3411=$AB$2,$AC$2,$AC$3)</f>
        <v>0</v>
      </c>
      <c r="E3411">
        <f>IF(ISBLANK(C3411),0,VLOOKUP(C3411,$AE$2:$AF$7,2,0))</f>
        <v>0</v>
      </c>
      <c r="F3411">
        <f t="shared" si="113"/>
        <v>0</v>
      </c>
    </row>
    <row r="3412" spans="1:6">
      <c r="A3412" s="30">
        <f t="shared" si="112"/>
        <v>46502</v>
      </c>
      <c r="B3412" s="32" t="s">
        <v>206</v>
      </c>
      <c r="C3412" t="s">
        <v>206</v>
      </c>
      <c r="D3412">
        <f>IF(B3412=$AB$2,$AC$2,$AC$3)</f>
        <v>0</v>
      </c>
      <c r="E3412">
        <f>IF(ISBLANK(C3412),0,VLOOKUP(C3412,$AE$2:$AF$7,2,0))</f>
        <v>0</v>
      </c>
      <c r="F3412">
        <f t="shared" si="113"/>
        <v>0</v>
      </c>
    </row>
    <row r="3413" spans="1:6">
      <c r="A3413" s="30">
        <f t="shared" si="112"/>
        <v>46503</v>
      </c>
      <c r="B3413" s="32" t="s">
        <v>206</v>
      </c>
      <c r="C3413" t="s">
        <v>206</v>
      </c>
      <c r="D3413">
        <f>IF(B3413=$AB$2,$AC$2,$AC$3)</f>
        <v>0</v>
      </c>
      <c r="E3413">
        <f>IF(ISBLANK(C3413),0,VLOOKUP(C3413,$AE$2:$AF$7,2,0))</f>
        <v>0</v>
      </c>
      <c r="F3413">
        <f t="shared" si="113"/>
        <v>0</v>
      </c>
    </row>
    <row r="3414" spans="1:6">
      <c r="A3414" s="30">
        <f t="shared" si="112"/>
        <v>46504</v>
      </c>
      <c r="B3414" s="32" t="s">
        <v>206</v>
      </c>
      <c r="C3414" t="s">
        <v>206</v>
      </c>
      <c r="D3414">
        <f>IF(B3414=$AB$2,$AC$2,$AC$3)</f>
        <v>0</v>
      </c>
      <c r="E3414">
        <f>IF(ISBLANK(C3414),0,VLOOKUP(C3414,$AE$2:$AF$7,2,0))</f>
        <v>0</v>
      </c>
      <c r="F3414">
        <f t="shared" si="113"/>
        <v>0</v>
      </c>
    </row>
    <row r="3415" spans="1:6">
      <c r="A3415" s="30">
        <f t="shared" si="112"/>
        <v>46505</v>
      </c>
      <c r="B3415" s="32" t="s">
        <v>206</v>
      </c>
      <c r="C3415" t="s">
        <v>206</v>
      </c>
      <c r="D3415">
        <f>IF(B3415=$AB$2,$AC$2,$AC$3)</f>
        <v>0</v>
      </c>
      <c r="E3415">
        <f>IF(ISBLANK(C3415),0,VLOOKUP(C3415,$AE$2:$AF$7,2,0))</f>
        <v>0</v>
      </c>
      <c r="F3415">
        <f t="shared" si="113"/>
        <v>0</v>
      </c>
    </row>
    <row r="3416" spans="1:6">
      <c r="A3416" s="30">
        <f t="shared" si="112"/>
        <v>46506</v>
      </c>
      <c r="B3416" s="32" t="s">
        <v>206</v>
      </c>
      <c r="C3416" t="s">
        <v>206</v>
      </c>
      <c r="D3416">
        <f>IF(B3416=$AB$2,$AC$2,$AC$3)</f>
        <v>0</v>
      </c>
      <c r="E3416">
        <f>IF(ISBLANK(C3416),0,VLOOKUP(C3416,$AE$2:$AF$7,2,0))</f>
        <v>0</v>
      </c>
      <c r="F3416">
        <f t="shared" si="113"/>
        <v>0</v>
      </c>
    </row>
    <row r="3417" spans="1:6">
      <c r="A3417" s="30">
        <f t="shared" si="112"/>
        <v>46507</v>
      </c>
      <c r="B3417" s="32" t="s">
        <v>206</v>
      </c>
      <c r="C3417" t="s">
        <v>206</v>
      </c>
      <c r="D3417">
        <f>IF(B3417=$AB$2,$AC$2,$AC$3)</f>
        <v>0</v>
      </c>
      <c r="E3417">
        <f>IF(ISBLANK(C3417),0,VLOOKUP(C3417,$AE$2:$AF$7,2,0))</f>
        <v>0</v>
      </c>
      <c r="F3417">
        <f t="shared" si="113"/>
        <v>0</v>
      </c>
    </row>
    <row r="3418" spans="1:6">
      <c r="A3418" s="30">
        <f t="shared" si="112"/>
        <v>46508</v>
      </c>
      <c r="B3418" s="32" t="s">
        <v>206</v>
      </c>
      <c r="C3418" t="s">
        <v>206</v>
      </c>
      <c r="D3418">
        <f>IF(B3418=$AB$2,$AC$2,$AC$3)</f>
        <v>0</v>
      </c>
      <c r="E3418">
        <f>IF(ISBLANK(C3418),0,VLOOKUP(C3418,$AE$2:$AF$7,2,0))</f>
        <v>0</v>
      </c>
      <c r="F3418">
        <f t="shared" si="113"/>
        <v>0</v>
      </c>
    </row>
    <row r="3419" spans="1:6">
      <c r="A3419" s="30">
        <f t="shared" si="112"/>
        <v>46509</v>
      </c>
      <c r="B3419" s="32" t="s">
        <v>206</v>
      </c>
      <c r="C3419" t="s">
        <v>206</v>
      </c>
      <c r="D3419">
        <f>IF(B3419=$AB$2,$AC$2,$AC$3)</f>
        <v>0</v>
      </c>
      <c r="E3419">
        <f>IF(ISBLANK(C3419),0,VLOOKUP(C3419,$AE$2:$AF$7,2,0))</f>
        <v>0</v>
      </c>
      <c r="F3419">
        <f t="shared" si="113"/>
        <v>0</v>
      </c>
    </row>
    <row r="3420" spans="1:6">
      <c r="A3420" s="30">
        <f t="shared" si="112"/>
        <v>46510</v>
      </c>
      <c r="B3420" s="32" t="s">
        <v>206</v>
      </c>
      <c r="C3420" t="s">
        <v>206</v>
      </c>
      <c r="D3420">
        <f>IF(B3420=$AB$2,$AC$2,$AC$3)</f>
        <v>0</v>
      </c>
      <c r="E3420">
        <f>IF(ISBLANK(C3420),0,VLOOKUP(C3420,$AE$2:$AF$7,2,0))</f>
        <v>0</v>
      </c>
      <c r="F3420">
        <f t="shared" si="113"/>
        <v>0</v>
      </c>
    </row>
    <row r="3421" spans="1:6">
      <c r="A3421" s="30">
        <f t="shared" si="112"/>
        <v>46511</v>
      </c>
      <c r="B3421" s="32" t="s">
        <v>206</v>
      </c>
      <c r="C3421" t="s">
        <v>206</v>
      </c>
      <c r="D3421">
        <f>IF(B3421=$AB$2,$AC$2,$AC$3)</f>
        <v>0</v>
      </c>
      <c r="E3421">
        <f>IF(ISBLANK(C3421),0,VLOOKUP(C3421,$AE$2:$AF$7,2,0))</f>
        <v>0</v>
      </c>
      <c r="F3421">
        <f t="shared" si="113"/>
        <v>0</v>
      </c>
    </row>
    <row r="3422" spans="1:6">
      <c r="A3422" s="30">
        <f t="shared" si="112"/>
        <v>46512</v>
      </c>
      <c r="B3422" s="32" t="s">
        <v>206</v>
      </c>
      <c r="C3422" t="s">
        <v>206</v>
      </c>
      <c r="D3422">
        <f>IF(B3422=$AB$2,$AC$2,$AC$3)</f>
        <v>0</v>
      </c>
      <c r="E3422">
        <f>IF(ISBLANK(C3422),0,VLOOKUP(C3422,$AE$2:$AF$7,2,0))</f>
        <v>0</v>
      </c>
      <c r="F3422">
        <f t="shared" si="113"/>
        <v>0</v>
      </c>
    </row>
    <row r="3423" spans="1:6">
      <c r="A3423" s="30">
        <f>A3422+1</f>
        <v>46513</v>
      </c>
      <c r="B3423" s="32" t="s">
        <v>206</v>
      </c>
      <c r="C3423" t="s">
        <v>206</v>
      </c>
      <c r="D3423">
        <f>IF(B3423=$AB$2,$AC$2,$AC$3)</f>
        <v>0</v>
      </c>
      <c r="E3423">
        <f>IF(ISBLANK(C3423),0,VLOOKUP(C3423,$AE$2:$AF$7,2,0))</f>
        <v>0</v>
      </c>
      <c r="F3423">
        <f t="shared" si="113"/>
        <v>0</v>
      </c>
    </row>
    <row r="3424" spans="1:6">
      <c r="A3424" s="30">
        <f t="shared" ref="A3424:A3487" si="114">A3423+1</f>
        <v>46514</v>
      </c>
      <c r="B3424" s="32" t="s">
        <v>206</v>
      </c>
      <c r="C3424" t="s">
        <v>206</v>
      </c>
      <c r="D3424">
        <f>IF(B3424=$AB$2,$AC$2,$AC$3)</f>
        <v>0</v>
      </c>
      <c r="E3424">
        <f>IF(ISBLANK(C3424),0,VLOOKUP(C3424,$AE$2:$AF$7,2,0))</f>
        <v>0</v>
      </c>
      <c r="F3424">
        <f t="shared" si="113"/>
        <v>0</v>
      </c>
    </row>
    <row r="3425" spans="1:6">
      <c r="A3425" s="30">
        <f t="shared" si="114"/>
        <v>46515</v>
      </c>
      <c r="B3425" s="32" t="s">
        <v>206</v>
      </c>
      <c r="C3425" t="s">
        <v>206</v>
      </c>
      <c r="D3425">
        <f>IF(B3425=$AB$2,$AC$2,$AC$3)</f>
        <v>0</v>
      </c>
      <c r="E3425">
        <f>IF(ISBLANK(C3425),0,VLOOKUP(C3425,$AE$2:$AF$7,2,0))</f>
        <v>0</v>
      </c>
      <c r="F3425">
        <f t="shared" si="113"/>
        <v>0</v>
      </c>
    </row>
    <row r="3426" spans="1:6">
      <c r="A3426" s="30">
        <f t="shared" si="114"/>
        <v>46516</v>
      </c>
      <c r="B3426" s="32" t="s">
        <v>206</v>
      </c>
      <c r="C3426" t="s">
        <v>206</v>
      </c>
      <c r="D3426">
        <f>IF(B3426=$AB$2,$AC$2,$AC$3)</f>
        <v>0</v>
      </c>
      <c r="E3426">
        <f>IF(ISBLANK(C3426),0,VLOOKUP(C3426,$AE$2:$AF$7,2,0))</f>
        <v>0</v>
      </c>
      <c r="F3426">
        <f t="shared" si="113"/>
        <v>0</v>
      </c>
    </row>
    <row r="3427" spans="1:6">
      <c r="A3427" s="30">
        <f t="shared" si="114"/>
        <v>46517</v>
      </c>
      <c r="B3427" s="32" t="s">
        <v>206</v>
      </c>
      <c r="C3427" t="s">
        <v>206</v>
      </c>
      <c r="D3427">
        <f>IF(B3427=$AB$2,$AC$2,$AC$3)</f>
        <v>0</v>
      </c>
      <c r="E3427">
        <f>IF(ISBLANK(C3427),0,VLOOKUP(C3427,$AE$2:$AF$7,2,0))</f>
        <v>0</v>
      </c>
      <c r="F3427">
        <f t="shared" si="113"/>
        <v>0</v>
      </c>
    </row>
    <row r="3428" spans="1:6">
      <c r="A3428" s="30">
        <f t="shared" si="114"/>
        <v>46518</v>
      </c>
      <c r="B3428" s="32" t="s">
        <v>206</v>
      </c>
      <c r="C3428" t="s">
        <v>206</v>
      </c>
      <c r="D3428">
        <f>IF(B3428=$AB$2,$AC$2,$AC$3)</f>
        <v>0</v>
      </c>
      <c r="E3428">
        <f>IF(ISBLANK(C3428),0,VLOOKUP(C3428,$AE$2:$AF$7,2,0))</f>
        <v>0</v>
      </c>
      <c r="F3428">
        <f t="shared" si="113"/>
        <v>0</v>
      </c>
    </row>
    <row r="3429" spans="1:6">
      <c r="A3429" s="30">
        <f t="shared" si="114"/>
        <v>46519</v>
      </c>
      <c r="B3429" s="32" t="s">
        <v>206</v>
      </c>
      <c r="C3429" t="s">
        <v>206</v>
      </c>
      <c r="D3429">
        <f>IF(B3429=$AB$2,$AC$2,$AC$3)</f>
        <v>0</v>
      </c>
      <c r="E3429">
        <f>IF(ISBLANK(C3429),0,VLOOKUP(C3429,$AE$2:$AF$7,2,0))</f>
        <v>0</v>
      </c>
      <c r="F3429">
        <f t="shared" si="113"/>
        <v>0</v>
      </c>
    </row>
    <row r="3430" spans="1:6">
      <c r="A3430" s="30">
        <f t="shared" si="114"/>
        <v>46520</v>
      </c>
      <c r="B3430" s="32" t="s">
        <v>206</v>
      </c>
      <c r="C3430" t="s">
        <v>206</v>
      </c>
      <c r="D3430">
        <f>IF(B3430=$AB$2,$AC$2,$AC$3)</f>
        <v>0</v>
      </c>
      <c r="E3430">
        <f>IF(ISBLANK(C3430),0,VLOOKUP(C3430,$AE$2:$AF$7,2,0))</f>
        <v>0</v>
      </c>
      <c r="F3430">
        <f t="shared" si="113"/>
        <v>0</v>
      </c>
    </row>
    <row r="3431" spans="1:6">
      <c r="A3431" s="30">
        <f t="shared" si="114"/>
        <v>46521</v>
      </c>
      <c r="B3431" s="32" t="s">
        <v>206</v>
      </c>
      <c r="C3431" t="s">
        <v>206</v>
      </c>
      <c r="D3431">
        <f>IF(B3431=$AB$2,$AC$2,$AC$3)</f>
        <v>0</v>
      </c>
      <c r="E3431">
        <f>IF(ISBLANK(C3431),0,VLOOKUP(C3431,$AE$2:$AF$7,2,0))</f>
        <v>0</v>
      </c>
      <c r="F3431">
        <f t="shared" si="113"/>
        <v>0</v>
      </c>
    </row>
    <row r="3432" spans="1:6">
      <c r="A3432" s="30">
        <f t="shared" si="114"/>
        <v>46522</v>
      </c>
      <c r="B3432" s="32" t="s">
        <v>206</v>
      </c>
      <c r="C3432" t="s">
        <v>206</v>
      </c>
      <c r="D3432">
        <f>IF(B3432=$AB$2,$AC$2,$AC$3)</f>
        <v>0</v>
      </c>
      <c r="E3432">
        <f>IF(ISBLANK(C3432),0,VLOOKUP(C3432,$AE$2:$AF$7,2,0))</f>
        <v>0</v>
      </c>
      <c r="F3432">
        <f t="shared" si="113"/>
        <v>0</v>
      </c>
    </row>
    <row r="3433" spans="1:6">
      <c r="A3433" s="30">
        <f t="shared" si="114"/>
        <v>46523</v>
      </c>
      <c r="B3433" s="32" t="s">
        <v>206</v>
      </c>
      <c r="C3433" t="s">
        <v>206</v>
      </c>
      <c r="D3433">
        <f>IF(B3433=$AB$2,$AC$2,$AC$3)</f>
        <v>0</v>
      </c>
      <c r="E3433">
        <f>IF(ISBLANK(C3433),0,VLOOKUP(C3433,$AE$2:$AF$7,2,0))</f>
        <v>0</v>
      </c>
      <c r="F3433">
        <f t="shared" si="113"/>
        <v>0</v>
      </c>
    </row>
    <row r="3434" spans="1:6">
      <c r="A3434" s="30">
        <f t="shared" si="114"/>
        <v>46524</v>
      </c>
      <c r="B3434" s="32" t="s">
        <v>206</v>
      </c>
      <c r="C3434" t="s">
        <v>206</v>
      </c>
      <c r="D3434">
        <f>IF(B3434=$AB$2,$AC$2,$AC$3)</f>
        <v>0</v>
      </c>
      <c r="E3434">
        <f>IF(ISBLANK(C3434),0,VLOOKUP(C3434,$AE$2:$AF$7,2,0))</f>
        <v>0</v>
      </c>
      <c r="F3434">
        <f t="shared" si="113"/>
        <v>0</v>
      </c>
    </row>
    <row r="3435" spans="1:6">
      <c r="A3435" s="30">
        <f t="shared" si="114"/>
        <v>46525</v>
      </c>
      <c r="B3435" s="32" t="s">
        <v>206</v>
      </c>
      <c r="C3435" t="s">
        <v>206</v>
      </c>
      <c r="D3435">
        <f>IF(B3435=$AB$2,$AC$2,$AC$3)</f>
        <v>0</v>
      </c>
      <c r="E3435">
        <f>IF(ISBLANK(C3435),0,VLOOKUP(C3435,$AE$2:$AF$7,2,0))</f>
        <v>0</v>
      </c>
      <c r="F3435">
        <f t="shared" si="113"/>
        <v>0</v>
      </c>
    </row>
    <row r="3436" spans="1:6">
      <c r="A3436" s="30">
        <f t="shared" si="114"/>
        <v>46526</v>
      </c>
      <c r="B3436" s="32" t="s">
        <v>206</v>
      </c>
      <c r="C3436" t="s">
        <v>206</v>
      </c>
      <c r="D3436">
        <f>IF(B3436=$AB$2,$AC$2,$AC$3)</f>
        <v>0</v>
      </c>
      <c r="E3436">
        <f>IF(ISBLANK(C3436),0,VLOOKUP(C3436,$AE$2:$AF$7,2,0))</f>
        <v>0</v>
      </c>
      <c r="F3436">
        <f t="shared" si="113"/>
        <v>0</v>
      </c>
    </row>
    <row r="3437" spans="1:6">
      <c r="A3437" s="30">
        <f t="shared" si="114"/>
        <v>46527</v>
      </c>
      <c r="B3437" s="32" t="s">
        <v>206</v>
      </c>
      <c r="C3437" t="s">
        <v>206</v>
      </c>
      <c r="D3437">
        <f>IF(B3437=$AB$2,$AC$2,$AC$3)</f>
        <v>0</v>
      </c>
      <c r="E3437">
        <f>IF(ISBLANK(C3437),0,VLOOKUP(C3437,$AE$2:$AF$7,2,0))</f>
        <v>0</v>
      </c>
      <c r="F3437">
        <f t="shared" si="113"/>
        <v>0</v>
      </c>
    </row>
    <row r="3438" spans="1:6">
      <c r="A3438" s="30">
        <f t="shared" si="114"/>
        <v>46528</v>
      </c>
      <c r="B3438" s="32" t="s">
        <v>206</v>
      </c>
      <c r="C3438" t="s">
        <v>206</v>
      </c>
      <c r="D3438">
        <f>IF(B3438=$AB$2,$AC$2,$AC$3)</f>
        <v>0</v>
      </c>
      <c r="E3438">
        <f>IF(ISBLANK(C3438),0,VLOOKUP(C3438,$AE$2:$AF$7,2,0))</f>
        <v>0</v>
      </c>
      <c r="F3438">
        <f t="shared" si="113"/>
        <v>0</v>
      </c>
    </row>
    <row r="3439" spans="1:6">
      <c r="A3439" s="30">
        <f t="shared" si="114"/>
        <v>46529</v>
      </c>
      <c r="B3439" s="32" t="s">
        <v>206</v>
      </c>
      <c r="C3439" t="s">
        <v>206</v>
      </c>
      <c r="D3439">
        <f>IF(B3439=$AB$2,$AC$2,$AC$3)</f>
        <v>0</v>
      </c>
      <c r="E3439">
        <f>IF(ISBLANK(C3439),0,VLOOKUP(C3439,$AE$2:$AF$7,2,0))</f>
        <v>0</v>
      </c>
      <c r="F3439">
        <f t="shared" si="113"/>
        <v>0</v>
      </c>
    </row>
    <row r="3440" spans="1:6">
      <c r="A3440" s="30">
        <f t="shared" si="114"/>
        <v>46530</v>
      </c>
      <c r="B3440" s="32" t="s">
        <v>206</v>
      </c>
      <c r="C3440" t="s">
        <v>206</v>
      </c>
      <c r="D3440">
        <f>IF(B3440=$AB$2,$AC$2,$AC$3)</f>
        <v>0</v>
      </c>
      <c r="E3440">
        <f>IF(ISBLANK(C3440),0,VLOOKUP(C3440,$AE$2:$AF$7,2,0))</f>
        <v>0</v>
      </c>
      <c r="F3440">
        <f t="shared" si="113"/>
        <v>0</v>
      </c>
    </row>
    <row r="3441" spans="1:6">
      <c r="A3441" s="30">
        <f t="shared" si="114"/>
        <v>46531</v>
      </c>
      <c r="B3441" s="32" t="s">
        <v>206</v>
      </c>
      <c r="C3441" t="s">
        <v>206</v>
      </c>
      <c r="D3441">
        <f>IF(B3441=$AB$2,$AC$2,$AC$3)</f>
        <v>0</v>
      </c>
      <c r="E3441">
        <f>IF(ISBLANK(C3441),0,VLOOKUP(C3441,$AE$2:$AF$7,2,0))</f>
        <v>0</v>
      </c>
      <c r="F3441">
        <f t="shared" si="113"/>
        <v>0</v>
      </c>
    </row>
    <row r="3442" spans="1:6">
      <c r="A3442" s="30">
        <f t="shared" si="114"/>
        <v>46532</v>
      </c>
      <c r="B3442" s="32" t="s">
        <v>206</v>
      </c>
      <c r="C3442" t="s">
        <v>206</v>
      </c>
      <c r="D3442">
        <f>IF(B3442=$AB$2,$AC$2,$AC$3)</f>
        <v>0</v>
      </c>
      <c r="E3442">
        <f>IF(ISBLANK(C3442),0,VLOOKUP(C3442,$AE$2:$AF$7,2,0))</f>
        <v>0</v>
      </c>
      <c r="F3442">
        <f t="shared" si="113"/>
        <v>0</v>
      </c>
    </row>
    <row r="3443" spans="1:6">
      <c r="A3443" s="30">
        <f t="shared" si="114"/>
        <v>46533</v>
      </c>
      <c r="B3443" s="32" t="s">
        <v>206</v>
      </c>
      <c r="C3443" t="s">
        <v>206</v>
      </c>
      <c r="D3443">
        <f>IF(B3443=$AB$2,$AC$2,$AC$3)</f>
        <v>0</v>
      </c>
      <c r="E3443">
        <f>IF(ISBLANK(C3443),0,VLOOKUP(C3443,$AE$2:$AF$7,2,0))</f>
        <v>0</v>
      </c>
      <c r="F3443">
        <f t="shared" si="113"/>
        <v>0</v>
      </c>
    </row>
    <row r="3444" spans="1:6">
      <c r="A3444" s="30">
        <f t="shared" si="114"/>
        <v>46534</v>
      </c>
      <c r="B3444" s="32" t="s">
        <v>206</v>
      </c>
      <c r="C3444" t="s">
        <v>206</v>
      </c>
      <c r="D3444">
        <f>IF(B3444=$AB$2,$AC$2,$AC$3)</f>
        <v>0</v>
      </c>
      <c r="E3444">
        <f>IF(ISBLANK(C3444),0,VLOOKUP(C3444,$AE$2:$AF$7,2,0))</f>
        <v>0</v>
      </c>
      <c r="F3444">
        <f t="shared" si="113"/>
        <v>0</v>
      </c>
    </row>
    <row r="3445" spans="1:6">
      <c r="A3445" s="30">
        <f t="shared" si="114"/>
        <v>46535</v>
      </c>
      <c r="B3445" s="32" t="s">
        <v>206</v>
      </c>
      <c r="C3445" t="s">
        <v>206</v>
      </c>
      <c r="D3445">
        <f>IF(B3445=$AB$2,$AC$2,$AC$3)</f>
        <v>0</v>
      </c>
      <c r="E3445">
        <f>IF(ISBLANK(C3445),0,VLOOKUP(C3445,$AE$2:$AF$7,2,0))</f>
        <v>0</v>
      </c>
      <c r="F3445">
        <f t="shared" si="113"/>
        <v>0</v>
      </c>
    </row>
    <row r="3446" spans="1:6">
      <c r="A3446" s="30">
        <f t="shared" si="114"/>
        <v>46536</v>
      </c>
      <c r="B3446" s="32" t="s">
        <v>206</v>
      </c>
      <c r="C3446" t="s">
        <v>206</v>
      </c>
      <c r="D3446">
        <f>IF(B3446=$AB$2,$AC$2,$AC$3)</f>
        <v>0</v>
      </c>
      <c r="E3446">
        <f>IF(ISBLANK(C3446),0,VLOOKUP(C3446,$AE$2:$AF$7,2,0))</f>
        <v>0</v>
      </c>
      <c r="F3446">
        <f t="shared" si="113"/>
        <v>0</v>
      </c>
    </row>
    <row r="3447" spans="1:6">
      <c r="A3447" s="30">
        <f t="shared" si="114"/>
        <v>46537</v>
      </c>
      <c r="B3447" s="32" t="s">
        <v>206</v>
      </c>
      <c r="C3447" t="s">
        <v>206</v>
      </c>
      <c r="D3447">
        <f>IF(B3447=$AB$2,$AC$2,$AC$3)</f>
        <v>0</v>
      </c>
      <c r="E3447">
        <f>IF(ISBLANK(C3447),0,VLOOKUP(C3447,$AE$2:$AF$7,2,0))</f>
        <v>0</v>
      </c>
      <c r="F3447">
        <f t="shared" si="113"/>
        <v>0</v>
      </c>
    </row>
    <row r="3448" spans="1:6">
      <c r="A3448" s="30">
        <f t="shared" si="114"/>
        <v>46538</v>
      </c>
      <c r="B3448" s="32" t="s">
        <v>206</v>
      </c>
      <c r="C3448" t="s">
        <v>206</v>
      </c>
      <c r="D3448">
        <f>IF(B3448=$AB$2,$AC$2,$AC$3)</f>
        <v>0</v>
      </c>
      <c r="E3448">
        <f>IF(ISBLANK(C3448),0,VLOOKUP(C3448,$AE$2:$AF$7,2,0))</f>
        <v>0</v>
      </c>
      <c r="F3448">
        <f t="shared" si="113"/>
        <v>0</v>
      </c>
    </row>
    <row r="3449" spans="1:6">
      <c r="A3449" s="30">
        <f t="shared" si="114"/>
        <v>46539</v>
      </c>
      <c r="B3449" s="32" t="s">
        <v>206</v>
      </c>
      <c r="C3449" t="s">
        <v>206</v>
      </c>
      <c r="D3449">
        <f>IF(B3449=$AB$2,$AC$2,$AC$3)</f>
        <v>0</v>
      </c>
      <c r="E3449">
        <f>IF(ISBLANK(C3449),0,VLOOKUP(C3449,$AE$2:$AF$7,2,0))</f>
        <v>0</v>
      </c>
      <c r="F3449">
        <f t="shared" si="113"/>
        <v>0</v>
      </c>
    </row>
    <row r="3450" spans="1:6">
      <c r="A3450" s="30">
        <f t="shared" si="114"/>
        <v>46540</v>
      </c>
      <c r="B3450" s="32" t="s">
        <v>206</v>
      </c>
      <c r="C3450" t="s">
        <v>206</v>
      </c>
      <c r="D3450">
        <f>IF(B3450=$AB$2,$AC$2,$AC$3)</f>
        <v>0</v>
      </c>
      <c r="E3450">
        <f>IF(ISBLANK(C3450),0,VLOOKUP(C3450,$AE$2:$AF$7,2,0))</f>
        <v>0</v>
      </c>
      <c r="F3450">
        <f t="shared" si="113"/>
        <v>0</v>
      </c>
    </row>
    <row r="3451" spans="1:6">
      <c r="A3451" s="30">
        <f t="shared" si="114"/>
        <v>46541</v>
      </c>
      <c r="B3451" s="32" t="s">
        <v>206</v>
      </c>
      <c r="C3451" t="s">
        <v>206</v>
      </c>
      <c r="D3451">
        <f>IF(B3451=$AB$2,$AC$2,$AC$3)</f>
        <v>0</v>
      </c>
      <c r="E3451">
        <f>IF(ISBLANK(C3451),0,VLOOKUP(C3451,$AE$2:$AF$7,2,0))</f>
        <v>0</v>
      </c>
      <c r="F3451">
        <f t="shared" si="113"/>
        <v>0</v>
      </c>
    </row>
    <row r="3452" spans="1:6">
      <c r="A3452" s="30">
        <f t="shared" si="114"/>
        <v>46542</v>
      </c>
      <c r="B3452" s="32" t="s">
        <v>206</v>
      </c>
      <c r="C3452" t="s">
        <v>206</v>
      </c>
      <c r="D3452">
        <f>IF(B3452=$AB$2,$AC$2,$AC$3)</f>
        <v>0</v>
      </c>
      <c r="E3452">
        <f>IF(ISBLANK(C3452),0,VLOOKUP(C3452,$AE$2:$AF$7,2,0))</f>
        <v>0</v>
      </c>
      <c r="F3452">
        <f t="shared" si="113"/>
        <v>0</v>
      </c>
    </row>
    <row r="3453" spans="1:6">
      <c r="A3453" s="30">
        <f t="shared" si="114"/>
        <v>46543</v>
      </c>
      <c r="B3453" s="32" t="s">
        <v>206</v>
      </c>
      <c r="C3453" t="s">
        <v>206</v>
      </c>
      <c r="D3453">
        <f>IF(B3453=$AB$2,$AC$2,$AC$3)</f>
        <v>0</v>
      </c>
      <c r="E3453">
        <f>IF(ISBLANK(C3453),0,VLOOKUP(C3453,$AE$2:$AF$7,2,0))</f>
        <v>0</v>
      </c>
      <c r="F3453">
        <f t="shared" si="113"/>
        <v>0</v>
      </c>
    </row>
    <row r="3454" spans="1:6">
      <c r="A3454" s="30">
        <f t="shared" si="114"/>
        <v>46544</v>
      </c>
      <c r="B3454" s="32" t="s">
        <v>206</v>
      </c>
      <c r="C3454" t="s">
        <v>206</v>
      </c>
      <c r="D3454">
        <f>IF(B3454=$AB$2,$AC$2,$AC$3)</f>
        <v>0</v>
      </c>
      <c r="E3454">
        <f>IF(ISBLANK(C3454),0,VLOOKUP(C3454,$AE$2:$AF$7,2,0))</f>
        <v>0</v>
      </c>
      <c r="F3454">
        <f t="shared" si="113"/>
        <v>0</v>
      </c>
    </row>
    <row r="3455" spans="1:6">
      <c r="A3455" s="30">
        <f t="shared" si="114"/>
        <v>46545</v>
      </c>
      <c r="B3455" s="32" t="s">
        <v>206</v>
      </c>
      <c r="C3455" t="s">
        <v>206</v>
      </c>
      <c r="D3455">
        <f>IF(B3455=$AB$2,$AC$2,$AC$3)</f>
        <v>0</v>
      </c>
      <c r="E3455">
        <f>IF(ISBLANK(C3455),0,VLOOKUP(C3455,$AE$2:$AF$7,2,0))</f>
        <v>0</v>
      </c>
      <c r="F3455">
        <f t="shared" si="113"/>
        <v>0</v>
      </c>
    </row>
    <row r="3456" spans="1:6">
      <c r="A3456" s="30">
        <f t="shared" si="114"/>
        <v>46546</v>
      </c>
      <c r="B3456" s="32" t="s">
        <v>206</v>
      </c>
      <c r="C3456" t="s">
        <v>206</v>
      </c>
      <c r="D3456">
        <f>IF(B3456=$AB$2,$AC$2,$AC$3)</f>
        <v>0</v>
      </c>
      <c r="E3456">
        <f>IF(ISBLANK(C3456),0,VLOOKUP(C3456,$AE$2:$AF$7,2,0))</f>
        <v>0</v>
      </c>
      <c r="F3456">
        <f t="shared" si="113"/>
        <v>0</v>
      </c>
    </row>
    <row r="3457" spans="1:6">
      <c r="A3457" s="30">
        <f t="shared" si="114"/>
        <v>46547</v>
      </c>
      <c r="B3457" s="32" t="s">
        <v>206</v>
      </c>
      <c r="C3457" t="s">
        <v>206</v>
      </c>
      <c r="D3457">
        <f>IF(B3457=$AB$2,$AC$2,$AC$3)</f>
        <v>0</v>
      </c>
      <c r="E3457">
        <f>IF(ISBLANK(C3457),0,VLOOKUP(C3457,$AE$2:$AF$7,2,0))</f>
        <v>0</v>
      </c>
      <c r="F3457">
        <f t="shared" si="113"/>
        <v>0</v>
      </c>
    </row>
    <row r="3458" spans="1:6">
      <c r="A3458" s="30">
        <f t="shared" si="114"/>
        <v>46548</v>
      </c>
      <c r="B3458" s="32" t="s">
        <v>206</v>
      </c>
      <c r="C3458" t="s">
        <v>206</v>
      </c>
      <c r="D3458">
        <f>IF(B3458=$AB$2,$AC$2,$AC$3)</f>
        <v>0</v>
      </c>
      <c r="E3458">
        <f>IF(ISBLANK(C3458),0,VLOOKUP(C3458,$AE$2:$AF$7,2,0))</f>
        <v>0</v>
      </c>
      <c r="F3458">
        <f t="shared" si="113"/>
        <v>0</v>
      </c>
    </row>
    <row r="3459" spans="1:6">
      <c r="A3459" s="30">
        <f t="shared" si="114"/>
        <v>46549</v>
      </c>
      <c r="B3459" s="32" t="s">
        <v>206</v>
      </c>
      <c r="C3459" t="s">
        <v>206</v>
      </c>
      <c r="D3459">
        <f>IF(B3459=$AB$2,$AC$2,$AC$3)</f>
        <v>0</v>
      </c>
      <c r="E3459">
        <f>IF(ISBLANK(C3459),0,VLOOKUP(C3459,$AE$2:$AF$7,2,0))</f>
        <v>0</v>
      </c>
      <c r="F3459">
        <f t="shared" ref="F3459:F3522" si="115">D3459*E3459</f>
        <v>0</v>
      </c>
    </row>
    <row r="3460" spans="1:6">
      <c r="A3460" s="30">
        <f t="shared" si="114"/>
        <v>46550</v>
      </c>
      <c r="B3460" s="32" t="s">
        <v>206</v>
      </c>
      <c r="C3460" t="s">
        <v>206</v>
      </c>
      <c r="D3460">
        <f>IF(B3460=$AB$2,$AC$2,$AC$3)</f>
        <v>0</v>
      </c>
      <c r="E3460">
        <f>IF(ISBLANK(C3460),0,VLOOKUP(C3460,$AE$2:$AF$7,2,0))</f>
        <v>0</v>
      </c>
      <c r="F3460">
        <f t="shared" si="115"/>
        <v>0</v>
      </c>
    </row>
    <row r="3461" spans="1:6">
      <c r="A3461" s="30">
        <f t="shared" si="114"/>
        <v>46551</v>
      </c>
      <c r="B3461" s="32" t="s">
        <v>206</v>
      </c>
      <c r="C3461" t="s">
        <v>206</v>
      </c>
      <c r="D3461">
        <f>IF(B3461=$AB$2,$AC$2,$AC$3)</f>
        <v>0</v>
      </c>
      <c r="E3461">
        <f>IF(ISBLANK(C3461),0,VLOOKUP(C3461,$AE$2:$AF$7,2,0))</f>
        <v>0</v>
      </c>
      <c r="F3461">
        <f t="shared" si="115"/>
        <v>0</v>
      </c>
    </row>
    <row r="3462" spans="1:6">
      <c r="A3462" s="30">
        <f t="shared" si="114"/>
        <v>46552</v>
      </c>
      <c r="B3462" s="32" t="s">
        <v>206</v>
      </c>
      <c r="C3462" t="s">
        <v>206</v>
      </c>
      <c r="D3462">
        <f>IF(B3462=$AB$2,$AC$2,$AC$3)</f>
        <v>0</v>
      </c>
      <c r="E3462">
        <f>IF(ISBLANK(C3462),0,VLOOKUP(C3462,$AE$2:$AF$7,2,0))</f>
        <v>0</v>
      </c>
      <c r="F3462">
        <f t="shared" si="115"/>
        <v>0</v>
      </c>
    </row>
    <row r="3463" spans="1:6">
      <c r="A3463" s="30">
        <f t="shared" si="114"/>
        <v>46553</v>
      </c>
      <c r="B3463" s="32" t="s">
        <v>206</v>
      </c>
      <c r="C3463" t="s">
        <v>206</v>
      </c>
      <c r="D3463">
        <f>IF(B3463=$AB$2,$AC$2,$AC$3)</f>
        <v>0</v>
      </c>
      <c r="E3463">
        <f>IF(ISBLANK(C3463),0,VLOOKUP(C3463,$AE$2:$AF$7,2,0))</f>
        <v>0</v>
      </c>
      <c r="F3463">
        <f t="shared" si="115"/>
        <v>0</v>
      </c>
    </row>
    <row r="3464" spans="1:6">
      <c r="A3464" s="30">
        <f t="shared" si="114"/>
        <v>46554</v>
      </c>
      <c r="B3464" s="32" t="s">
        <v>206</v>
      </c>
      <c r="C3464" t="s">
        <v>206</v>
      </c>
      <c r="D3464">
        <f>IF(B3464=$AB$2,$AC$2,$AC$3)</f>
        <v>0</v>
      </c>
      <c r="E3464">
        <f>IF(ISBLANK(C3464),0,VLOOKUP(C3464,$AE$2:$AF$7,2,0))</f>
        <v>0</v>
      </c>
      <c r="F3464">
        <f t="shared" si="115"/>
        <v>0</v>
      </c>
    </row>
    <row r="3465" spans="1:6">
      <c r="A3465" s="30">
        <f t="shared" si="114"/>
        <v>46555</v>
      </c>
      <c r="B3465" s="32" t="s">
        <v>206</v>
      </c>
      <c r="C3465" t="s">
        <v>206</v>
      </c>
      <c r="D3465">
        <f>IF(B3465=$AB$2,$AC$2,$AC$3)</f>
        <v>0</v>
      </c>
      <c r="E3465">
        <f>IF(ISBLANK(C3465),0,VLOOKUP(C3465,$AE$2:$AF$7,2,0))</f>
        <v>0</v>
      </c>
      <c r="F3465">
        <f t="shared" si="115"/>
        <v>0</v>
      </c>
    </row>
    <row r="3466" spans="1:6">
      <c r="A3466" s="30">
        <f t="shared" si="114"/>
        <v>46556</v>
      </c>
      <c r="B3466" s="32" t="s">
        <v>206</v>
      </c>
      <c r="C3466" t="s">
        <v>206</v>
      </c>
      <c r="D3466">
        <f>IF(B3466=$AB$2,$AC$2,$AC$3)</f>
        <v>0</v>
      </c>
      <c r="E3466">
        <f>IF(ISBLANK(C3466),0,VLOOKUP(C3466,$AE$2:$AF$7,2,0))</f>
        <v>0</v>
      </c>
      <c r="F3466">
        <f t="shared" si="115"/>
        <v>0</v>
      </c>
    </row>
    <row r="3467" spans="1:6">
      <c r="A3467" s="30">
        <f t="shared" si="114"/>
        <v>46557</v>
      </c>
      <c r="B3467" s="32" t="s">
        <v>206</v>
      </c>
      <c r="C3467" t="s">
        <v>206</v>
      </c>
      <c r="D3467">
        <f>IF(B3467=$AB$2,$AC$2,$AC$3)</f>
        <v>0</v>
      </c>
      <c r="E3467">
        <f>IF(ISBLANK(C3467),0,VLOOKUP(C3467,$AE$2:$AF$7,2,0))</f>
        <v>0</v>
      </c>
      <c r="F3467">
        <f t="shared" si="115"/>
        <v>0</v>
      </c>
    </row>
    <row r="3468" spans="1:6">
      <c r="A3468" s="30">
        <f t="shared" si="114"/>
        <v>46558</v>
      </c>
      <c r="B3468" s="32" t="s">
        <v>206</v>
      </c>
      <c r="C3468" t="s">
        <v>206</v>
      </c>
      <c r="D3468">
        <f>IF(B3468=$AB$2,$AC$2,$AC$3)</f>
        <v>0</v>
      </c>
      <c r="E3468">
        <f>IF(ISBLANK(C3468),0,VLOOKUP(C3468,$AE$2:$AF$7,2,0))</f>
        <v>0</v>
      </c>
      <c r="F3468">
        <f t="shared" si="115"/>
        <v>0</v>
      </c>
    </row>
    <row r="3469" spans="1:6">
      <c r="A3469" s="30">
        <f t="shared" si="114"/>
        <v>46559</v>
      </c>
      <c r="B3469" s="32" t="s">
        <v>206</v>
      </c>
      <c r="C3469" t="s">
        <v>206</v>
      </c>
      <c r="D3469">
        <f>IF(B3469=$AB$2,$AC$2,$AC$3)</f>
        <v>0</v>
      </c>
      <c r="E3469">
        <f>IF(ISBLANK(C3469),0,VLOOKUP(C3469,$AE$2:$AF$7,2,0))</f>
        <v>0</v>
      </c>
      <c r="F3469">
        <f t="shared" si="115"/>
        <v>0</v>
      </c>
    </row>
    <row r="3470" spans="1:6">
      <c r="A3470" s="30">
        <f t="shared" si="114"/>
        <v>46560</v>
      </c>
      <c r="B3470" s="32" t="s">
        <v>206</v>
      </c>
      <c r="C3470" t="s">
        <v>206</v>
      </c>
      <c r="D3470">
        <f>IF(B3470=$AB$2,$AC$2,$AC$3)</f>
        <v>0</v>
      </c>
      <c r="E3470">
        <f>IF(ISBLANK(C3470),0,VLOOKUP(C3470,$AE$2:$AF$7,2,0))</f>
        <v>0</v>
      </c>
      <c r="F3470">
        <f t="shared" si="115"/>
        <v>0</v>
      </c>
    </row>
    <row r="3471" spans="1:6">
      <c r="A3471" s="30">
        <f t="shared" si="114"/>
        <v>46561</v>
      </c>
      <c r="B3471" s="32" t="s">
        <v>206</v>
      </c>
      <c r="C3471" t="s">
        <v>206</v>
      </c>
      <c r="D3471">
        <f>IF(B3471=$AB$2,$AC$2,$AC$3)</f>
        <v>0</v>
      </c>
      <c r="E3471">
        <f>IF(ISBLANK(C3471),0,VLOOKUP(C3471,$AE$2:$AF$7,2,0))</f>
        <v>0</v>
      </c>
      <c r="F3471">
        <f t="shared" si="115"/>
        <v>0</v>
      </c>
    </row>
    <row r="3472" spans="1:6">
      <c r="A3472" s="30">
        <f t="shared" si="114"/>
        <v>46562</v>
      </c>
      <c r="B3472" s="32" t="s">
        <v>206</v>
      </c>
      <c r="C3472" t="s">
        <v>206</v>
      </c>
      <c r="D3472">
        <f>IF(B3472=$AB$2,$AC$2,$AC$3)</f>
        <v>0</v>
      </c>
      <c r="E3472">
        <f>IF(ISBLANK(C3472),0,VLOOKUP(C3472,$AE$2:$AF$7,2,0))</f>
        <v>0</v>
      </c>
      <c r="F3472">
        <f t="shared" si="115"/>
        <v>0</v>
      </c>
    </row>
    <row r="3473" spans="1:6">
      <c r="A3473" s="30">
        <f t="shared" si="114"/>
        <v>46563</v>
      </c>
      <c r="B3473" s="32" t="s">
        <v>206</v>
      </c>
      <c r="C3473" t="s">
        <v>206</v>
      </c>
      <c r="D3473">
        <f>IF(B3473=$AB$2,$AC$2,$AC$3)</f>
        <v>0</v>
      </c>
      <c r="E3473">
        <f>IF(ISBLANK(C3473),0,VLOOKUP(C3473,$AE$2:$AF$7,2,0))</f>
        <v>0</v>
      </c>
      <c r="F3473">
        <f t="shared" si="115"/>
        <v>0</v>
      </c>
    </row>
    <row r="3474" spans="1:6">
      <c r="A3474" s="30">
        <f t="shared" si="114"/>
        <v>46564</v>
      </c>
      <c r="B3474" s="32" t="s">
        <v>206</v>
      </c>
      <c r="C3474" t="s">
        <v>206</v>
      </c>
      <c r="D3474">
        <f>IF(B3474=$AB$2,$AC$2,$AC$3)</f>
        <v>0</v>
      </c>
      <c r="E3474">
        <f>IF(ISBLANK(C3474),0,VLOOKUP(C3474,$AE$2:$AF$7,2,0))</f>
        <v>0</v>
      </c>
      <c r="F3474">
        <f t="shared" si="115"/>
        <v>0</v>
      </c>
    </row>
    <row r="3475" spans="1:6">
      <c r="A3475" s="30">
        <f t="shared" si="114"/>
        <v>46565</v>
      </c>
      <c r="B3475" s="32" t="s">
        <v>206</v>
      </c>
      <c r="C3475" t="s">
        <v>206</v>
      </c>
      <c r="D3475">
        <f>IF(B3475=$AB$2,$AC$2,$AC$3)</f>
        <v>0</v>
      </c>
      <c r="E3475">
        <f>IF(ISBLANK(C3475),0,VLOOKUP(C3475,$AE$2:$AF$7,2,0))</f>
        <v>0</v>
      </c>
      <c r="F3475">
        <f t="shared" si="115"/>
        <v>0</v>
      </c>
    </row>
    <row r="3476" spans="1:6">
      <c r="A3476" s="30">
        <f t="shared" si="114"/>
        <v>46566</v>
      </c>
      <c r="B3476" s="32" t="s">
        <v>206</v>
      </c>
      <c r="C3476" t="s">
        <v>206</v>
      </c>
      <c r="D3476">
        <f>IF(B3476=$AB$2,$AC$2,$AC$3)</f>
        <v>0</v>
      </c>
      <c r="E3476">
        <f>IF(ISBLANK(C3476),0,VLOOKUP(C3476,$AE$2:$AF$7,2,0))</f>
        <v>0</v>
      </c>
      <c r="F3476">
        <f t="shared" si="115"/>
        <v>0</v>
      </c>
    </row>
    <row r="3477" spans="1:6">
      <c r="A3477" s="30">
        <f t="shared" si="114"/>
        <v>46567</v>
      </c>
      <c r="B3477" s="32" t="s">
        <v>206</v>
      </c>
      <c r="C3477" t="s">
        <v>206</v>
      </c>
      <c r="D3477">
        <f>IF(B3477=$AB$2,$AC$2,$AC$3)</f>
        <v>0</v>
      </c>
      <c r="E3477">
        <f>IF(ISBLANK(C3477),0,VLOOKUP(C3477,$AE$2:$AF$7,2,0))</f>
        <v>0</v>
      </c>
      <c r="F3477">
        <f t="shared" si="115"/>
        <v>0</v>
      </c>
    </row>
    <row r="3478" spans="1:6">
      <c r="A3478" s="30">
        <f t="shared" si="114"/>
        <v>46568</v>
      </c>
      <c r="B3478" s="32" t="s">
        <v>206</v>
      </c>
      <c r="C3478" t="s">
        <v>206</v>
      </c>
      <c r="D3478">
        <f>IF(B3478=$AB$2,$AC$2,$AC$3)</f>
        <v>0</v>
      </c>
      <c r="E3478">
        <f>IF(ISBLANK(C3478),0,VLOOKUP(C3478,$AE$2:$AF$7,2,0))</f>
        <v>0</v>
      </c>
      <c r="F3478">
        <f t="shared" si="115"/>
        <v>0</v>
      </c>
    </row>
    <row r="3479" spans="1:6">
      <c r="A3479" s="30">
        <f t="shared" si="114"/>
        <v>46569</v>
      </c>
      <c r="B3479" s="32" t="s">
        <v>206</v>
      </c>
      <c r="C3479" t="s">
        <v>206</v>
      </c>
      <c r="D3479">
        <f>IF(B3479=$AB$2,$AC$2,$AC$3)</f>
        <v>0</v>
      </c>
      <c r="E3479">
        <f>IF(ISBLANK(C3479),0,VLOOKUP(C3479,$AE$2:$AF$7,2,0))</f>
        <v>0</v>
      </c>
      <c r="F3479">
        <f t="shared" si="115"/>
        <v>0</v>
      </c>
    </row>
    <row r="3480" spans="1:6">
      <c r="A3480" s="30">
        <f t="shared" si="114"/>
        <v>46570</v>
      </c>
      <c r="B3480" s="32" t="s">
        <v>206</v>
      </c>
      <c r="C3480" t="s">
        <v>206</v>
      </c>
      <c r="D3480">
        <f>IF(B3480=$AB$2,$AC$2,$AC$3)</f>
        <v>0</v>
      </c>
      <c r="E3480">
        <f>IF(ISBLANK(C3480),0,VLOOKUP(C3480,$AE$2:$AF$7,2,0))</f>
        <v>0</v>
      </c>
      <c r="F3480">
        <f t="shared" si="115"/>
        <v>0</v>
      </c>
    </row>
    <row r="3481" spans="1:6">
      <c r="A3481" s="30">
        <f t="shared" si="114"/>
        <v>46571</v>
      </c>
      <c r="B3481" s="32" t="s">
        <v>206</v>
      </c>
      <c r="C3481" t="s">
        <v>206</v>
      </c>
      <c r="D3481">
        <f>IF(B3481=$AB$2,$AC$2,$AC$3)</f>
        <v>0</v>
      </c>
      <c r="E3481">
        <f>IF(ISBLANK(C3481),0,VLOOKUP(C3481,$AE$2:$AF$7,2,0))</f>
        <v>0</v>
      </c>
      <c r="F3481">
        <f t="shared" si="115"/>
        <v>0</v>
      </c>
    </row>
    <row r="3482" spans="1:6">
      <c r="A3482" s="30">
        <f t="shared" si="114"/>
        <v>46572</v>
      </c>
      <c r="B3482" s="32" t="s">
        <v>206</v>
      </c>
      <c r="C3482" t="s">
        <v>206</v>
      </c>
      <c r="D3482">
        <f>IF(B3482=$AB$2,$AC$2,$AC$3)</f>
        <v>0</v>
      </c>
      <c r="E3482">
        <f>IF(ISBLANK(C3482),0,VLOOKUP(C3482,$AE$2:$AF$7,2,0))</f>
        <v>0</v>
      </c>
      <c r="F3482">
        <f t="shared" si="115"/>
        <v>0</v>
      </c>
    </row>
    <row r="3483" spans="1:6">
      <c r="A3483" s="30">
        <f t="shared" si="114"/>
        <v>46573</v>
      </c>
      <c r="B3483" s="32" t="s">
        <v>206</v>
      </c>
      <c r="C3483" t="s">
        <v>206</v>
      </c>
      <c r="D3483">
        <f>IF(B3483=$AB$2,$AC$2,$AC$3)</f>
        <v>0</v>
      </c>
      <c r="E3483">
        <f>IF(ISBLANK(C3483),0,VLOOKUP(C3483,$AE$2:$AF$7,2,0))</f>
        <v>0</v>
      </c>
      <c r="F3483">
        <f t="shared" si="115"/>
        <v>0</v>
      </c>
    </row>
    <row r="3484" spans="1:6">
      <c r="A3484" s="30">
        <f t="shared" si="114"/>
        <v>46574</v>
      </c>
      <c r="B3484" s="32" t="s">
        <v>206</v>
      </c>
      <c r="C3484" t="s">
        <v>206</v>
      </c>
      <c r="D3484">
        <f>IF(B3484=$AB$2,$AC$2,$AC$3)</f>
        <v>0</v>
      </c>
      <c r="E3484">
        <f>IF(ISBLANK(C3484),0,VLOOKUP(C3484,$AE$2:$AF$7,2,0))</f>
        <v>0</v>
      </c>
      <c r="F3484">
        <f t="shared" si="115"/>
        <v>0</v>
      </c>
    </row>
    <row r="3485" spans="1:6">
      <c r="A3485" s="30">
        <f t="shared" si="114"/>
        <v>46575</v>
      </c>
      <c r="B3485" s="32" t="s">
        <v>206</v>
      </c>
      <c r="C3485" t="s">
        <v>206</v>
      </c>
      <c r="D3485">
        <f>IF(B3485=$AB$2,$AC$2,$AC$3)</f>
        <v>0</v>
      </c>
      <c r="E3485">
        <f>IF(ISBLANK(C3485),0,VLOOKUP(C3485,$AE$2:$AF$7,2,0))</f>
        <v>0</v>
      </c>
      <c r="F3485">
        <f t="shared" si="115"/>
        <v>0</v>
      </c>
    </row>
    <row r="3486" spans="1:6">
      <c r="A3486" s="30">
        <f t="shared" si="114"/>
        <v>46576</v>
      </c>
      <c r="B3486" s="32" t="s">
        <v>206</v>
      </c>
      <c r="C3486" t="s">
        <v>206</v>
      </c>
      <c r="D3486">
        <f>IF(B3486=$AB$2,$AC$2,$AC$3)</f>
        <v>0</v>
      </c>
      <c r="E3486">
        <f>IF(ISBLANK(C3486),0,VLOOKUP(C3486,$AE$2:$AF$7,2,0))</f>
        <v>0</v>
      </c>
      <c r="F3486">
        <f t="shared" si="115"/>
        <v>0</v>
      </c>
    </row>
    <row r="3487" spans="1:6">
      <c r="A3487" s="30">
        <f t="shared" si="114"/>
        <v>46577</v>
      </c>
      <c r="B3487" s="32" t="s">
        <v>206</v>
      </c>
      <c r="C3487" t="s">
        <v>206</v>
      </c>
      <c r="D3487">
        <f>IF(B3487=$AB$2,$AC$2,$AC$3)</f>
        <v>0</v>
      </c>
      <c r="E3487">
        <f>IF(ISBLANK(C3487),0,VLOOKUP(C3487,$AE$2:$AF$7,2,0))</f>
        <v>0</v>
      </c>
      <c r="F3487">
        <f t="shared" si="115"/>
        <v>0</v>
      </c>
    </row>
    <row r="3488" spans="1:6">
      <c r="A3488" s="30">
        <f t="shared" ref="A3488:A3536" si="116">A3487+1</f>
        <v>46578</v>
      </c>
      <c r="B3488" s="32" t="s">
        <v>206</v>
      </c>
      <c r="C3488" t="s">
        <v>206</v>
      </c>
      <c r="D3488">
        <f>IF(B3488=$AB$2,$AC$2,$AC$3)</f>
        <v>0</v>
      </c>
      <c r="E3488">
        <f>IF(ISBLANK(C3488),0,VLOOKUP(C3488,$AE$2:$AF$7,2,0))</f>
        <v>0</v>
      </c>
      <c r="F3488">
        <f t="shared" si="115"/>
        <v>0</v>
      </c>
    </row>
    <row r="3489" spans="1:6">
      <c r="A3489" s="30">
        <f t="shared" si="116"/>
        <v>46579</v>
      </c>
      <c r="B3489" s="32" t="s">
        <v>206</v>
      </c>
      <c r="C3489" t="s">
        <v>206</v>
      </c>
      <c r="D3489">
        <f>IF(B3489=$AB$2,$AC$2,$AC$3)</f>
        <v>0</v>
      </c>
      <c r="E3489">
        <f>IF(ISBLANK(C3489),0,VLOOKUP(C3489,$AE$2:$AF$7,2,0))</f>
        <v>0</v>
      </c>
      <c r="F3489">
        <f t="shared" si="115"/>
        <v>0</v>
      </c>
    </row>
    <row r="3490" spans="1:6">
      <c r="A3490" s="30">
        <f t="shared" si="116"/>
        <v>46580</v>
      </c>
      <c r="B3490" s="32" t="s">
        <v>206</v>
      </c>
      <c r="C3490" t="s">
        <v>206</v>
      </c>
      <c r="D3490">
        <f>IF(B3490=$AB$2,$AC$2,$AC$3)</f>
        <v>0</v>
      </c>
      <c r="E3490">
        <f>IF(ISBLANK(C3490),0,VLOOKUP(C3490,$AE$2:$AF$7,2,0))</f>
        <v>0</v>
      </c>
      <c r="F3490">
        <f t="shared" si="115"/>
        <v>0</v>
      </c>
    </row>
    <row r="3491" spans="1:6">
      <c r="A3491" s="30">
        <f t="shared" si="116"/>
        <v>46581</v>
      </c>
      <c r="B3491" s="32" t="s">
        <v>206</v>
      </c>
      <c r="C3491" t="s">
        <v>206</v>
      </c>
      <c r="D3491">
        <f>IF(B3491=$AB$2,$AC$2,$AC$3)</f>
        <v>0</v>
      </c>
      <c r="E3491">
        <f>IF(ISBLANK(C3491),0,VLOOKUP(C3491,$AE$2:$AF$7,2,0))</f>
        <v>0</v>
      </c>
      <c r="F3491">
        <f t="shared" si="115"/>
        <v>0</v>
      </c>
    </row>
    <row r="3492" spans="1:6">
      <c r="A3492" s="30">
        <f t="shared" si="116"/>
        <v>46582</v>
      </c>
      <c r="B3492" s="32" t="s">
        <v>206</v>
      </c>
      <c r="C3492" t="s">
        <v>206</v>
      </c>
      <c r="D3492">
        <f>IF(B3492=$AB$2,$AC$2,$AC$3)</f>
        <v>0</v>
      </c>
      <c r="E3492">
        <f>IF(ISBLANK(C3492),0,VLOOKUP(C3492,$AE$2:$AF$7,2,0))</f>
        <v>0</v>
      </c>
      <c r="F3492">
        <f t="shared" si="115"/>
        <v>0</v>
      </c>
    </row>
    <row r="3493" spans="1:6">
      <c r="A3493" s="30">
        <f t="shared" si="116"/>
        <v>46583</v>
      </c>
      <c r="B3493" s="32" t="s">
        <v>206</v>
      </c>
      <c r="C3493" t="s">
        <v>206</v>
      </c>
      <c r="D3493">
        <f>IF(B3493=$AB$2,$AC$2,$AC$3)</f>
        <v>0</v>
      </c>
      <c r="E3493">
        <f>IF(ISBLANK(C3493),0,VLOOKUP(C3493,$AE$2:$AF$7,2,0))</f>
        <v>0</v>
      </c>
      <c r="F3493">
        <f t="shared" si="115"/>
        <v>0</v>
      </c>
    </row>
    <row r="3494" spans="1:6">
      <c r="A3494" s="30">
        <f t="shared" si="116"/>
        <v>46584</v>
      </c>
      <c r="B3494" s="32" t="s">
        <v>206</v>
      </c>
      <c r="C3494" t="s">
        <v>206</v>
      </c>
      <c r="D3494">
        <f>IF(B3494=$AB$2,$AC$2,$AC$3)</f>
        <v>0</v>
      </c>
      <c r="E3494">
        <f>IF(ISBLANK(C3494),0,VLOOKUP(C3494,$AE$2:$AF$7,2,0))</f>
        <v>0</v>
      </c>
      <c r="F3494">
        <f t="shared" si="115"/>
        <v>0</v>
      </c>
    </row>
    <row r="3495" spans="1:6">
      <c r="A3495" s="30">
        <f t="shared" si="116"/>
        <v>46585</v>
      </c>
      <c r="B3495" s="32" t="s">
        <v>206</v>
      </c>
      <c r="C3495" t="s">
        <v>206</v>
      </c>
      <c r="D3495">
        <f>IF(B3495=$AB$2,$AC$2,$AC$3)</f>
        <v>0</v>
      </c>
      <c r="E3495">
        <f>IF(ISBLANK(C3495),0,VLOOKUP(C3495,$AE$2:$AF$7,2,0))</f>
        <v>0</v>
      </c>
      <c r="F3495">
        <f t="shared" si="115"/>
        <v>0</v>
      </c>
    </row>
    <row r="3496" spans="1:6">
      <c r="A3496" s="30">
        <f t="shared" si="116"/>
        <v>46586</v>
      </c>
      <c r="B3496" s="32" t="s">
        <v>206</v>
      </c>
      <c r="C3496" t="s">
        <v>206</v>
      </c>
      <c r="D3496">
        <f>IF(B3496=$AB$2,$AC$2,$AC$3)</f>
        <v>0</v>
      </c>
      <c r="E3496">
        <f>IF(ISBLANK(C3496),0,VLOOKUP(C3496,$AE$2:$AF$7,2,0))</f>
        <v>0</v>
      </c>
      <c r="F3496">
        <f t="shared" si="115"/>
        <v>0</v>
      </c>
    </row>
    <row r="3497" spans="1:6">
      <c r="A3497" s="30">
        <f t="shared" si="116"/>
        <v>46587</v>
      </c>
      <c r="B3497" s="32" t="s">
        <v>206</v>
      </c>
      <c r="C3497" t="s">
        <v>206</v>
      </c>
      <c r="D3497">
        <f>IF(B3497=$AB$2,$AC$2,$AC$3)</f>
        <v>0</v>
      </c>
      <c r="E3497">
        <f>IF(ISBLANK(C3497),0,VLOOKUP(C3497,$AE$2:$AF$7,2,0))</f>
        <v>0</v>
      </c>
      <c r="F3497">
        <f t="shared" si="115"/>
        <v>0</v>
      </c>
    </row>
    <row r="3498" spans="1:6">
      <c r="A3498" s="30">
        <f t="shared" si="116"/>
        <v>46588</v>
      </c>
      <c r="B3498" s="32" t="s">
        <v>206</v>
      </c>
      <c r="C3498" t="s">
        <v>206</v>
      </c>
      <c r="D3498">
        <f>IF(B3498=$AB$2,$AC$2,$AC$3)</f>
        <v>0</v>
      </c>
      <c r="E3498">
        <f>IF(ISBLANK(C3498),0,VLOOKUP(C3498,$AE$2:$AF$7,2,0))</f>
        <v>0</v>
      </c>
      <c r="F3498">
        <f t="shared" si="115"/>
        <v>0</v>
      </c>
    </row>
    <row r="3499" spans="1:6">
      <c r="A3499" s="30">
        <f t="shared" si="116"/>
        <v>46589</v>
      </c>
      <c r="B3499" s="32" t="s">
        <v>206</v>
      </c>
      <c r="C3499" t="s">
        <v>206</v>
      </c>
      <c r="D3499">
        <f>IF(B3499=$AB$2,$AC$2,$AC$3)</f>
        <v>0</v>
      </c>
      <c r="E3499">
        <f>IF(ISBLANK(C3499),0,VLOOKUP(C3499,$AE$2:$AF$7,2,0))</f>
        <v>0</v>
      </c>
      <c r="F3499">
        <f t="shared" si="115"/>
        <v>0</v>
      </c>
    </row>
    <row r="3500" spans="1:6">
      <c r="A3500" s="30">
        <f t="shared" si="116"/>
        <v>46590</v>
      </c>
      <c r="B3500" s="32" t="s">
        <v>206</v>
      </c>
      <c r="C3500" t="s">
        <v>206</v>
      </c>
      <c r="D3500">
        <f>IF(B3500=$AB$2,$AC$2,$AC$3)</f>
        <v>0</v>
      </c>
      <c r="E3500">
        <f>IF(ISBLANK(C3500),0,VLOOKUP(C3500,$AE$2:$AF$7,2,0))</f>
        <v>0</v>
      </c>
      <c r="F3500">
        <f t="shared" si="115"/>
        <v>0</v>
      </c>
    </row>
    <row r="3501" spans="1:6">
      <c r="A3501" s="30">
        <f t="shared" si="116"/>
        <v>46591</v>
      </c>
      <c r="B3501" s="32" t="s">
        <v>206</v>
      </c>
      <c r="C3501" t="s">
        <v>206</v>
      </c>
      <c r="D3501">
        <f>IF(B3501=$AB$2,$AC$2,$AC$3)</f>
        <v>0</v>
      </c>
      <c r="E3501">
        <f>IF(ISBLANK(C3501),0,VLOOKUP(C3501,$AE$2:$AF$7,2,0))</f>
        <v>0</v>
      </c>
      <c r="F3501">
        <f t="shared" si="115"/>
        <v>0</v>
      </c>
    </row>
    <row r="3502" spans="1:6">
      <c r="A3502" s="30">
        <f t="shared" si="116"/>
        <v>46592</v>
      </c>
      <c r="B3502" s="32" t="s">
        <v>206</v>
      </c>
      <c r="C3502" t="s">
        <v>206</v>
      </c>
      <c r="D3502">
        <f>IF(B3502=$AB$2,$AC$2,$AC$3)</f>
        <v>0</v>
      </c>
      <c r="E3502">
        <f>IF(ISBLANK(C3502),0,VLOOKUP(C3502,$AE$2:$AF$7,2,0))</f>
        <v>0</v>
      </c>
      <c r="F3502">
        <f t="shared" si="115"/>
        <v>0</v>
      </c>
    </row>
    <row r="3503" spans="1:6">
      <c r="A3503" s="30">
        <f t="shared" si="116"/>
        <v>46593</v>
      </c>
      <c r="B3503" s="32" t="s">
        <v>206</v>
      </c>
      <c r="C3503" t="s">
        <v>206</v>
      </c>
      <c r="D3503">
        <f>IF(B3503=$AB$2,$AC$2,$AC$3)</f>
        <v>0</v>
      </c>
      <c r="E3503">
        <f>IF(ISBLANK(C3503),0,VLOOKUP(C3503,$AE$2:$AF$7,2,0))</f>
        <v>0</v>
      </c>
      <c r="F3503">
        <f t="shared" si="115"/>
        <v>0</v>
      </c>
    </row>
    <row r="3504" spans="1:6">
      <c r="A3504" s="30">
        <f t="shared" si="116"/>
        <v>46594</v>
      </c>
      <c r="B3504" s="32" t="s">
        <v>206</v>
      </c>
      <c r="C3504" t="s">
        <v>206</v>
      </c>
      <c r="D3504">
        <f>IF(B3504=$AB$2,$AC$2,$AC$3)</f>
        <v>0</v>
      </c>
      <c r="E3504">
        <f>IF(ISBLANK(C3504),0,VLOOKUP(C3504,$AE$2:$AF$7,2,0))</f>
        <v>0</v>
      </c>
      <c r="F3504">
        <f t="shared" si="115"/>
        <v>0</v>
      </c>
    </row>
    <row r="3505" spans="1:6">
      <c r="A3505" s="30">
        <f t="shared" si="116"/>
        <v>46595</v>
      </c>
      <c r="B3505" s="32" t="s">
        <v>206</v>
      </c>
      <c r="C3505" t="s">
        <v>206</v>
      </c>
      <c r="D3505">
        <f>IF(B3505=$AB$2,$AC$2,$AC$3)</f>
        <v>0</v>
      </c>
      <c r="E3505">
        <f>IF(ISBLANK(C3505),0,VLOOKUP(C3505,$AE$2:$AF$7,2,0))</f>
        <v>0</v>
      </c>
      <c r="F3505">
        <f t="shared" si="115"/>
        <v>0</v>
      </c>
    </row>
    <row r="3506" spans="1:6">
      <c r="A3506" s="30">
        <f t="shared" si="116"/>
        <v>46596</v>
      </c>
      <c r="B3506" s="32" t="s">
        <v>206</v>
      </c>
      <c r="C3506" t="s">
        <v>206</v>
      </c>
      <c r="D3506">
        <f>IF(B3506=$AB$2,$AC$2,$AC$3)</f>
        <v>0</v>
      </c>
      <c r="E3506">
        <f>IF(ISBLANK(C3506),0,VLOOKUP(C3506,$AE$2:$AF$7,2,0))</f>
        <v>0</v>
      </c>
      <c r="F3506">
        <f t="shared" si="115"/>
        <v>0</v>
      </c>
    </row>
    <row r="3507" spans="1:6">
      <c r="A3507" s="30">
        <f t="shared" si="116"/>
        <v>46597</v>
      </c>
      <c r="B3507" s="32" t="s">
        <v>206</v>
      </c>
      <c r="C3507" t="s">
        <v>206</v>
      </c>
      <c r="D3507">
        <f>IF(B3507=$AB$2,$AC$2,$AC$3)</f>
        <v>0</v>
      </c>
      <c r="E3507">
        <f>IF(ISBLANK(C3507),0,VLOOKUP(C3507,$AE$2:$AF$7,2,0))</f>
        <v>0</v>
      </c>
      <c r="F3507">
        <f t="shared" si="115"/>
        <v>0</v>
      </c>
    </row>
    <row r="3508" spans="1:6">
      <c r="A3508" s="30">
        <f t="shared" si="116"/>
        <v>46598</v>
      </c>
      <c r="B3508" s="32" t="s">
        <v>206</v>
      </c>
      <c r="C3508" t="s">
        <v>206</v>
      </c>
      <c r="D3508">
        <f>IF(B3508=$AB$2,$AC$2,$AC$3)</f>
        <v>0</v>
      </c>
      <c r="E3508">
        <f>IF(ISBLANK(C3508),0,VLOOKUP(C3508,$AE$2:$AF$7,2,0))</f>
        <v>0</v>
      </c>
      <c r="F3508">
        <f t="shared" si="115"/>
        <v>0</v>
      </c>
    </row>
    <row r="3509" spans="1:6">
      <c r="A3509" s="30">
        <f t="shared" si="116"/>
        <v>46599</v>
      </c>
      <c r="B3509" s="32" t="s">
        <v>206</v>
      </c>
      <c r="C3509" t="s">
        <v>206</v>
      </c>
      <c r="D3509">
        <f>IF(B3509=$AB$2,$AC$2,$AC$3)</f>
        <v>0</v>
      </c>
      <c r="E3509">
        <f>IF(ISBLANK(C3509),0,VLOOKUP(C3509,$AE$2:$AF$7,2,0))</f>
        <v>0</v>
      </c>
      <c r="F3509">
        <f t="shared" si="115"/>
        <v>0</v>
      </c>
    </row>
    <row r="3510" spans="1:6">
      <c r="A3510" s="30">
        <f t="shared" si="116"/>
        <v>46600</v>
      </c>
      <c r="B3510" s="32" t="s">
        <v>206</v>
      </c>
      <c r="C3510" t="s">
        <v>206</v>
      </c>
      <c r="D3510">
        <f>IF(B3510=$AB$2,$AC$2,$AC$3)</f>
        <v>0</v>
      </c>
      <c r="E3510">
        <f>IF(ISBLANK(C3510),0,VLOOKUP(C3510,$AE$2:$AF$7,2,0))</f>
        <v>0</v>
      </c>
      <c r="F3510">
        <f t="shared" si="115"/>
        <v>0</v>
      </c>
    </row>
    <row r="3511" spans="1:6">
      <c r="A3511" s="30">
        <f t="shared" si="116"/>
        <v>46601</v>
      </c>
      <c r="B3511" s="32" t="s">
        <v>206</v>
      </c>
      <c r="C3511" t="s">
        <v>206</v>
      </c>
      <c r="D3511">
        <f>IF(B3511=$AB$2,$AC$2,$AC$3)</f>
        <v>0</v>
      </c>
      <c r="E3511">
        <f>IF(ISBLANK(C3511),0,VLOOKUP(C3511,$AE$2:$AF$7,2,0))</f>
        <v>0</v>
      </c>
      <c r="F3511">
        <f t="shared" si="115"/>
        <v>0</v>
      </c>
    </row>
    <row r="3512" spans="1:6">
      <c r="A3512" s="30">
        <f t="shared" si="116"/>
        <v>46602</v>
      </c>
      <c r="B3512" s="32" t="s">
        <v>206</v>
      </c>
      <c r="C3512" t="s">
        <v>206</v>
      </c>
      <c r="D3512">
        <f>IF(B3512=$AB$2,$AC$2,$AC$3)</f>
        <v>0</v>
      </c>
      <c r="E3512">
        <f>IF(ISBLANK(C3512),0,VLOOKUP(C3512,$AE$2:$AF$7,2,0))</f>
        <v>0</v>
      </c>
      <c r="F3512">
        <f t="shared" si="115"/>
        <v>0</v>
      </c>
    </row>
    <row r="3513" spans="1:6">
      <c r="A3513" s="30">
        <f t="shared" si="116"/>
        <v>46603</v>
      </c>
      <c r="B3513" s="32" t="s">
        <v>206</v>
      </c>
      <c r="C3513" t="s">
        <v>206</v>
      </c>
      <c r="D3513">
        <f>IF(B3513=$AB$2,$AC$2,$AC$3)</f>
        <v>0</v>
      </c>
      <c r="E3513">
        <f>IF(ISBLANK(C3513),0,VLOOKUP(C3513,$AE$2:$AF$7,2,0))</f>
        <v>0</v>
      </c>
      <c r="F3513">
        <f t="shared" si="115"/>
        <v>0</v>
      </c>
    </row>
    <row r="3514" spans="1:6">
      <c r="A3514" s="30">
        <f t="shared" si="116"/>
        <v>46604</v>
      </c>
      <c r="B3514" s="32" t="s">
        <v>206</v>
      </c>
      <c r="C3514" t="s">
        <v>206</v>
      </c>
      <c r="D3514">
        <f>IF(B3514=$AB$2,$AC$2,$AC$3)</f>
        <v>0</v>
      </c>
      <c r="E3514">
        <f>IF(ISBLANK(C3514),0,VLOOKUP(C3514,$AE$2:$AF$7,2,0))</f>
        <v>0</v>
      </c>
      <c r="F3514">
        <f t="shared" si="115"/>
        <v>0</v>
      </c>
    </row>
    <row r="3515" spans="1:6">
      <c r="A3515" s="30">
        <f t="shared" si="116"/>
        <v>46605</v>
      </c>
      <c r="B3515" s="32" t="s">
        <v>206</v>
      </c>
      <c r="C3515" t="s">
        <v>206</v>
      </c>
      <c r="D3515">
        <f>IF(B3515=$AB$2,$AC$2,$AC$3)</f>
        <v>0</v>
      </c>
      <c r="E3515">
        <f>IF(ISBLANK(C3515),0,VLOOKUP(C3515,$AE$2:$AF$7,2,0))</f>
        <v>0</v>
      </c>
      <c r="F3515">
        <f t="shared" si="115"/>
        <v>0</v>
      </c>
    </row>
    <row r="3516" spans="1:6">
      <c r="A3516" s="30">
        <f t="shared" si="116"/>
        <v>46606</v>
      </c>
      <c r="B3516" s="32" t="s">
        <v>206</v>
      </c>
      <c r="C3516" t="s">
        <v>206</v>
      </c>
      <c r="D3516">
        <f>IF(B3516=$AB$2,$AC$2,$AC$3)</f>
        <v>0</v>
      </c>
      <c r="E3516">
        <f>IF(ISBLANK(C3516),0,VLOOKUP(C3516,$AE$2:$AF$7,2,0))</f>
        <v>0</v>
      </c>
      <c r="F3516">
        <f t="shared" si="115"/>
        <v>0</v>
      </c>
    </row>
    <row r="3517" spans="1:6">
      <c r="A3517" s="30">
        <f t="shared" si="116"/>
        <v>46607</v>
      </c>
      <c r="B3517" s="32" t="s">
        <v>206</v>
      </c>
      <c r="C3517" t="s">
        <v>206</v>
      </c>
      <c r="D3517">
        <f>IF(B3517=$AB$2,$AC$2,$AC$3)</f>
        <v>0</v>
      </c>
      <c r="E3517">
        <f>IF(ISBLANK(C3517),0,VLOOKUP(C3517,$AE$2:$AF$7,2,0))</f>
        <v>0</v>
      </c>
      <c r="F3517">
        <f t="shared" si="115"/>
        <v>0</v>
      </c>
    </row>
    <row r="3518" spans="1:6">
      <c r="A3518" s="30">
        <f t="shared" si="116"/>
        <v>46608</v>
      </c>
      <c r="B3518" s="32" t="s">
        <v>206</v>
      </c>
      <c r="C3518" t="s">
        <v>206</v>
      </c>
      <c r="D3518">
        <f>IF(B3518=$AB$2,$AC$2,$AC$3)</f>
        <v>0</v>
      </c>
      <c r="E3518">
        <f>IF(ISBLANK(C3518),0,VLOOKUP(C3518,$AE$2:$AF$7,2,0))</f>
        <v>0</v>
      </c>
      <c r="F3518">
        <f t="shared" si="115"/>
        <v>0</v>
      </c>
    </row>
    <row r="3519" spans="1:6">
      <c r="A3519" s="30">
        <f t="shared" si="116"/>
        <v>46609</v>
      </c>
      <c r="B3519" s="32" t="s">
        <v>206</v>
      </c>
      <c r="C3519" t="s">
        <v>206</v>
      </c>
      <c r="D3519">
        <f>IF(B3519=$AB$2,$AC$2,$AC$3)</f>
        <v>0</v>
      </c>
      <c r="E3519">
        <f>IF(ISBLANK(C3519),0,VLOOKUP(C3519,$AE$2:$AF$7,2,0))</f>
        <v>0</v>
      </c>
      <c r="F3519">
        <f t="shared" si="115"/>
        <v>0</v>
      </c>
    </row>
    <row r="3520" spans="1:6">
      <c r="A3520" s="30">
        <f t="shared" si="116"/>
        <v>46610</v>
      </c>
      <c r="B3520" s="32" t="s">
        <v>206</v>
      </c>
      <c r="C3520" t="s">
        <v>206</v>
      </c>
      <c r="D3520">
        <f>IF(B3520=$AB$2,$AC$2,$AC$3)</f>
        <v>0</v>
      </c>
      <c r="E3520">
        <f>IF(ISBLANK(C3520),0,VLOOKUP(C3520,$AE$2:$AF$7,2,0))</f>
        <v>0</v>
      </c>
      <c r="F3520">
        <f t="shared" si="115"/>
        <v>0</v>
      </c>
    </row>
    <row r="3521" spans="1:6">
      <c r="A3521" s="30">
        <f t="shared" si="116"/>
        <v>46611</v>
      </c>
      <c r="B3521" s="32" t="s">
        <v>206</v>
      </c>
      <c r="C3521" t="s">
        <v>206</v>
      </c>
      <c r="D3521">
        <f>IF(B3521=$AB$2,$AC$2,$AC$3)</f>
        <v>0</v>
      </c>
      <c r="E3521">
        <f>IF(ISBLANK(C3521),0,VLOOKUP(C3521,$AE$2:$AF$7,2,0))</f>
        <v>0</v>
      </c>
      <c r="F3521">
        <f t="shared" si="115"/>
        <v>0</v>
      </c>
    </row>
    <row r="3522" spans="1:6">
      <c r="A3522" s="30">
        <f t="shared" si="116"/>
        <v>46612</v>
      </c>
      <c r="B3522" s="32" t="s">
        <v>206</v>
      </c>
      <c r="C3522" t="s">
        <v>206</v>
      </c>
      <c r="D3522">
        <f>IF(B3522=$AB$2,$AC$2,$AC$3)</f>
        <v>0</v>
      </c>
      <c r="E3522">
        <f>IF(ISBLANK(C3522),0,VLOOKUP(C3522,$AE$2:$AF$7,2,0))</f>
        <v>0</v>
      </c>
      <c r="F3522">
        <f t="shared" si="115"/>
        <v>0</v>
      </c>
    </row>
    <row r="3523" spans="1:6">
      <c r="A3523" s="30">
        <f t="shared" si="116"/>
        <v>46613</v>
      </c>
      <c r="B3523" s="32" t="s">
        <v>206</v>
      </c>
      <c r="C3523" t="s">
        <v>206</v>
      </c>
      <c r="D3523">
        <f>IF(B3523=$AB$2,$AC$2,$AC$3)</f>
        <v>0</v>
      </c>
      <c r="E3523">
        <f>IF(ISBLANK(C3523),0,VLOOKUP(C3523,$AE$2:$AF$7,2,0))</f>
        <v>0</v>
      </c>
      <c r="F3523">
        <f t="shared" ref="F3523:F3586" si="117">D3523*E3523</f>
        <v>0</v>
      </c>
    </row>
    <row r="3524" spans="1:6">
      <c r="A3524" s="30">
        <f t="shared" si="116"/>
        <v>46614</v>
      </c>
      <c r="B3524" s="32" t="s">
        <v>206</v>
      </c>
      <c r="C3524" t="s">
        <v>206</v>
      </c>
      <c r="D3524">
        <f>IF(B3524=$AB$2,$AC$2,$AC$3)</f>
        <v>0</v>
      </c>
      <c r="E3524">
        <f>IF(ISBLANK(C3524),0,VLOOKUP(C3524,$AE$2:$AF$7,2,0))</f>
        <v>0</v>
      </c>
      <c r="F3524">
        <f t="shared" si="117"/>
        <v>0</v>
      </c>
    </row>
    <row r="3525" spans="1:6">
      <c r="A3525" s="30">
        <f t="shared" si="116"/>
        <v>46615</v>
      </c>
      <c r="B3525" s="32" t="s">
        <v>206</v>
      </c>
      <c r="C3525" t="s">
        <v>206</v>
      </c>
      <c r="D3525">
        <f>IF(B3525=$AB$2,$AC$2,$AC$3)</f>
        <v>0</v>
      </c>
      <c r="E3525">
        <f>IF(ISBLANK(C3525),0,VLOOKUP(C3525,$AE$2:$AF$7,2,0))</f>
        <v>0</v>
      </c>
      <c r="F3525">
        <f t="shared" si="117"/>
        <v>0</v>
      </c>
    </row>
    <row r="3526" spans="1:6">
      <c r="A3526" s="30">
        <f t="shared" si="116"/>
        <v>46616</v>
      </c>
      <c r="B3526" s="32" t="s">
        <v>206</v>
      </c>
      <c r="C3526" t="s">
        <v>206</v>
      </c>
      <c r="D3526">
        <f>IF(B3526=$AB$2,$AC$2,$AC$3)</f>
        <v>0</v>
      </c>
      <c r="E3526">
        <f>IF(ISBLANK(C3526),0,VLOOKUP(C3526,$AE$2:$AF$7,2,0))</f>
        <v>0</v>
      </c>
      <c r="F3526">
        <f t="shared" si="117"/>
        <v>0</v>
      </c>
    </row>
    <row r="3527" spans="1:6">
      <c r="A3527" s="30">
        <f t="shared" si="116"/>
        <v>46617</v>
      </c>
      <c r="B3527" s="32" t="s">
        <v>206</v>
      </c>
      <c r="C3527" t="s">
        <v>206</v>
      </c>
      <c r="D3527">
        <f>IF(B3527=$AB$2,$AC$2,$AC$3)</f>
        <v>0</v>
      </c>
      <c r="E3527">
        <f>IF(ISBLANK(C3527),0,VLOOKUP(C3527,$AE$2:$AF$7,2,0))</f>
        <v>0</v>
      </c>
      <c r="F3527">
        <f t="shared" si="117"/>
        <v>0</v>
      </c>
    </row>
    <row r="3528" spans="1:6">
      <c r="A3528" s="30">
        <f t="shared" si="116"/>
        <v>46618</v>
      </c>
      <c r="B3528" s="32" t="s">
        <v>206</v>
      </c>
      <c r="C3528" t="s">
        <v>206</v>
      </c>
      <c r="D3528">
        <f>IF(B3528=$AB$2,$AC$2,$AC$3)</f>
        <v>0</v>
      </c>
      <c r="E3528">
        <f>IF(ISBLANK(C3528),0,VLOOKUP(C3528,$AE$2:$AF$7,2,0))</f>
        <v>0</v>
      </c>
      <c r="F3528">
        <f t="shared" si="117"/>
        <v>0</v>
      </c>
    </row>
    <row r="3529" spans="1:6">
      <c r="A3529" s="30">
        <f t="shared" si="116"/>
        <v>46619</v>
      </c>
      <c r="B3529" s="32" t="s">
        <v>206</v>
      </c>
      <c r="C3529" t="s">
        <v>206</v>
      </c>
      <c r="D3529">
        <f>IF(B3529=$AB$2,$AC$2,$AC$3)</f>
        <v>0</v>
      </c>
      <c r="E3529">
        <f>IF(ISBLANK(C3529),0,VLOOKUP(C3529,$AE$2:$AF$7,2,0))</f>
        <v>0</v>
      </c>
      <c r="F3529">
        <f t="shared" si="117"/>
        <v>0</v>
      </c>
    </row>
    <row r="3530" spans="1:6">
      <c r="A3530" s="30">
        <f t="shared" si="116"/>
        <v>46620</v>
      </c>
      <c r="B3530" s="32" t="s">
        <v>206</v>
      </c>
      <c r="C3530" t="s">
        <v>206</v>
      </c>
      <c r="D3530">
        <f>IF(B3530=$AB$2,$AC$2,$AC$3)</f>
        <v>0</v>
      </c>
      <c r="E3530">
        <f>IF(ISBLANK(C3530),0,VLOOKUP(C3530,$AE$2:$AF$7,2,0))</f>
        <v>0</v>
      </c>
      <c r="F3530">
        <f t="shared" si="117"/>
        <v>0</v>
      </c>
    </row>
    <row r="3531" spans="1:6">
      <c r="A3531" s="30">
        <f t="shared" si="116"/>
        <v>46621</v>
      </c>
      <c r="B3531" s="32" t="s">
        <v>206</v>
      </c>
      <c r="C3531" t="s">
        <v>206</v>
      </c>
      <c r="D3531">
        <f>IF(B3531=$AB$2,$AC$2,$AC$3)</f>
        <v>0</v>
      </c>
      <c r="E3531">
        <f>IF(ISBLANK(C3531),0,VLOOKUP(C3531,$AE$2:$AF$7,2,0))</f>
        <v>0</v>
      </c>
      <c r="F3531">
        <f t="shared" si="117"/>
        <v>0</v>
      </c>
    </row>
    <row r="3532" spans="1:6">
      <c r="A3532" s="30">
        <f t="shared" si="116"/>
        <v>46622</v>
      </c>
      <c r="B3532" s="32" t="s">
        <v>206</v>
      </c>
      <c r="C3532" t="s">
        <v>206</v>
      </c>
      <c r="D3532">
        <f>IF(B3532=$AB$2,$AC$2,$AC$3)</f>
        <v>0</v>
      </c>
      <c r="E3532">
        <f>IF(ISBLANK(C3532),0,VLOOKUP(C3532,$AE$2:$AF$7,2,0))</f>
        <v>0</v>
      </c>
      <c r="F3532">
        <f t="shared" si="117"/>
        <v>0</v>
      </c>
    </row>
    <row r="3533" spans="1:6">
      <c r="A3533" s="30">
        <f t="shared" si="116"/>
        <v>46623</v>
      </c>
      <c r="B3533" s="32" t="s">
        <v>206</v>
      </c>
      <c r="C3533" t="s">
        <v>206</v>
      </c>
      <c r="D3533">
        <f>IF(B3533=$AB$2,$AC$2,$AC$3)</f>
        <v>0</v>
      </c>
      <c r="E3533">
        <f>IF(ISBLANK(C3533),0,VLOOKUP(C3533,$AE$2:$AF$7,2,0))</f>
        <v>0</v>
      </c>
      <c r="F3533">
        <f t="shared" si="117"/>
        <v>0</v>
      </c>
    </row>
    <row r="3534" spans="1:6">
      <c r="A3534" s="30">
        <f t="shared" si="116"/>
        <v>46624</v>
      </c>
      <c r="B3534" s="32" t="s">
        <v>206</v>
      </c>
      <c r="C3534" t="s">
        <v>206</v>
      </c>
      <c r="D3534">
        <f>IF(B3534=$AB$2,$AC$2,$AC$3)</f>
        <v>0</v>
      </c>
      <c r="E3534">
        <f>IF(ISBLANK(C3534),0,VLOOKUP(C3534,$AE$2:$AF$7,2,0))</f>
        <v>0</v>
      </c>
      <c r="F3534">
        <f t="shared" si="117"/>
        <v>0</v>
      </c>
    </row>
    <row r="3535" spans="1:6">
      <c r="A3535" s="30">
        <f t="shared" si="116"/>
        <v>46625</v>
      </c>
      <c r="B3535" s="32" t="s">
        <v>206</v>
      </c>
      <c r="C3535" t="s">
        <v>206</v>
      </c>
      <c r="D3535">
        <f>IF(B3535=$AB$2,$AC$2,$AC$3)</f>
        <v>0</v>
      </c>
      <c r="E3535">
        <f>IF(ISBLANK(C3535),0,VLOOKUP(C3535,$AE$2:$AF$7,2,0))</f>
        <v>0</v>
      </c>
      <c r="F3535">
        <f t="shared" si="117"/>
        <v>0</v>
      </c>
    </row>
    <row r="3536" spans="1:6">
      <c r="A3536" s="30">
        <f t="shared" si="116"/>
        <v>46626</v>
      </c>
      <c r="B3536" s="32" t="s">
        <v>206</v>
      </c>
      <c r="C3536" t="s">
        <v>206</v>
      </c>
      <c r="D3536">
        <f>IF(B3536=$AB$2,$AC$2,$AC$3)</f>
        <v>0</v>
      </c>
      <c r="E3536">
        <f>IF(ISBLANK(C3536),0,VLOOKUP(C3536,$AE$2:$AF$7,2,0))</f>
        <v>0</v>
      </c>
      <c r="F3536">
        <f t="shared" si="117"/>
        <v>0</v>
      </c>
    </row>
    <row r="3537" spans="1:6">
      <c r="A3537" s="30">
        <f>A3536+1</f>
        <v>46627</v>
      </c>
      <c r="B3537" s="32" t="s">
        <v>206</v>
      </c>
      <c r="C3537" t="s">
        <v>206</v>
      </c>
      <c r="D3537">
        <f>IF(B3537=$AB$2,$AC$2,$AC$3)</f>
        <v>0</v>
      </c>
      <c r="E3537">
        <f>IF(ISBLANK(C3537),0,VLOOKUP(C3537,$AE$2:$AF$7,2,0))</f>
        <v>0</v>
      </c>
      <c r="F3537">
        <f t="shared" si="117"/>
        <v>0</v>
      </c>
    </row>
    <row r="3538" spans="1:6">
      <c r="A3538" s="30">
        <f t="shared" ref="A3538:A3601" si="118">A3537+1</f>
        <v>46628</v>
      </c>
      <c r="B3538" s="32" t="s">
        <v>206</v>
      </c>
      <c r="C3538" t="s">
        <v>206</v>
      </c>
      <c r="D3538">
        <f>IF(B3538=$AB$2,$AC$2,$AC$3)</f>
        <v>0</v>
      </c>
      <c r="E3538">
        <f>IF(ISBLANK(C3538),0,VLOOKUP(C3538,$AE$2:$AF$7,2,0))</f>
        <v>0</v>
      </c>
      <c r="F3538">
        <f t="shared" si="117"/>
        <v>0</v>
      </c>
    </row>
    <row r="3539" spans="1:6">
      <c r="A3539" s="30">
        <f t="shared" si="118"/>
        <v>46629</v>
      </c>
      <c r="B3539" s="32" t="s">
        <v>206</v>
      </c>
      <c r="C3539" t="s">
        <v>206</v>
      </c>
      <c r="D3539">
        <f>IF(B3539=$AB$2,$AC$2,$AC$3)</f>
        <v>0</v>
      </c>
      <c r="E3539">
        <f>IF(ISBLANK(C3539),0,VLOOKUP(C3539,$AE$2:$AF$7,2,0))</f>
        <v>0</v>
      </c>
      <c r="F3539">
        <f t="shared" si="117"/>
        <v>0</v>
      </c>
    </row>
    <row r="3540" spans="1:6">
      <c r="A3540" s="30">
        <f t="shared" si="118"/>
        <v>46630</v>
      </c>
      <c r="B3540" s="32" t="s">
        <v>206</v>
      </c>
      <c r="C3540" t="s">
        <v>206</v>
      </c>
      <c r="D3540">
        <f>IF(B3540=$AB$2,$AC$2,$AC$3)</f>
        <v>0</v>
      </c>
      <c r="E3540">
        <f>IF(ISBLANK(C3540),0,VLOOKUP(C3540,$AE$2:$AF$7,2,0))</f>
        <v>0</v>
      </c>
      <c r="F3540">
        <f t="shared" si="117"/>
        <v>0</v>
      </c>
    </row>
    <row r="3541" spans="1:6">
      <c r="A3541" s="30">
        <f t="shared" si="118"/>
        <v>46631</v>
      </c>
      <c r="B3541" s="32" t="s">
        <v>199</v>
      </c>
      <c r="C3541" t="s">
        <v>6</v>
      </c>
      <c r="D3541">
        <f>IF(B3541=$AB$2,$AC$2,$AC$3)</f>
        <v>1</v>
      </c>
      <c r="E3541">
        <f>IF(ISBLANK(C3541),0,VLOOKUP(C3541,$AE$2:$AF$7,2,0))</f>
        <v>1</v>
      </c>
      <c r="F3541">
        <f t="shared" si="117"/>
        <v>1</v>
      </c>
    </row>
    <row r="3542" spans="1:6">
      <c r="A3542" s="30">
        <f t="shared" si="118"/>
        <v>46632</v>
      </c>
      <c r="B3542" s="32" t="s">
        <v>199</v>
      </c>
      <c r="C3542" t="s">
        <v>6</v>
      </c>
      <c r="D3542">
        <f>IF(B3542=$AB$2,$AC$2,$AC$3)</f>
        <v>1</v>
      </c>
      <c r="E3542">
        <f>IF(ISBLANK(C3542),0,VLOOKUP(C3542,$AE$2:$AF$7,2,0))</f>
        <v>1</v>
      </c>
      <c r="F3542">
        <f t="shared" si="117"/>
        <v>1</v>
      </c>
    </row>
    <row r="3543" spans="1:6">
      <c r="A3543" s="30">
        <f t="shared" si="118"/>
        <v>46633</v>
      </c>
      <c r="B3543" s="32" t="s">
        <v>199</v>
      </c>
      <c r="C3543" t="s">
        <v>6</v>
      </c>
      <c r="D3543">
        <f>IF(B3543=$AB$2,$AC$2,$AC$3)</f>
        <v>1</v>
      </c>
      <c r="E3543">
        <f>IF(ISBLANK(C3543),0,VLOOKUP(C3543,$AE$2:$AF$7,2,0))</f>
        <v>1</v>
      </c>
      <c r="F3543">
        <f t="shared" si="117"/>
        <v>1</v>
      </c>
    </row>
    <row r="3544" spans="1:6">
      <c r="A3544" s="30">
        <f t="shared" si="118"/>
        <v>46634</v>
      </c>
      <c r="B3544" s="32" t="s">
        <v>199</v>
      </c>
      <c r="C3544" t="s">
        <v>6</v>
      </c>
      <c r="D3544">
        <f>IF(B3544=$AB$2,$AC$2,$AC$3)</f>
        <v>1</v>
      </c>
      <c r="E3544">
        <f>IF(ISBLANK(C3544),0,VLOOKUP(C3544,$AE$2:$AF$7,2,0))</f>
        <v>1</v>
      </c>
      <c r="F3544">
        <f t="shared" si="117"/>
        <v>1</v>
      </c>
    </row>
    <row r="3545" spans="1:6">
      <c r="A3545" s="30">
        <f t="shared" si="118"/>
        <v>46635</v>
      </c>
      <c r="B3545" s="32" t="s">
        <v>199</v>
      </c>
      <c r="C3545" t="s">
        <v>6</v>
      </c>
      <c r="D3545">
        <f>IF(B3545=$AB$2,$AC$2,$AC$3)</f>
        <v>1</v>
      </c>
      <c r="E3545">
        <f>IF(ISBLANK(C3545),0,VLOOKUP(C3545,$AE$2:$AF$7,2,0))</f>
        <v>1</v>
      </c>
      <c r="F3545">
        <f t="shared" si="117"/>
        <v>1</v>
      </c>
    </row>
    <row r="3546" spans="1:6">
      <c r="A3546" s="30">
        <f t="shared" si="118"/>
        <v>46636</v>
      </c>
      <c r="B3546" s="32" t="s">
        <v>199</v>
      </c>
      <c r="C3546" t="s">
        <v>6</v>
      </c>
      <c r="D3546">
        <f>IF(B3546=$AB$2,$AC$2,$AC$3)</f>
        <v>1</v>
      </c>
      <c r="E3546">
        <f>IF(ISBLANK(C3546),0,VLOOKUP(C3546,$AE$2:$AF$7,2,0))</f>
        <v>1</v>
      </c>
      <c r="F3546">
        <f t="shared" si="117"/>
        <v>1</v>
      </c>
    </row>
    <row r="3547" spans="1:6">
      <c r="A3547" s="30">
        <f t="shared" si="118"/>
        <v>46637</v>
      </c>
      <c r="B3547" s="32" t="s">
        <v>199</v>
      </c>
      <c r="C3547" t="s">
        <v>6</v>
      </c>
      <c r="D3547">
        <f>IF(B3547=$AB$2,$AC$2,$AC$3)</f>
        <v>1</v>
      </c>
      <c r="E3547">
        <f>IF(ISBLANK(C3547),0,VLOOKUP(C3547,$AE$2:$AF$7,2,0))</f>
        <v>1</v>
      </c>
      <c r="F3547">
        <f t="shared" si="117"/>
        <v>1</v>
      </c>
    </row>
    <row r="3548" spans="1:6">
      <c r="A3548" s="30">
        <f t="shared" si="118"/>
        <v>46638</v>
      </c>
      <c r="B3548" s="32" t="s">
        <v>199</v>
      </c>
      <c r="C3548" t="s">
        <v>6</v>
      </c>
      <c r="D3548">
        <f>IF(B3548=$AB$2,$AC$2,$AC$3)</f>
        <v>1</v>
      </c>
      <c r="E3548">
        <f>IF(ISBLANK(C3548),0,VLOOKUP(C3548,$AE$2:$AF$7,2,0))</f>
        <v>1</v>
      </c>
      <c r="F3548">
        <f t="shared" si="117"/>
        <v>1</v>
      </c>
    </row>
    <row r="3549" spans="1:6">
      <c r="A3549" s="30">
        <f t="shared" si="118"/>
        <v>46639</v>
      </c>
      <c r="B3549" s="32" t="s">
        <v>199</v>
      </c>
      <c r="C3549" t="s">
        <v>6</v>
      </c>
      <c r="D3549">
        <f>IF(B3549=$AB$2,$AC$2,$AC$3)</f>
        <v>1</v>
      </c>
      <c r="E3549">
        <f>IF(ISBLANK(C3549),0,VLOOKUP(C3549,$AE$2:$AF$7,2,0))</f>
        <v>1</v>
      </c>
      <c r="F3549">
        <f t="shared" si="117"/>
        <v>1</v>
      </c>
    </row>
    <row r="3550" spans="1:6">
      <c r="A3550" s="30">
        <f t="shared" si="118"/>
        <v>46640</v>
      </c>
      <c r="B3550" s="32" t="s">
        <v>199</v>
      </c>
      <c r="C3550" t="s">
        <v>6</v>
      </c>
      <c r="D3550">
        <f>IF(B3550=$AB$2,$AC$2,$AC$3)</f>
        <v>1</v>
      </c>
      <c r="E3550">
        <f>IF(ISBLANK(C3550),0,VLOOKUP(C3550,$AE$2:$AF$7,2,0))</f>
        <v>1</v>
      </c>
      <c r="F3550">
        <f t="shared" si="117"/>
        <v>1</v>
      </c>
    </row>
    <row r="3551" spans="1:6">
      <c r="A3551" s="30">
        <f t="shared" si="118"/>
        <v>46641</v>
      </c>
      <c r="B3551" s="32" t="s">
        <v>199</v>
      </c>
      <c r="C3551" t="s">
        <v>6</v>
      </c>
      <c r="D3551">
        <f>IF(B3551=$AB$2,$AC$2,$AC$3)</f>
        <v>1</v>
      </c>
      <c r="E3551">
        <f>IF(ISBLANK(C3551),0,VLOOKUP(C3551,$AE$2:$AF$7,2,0))</f>
        <v>1</v>
      </c>
      <c r="F3551">
        <f t="shared" si="117"/>
        <v>1</v>
      </c>
    </row>
    <row r="3552" spans="1:6">
      <c r="A3552" s="30">
        <f t="shared" si="118"/>
        <v>46642</v>
      </c>
      <c r="B3552" s="32" t="s">
        <v>199</v>
      </c>
      <c r="C3552" t="s">
        <v>6</v>
      </c>
      <c r="D3552">
        <f>IF(B3552=$AB$2,$AC$2,$AC$3)</f>
        <v>1</v>
      </c>
      <c r="E3552">
        <f>IF(ISBLANK(C3552),0,VLOOKUP(C3552,$AE$2:$AF$7,2,0))</f>
        <v>1</v>
      </c>
      <c r="F3552">
        <f t="shared" si="117"/>
        <v>1</v>
      </c>
    </row>
    <row r="3553" spans="1:6">
      <c r="A3553" s="30">
        <f t="shared" si="118"/>
        <v>46643</v>
      </c>
      <c r="B3553" s="32" t="s">
        <v>199</v>
      </c>
      <c r="C3553" t="s">
        <v>6</v>
      </c>
      <c r="D3553">
        <f>IF(B3553=$AB$2,$AC$2,$AC$3)</f>
        <v>1</v>
      </c>
      <c r="E3553">
        <f>IF(ISBLANK(C3553),0,VLOOKUP(C3553,$AE$2:$AF$7,2,0))</f>
        <v>1</v>
      </c>
      <c r="F3553">
        <f t="shared" si="117"/>
        <v>1</v>
      </c>
    </row>
    <row r="3554" spans="1:6">
      <c r="A3554" s="30">
        <f t="shared" si="118"/>
        <v>46644</v>
      </c>
      <c r="B3554" s="32" t="s">
        <v>199</v>
      </c>
      <c r="C3554" t="s">
        <v>6</v>
      </c>
      <c r="D3554">
        <f>IF(B3554=$AB$2,$AC$2,$AC$3)</f>
        <v>1</v>
      </c>
      <c r="E3554">
        <f>IF(ISBLANK(C3554),0,VLOOKUP(C3554,$AE$2:$AF$7,2,0))</f>
        <v>1</v>
      </c>
      <c r="F3554">
        <f t="shared" si="117"/>
        <v>1</v>
      </c>
    </row>
    <row r="3555" spans="1:6">
      <c r="A3555" s="30">
        <f t="shared" si="118"/>
        <v>46645</v>
      </c>
      <c r="B3555" s="32" t="s">
        <v>199</v>
      </c>
      <c r="C3555" t="s">
        <v>6</v>
      </c>
      <c r="D3555">
        <f>IF(B3555=$AB$2,$AC$2,$AC$3)</f>
        <v>1</v>
      </c>
      <c r="E3555">
        <f>IF(ISBLANK(C3555),0,VLOOKUP(C3555,$AE$2:$AF$7,2,0))</f>
        <v>1</v>
      </c>
      <c r="F3555">
        <f t="shared" si="117"/>
        <v>1</v>
      </c>
    </row>
    <row r="3556" spans="1:6">
      <c r="A3556" s="30">
        <f t="shared" si="118"/>
        <v>46646</v>
      </c>
      <c r="B3556" s="32" t="s">
        <v>199</v>
      </c>
      <c r="C3556" t="s">
        <v>6</v>
      </c>
      <c r="D3556">
        <f>IF(B3556=$AB$2,$AC$2,$AC$3)</f>
        <v>1</v>
      </c>
      <c r="E3556">
        <f>IF(ISBLANK(C3556),0,VLOOKUP(C3556,$AE$2:$AF$7,2,0))</f>
        <v>1</v>
      </c>
      <c r="F3556">
        <f t="shared" si="117"/>
        <v>1</v>
      </c>
    </row>
    <row r="3557" spans="1:6">
      <c r="A3557" s="30">
        <f t="shared" si="118"/>
        <v>46647</v>
      </c>
      <c r="B3557" s="32" t="s">
        <v>199</v>
      </c>
      <c r="C3557" t="s">
        <v>6</v>
      </c>
      <c r="D3557">
        <f>IF(B3557=$AB$2,$AC$2,$AC$3)</f>
        <v>1</v>
      </c>
      <c r="E3557">
        <f>IF(ISBLANK(C3557),0,VLOOKUP(C3557,$AE$2:$AF$7,2,0))</f>
        <v>1</v>
      </c>
      <c r="F3557">
        <f t="shared" si="117"/>
        <v>1</v>
      </c>
    </row>
    <row r="3558" spans="1:6">
      <c r="A3558" s="30">
        <f t="shared" si="118"/>
        <v>46648</v>
      </c>
      <c r="B3558" s="32" t="s">
        <v>199</v>
      </c>
      <c r="C3558" t="s">
        <v>6</v>
      </c>
      <c r="D3558">
        <f>IF(B3558=$AB$2,$AC$2,$AC$3)</f>
        <v>1</v>
      </c>
      <c r="E3558">
        <f>IF(ISBLANK(C3558),0,VLOOKUP(C3558,$AE$2:$AF$7,2,0))</f>
        <v>1</v>
      </c>
      <c r="F3558">
        <f t="shared" si="117"/>
        <v>1</v>
      </c>
    </row>
    <row r="3559" spans="1:6">
      <c r="A3559" s="30">
        <f t="shared" si="118"/>
        <v>46649</v>
      </c>
      <c r="B3559" s="32" t="s">
        <v>199</v>
      </c>
      <c r="C3559" t="s">
        <v>6</v>
      </c>
      <c r="D3559">
        <f>IF(B3559=$AB$2,$AC$2,$AC$3)</f>
        <v>1</v>
      </c>
      <c r="E3559">
        <f>IF(ISBLANK(C3559),0,VLOOKUP(C3559,$AE$2:$AF$7,2,0))</f>
        <v>1</v>
      </c>
      <c r="F3559">
        <f t="shared" si="117"/>
        <v>1</v>
      </c>
    </row>
    <row r="3560" spans="1:6">
      <c r="A3560" s="30">
        <f t="shared" si="118"/>
        <v>46650</v>
      </c>
      <c r="B3560" s="32" t="s">
        <v>199</v>
      </c>
      <c r="C3560" t="s">
        <v>6</v>
      </c>
      <c r="D3560">
        <f>IF(B3560=$AB$2,$AC$2,$AC$3)</f>
        <v>1</v>
      </c>
      <c r="E3560">
        <f>IF(ISBLANK(C3560),0,VLOOKUP(C3560,$AE$2:$AF$7,2,0))</f>
        <v>1</v>
      </c>
      <c r="F3560">
        <f t="shared" si="117"/>
        <v>1</v>
      </c>
    </row>
    <row r="3561" spans="1:6">
      <c r="A3561" s="30">
        <f t="shared" si="118"/>
        <v>46651</v>
      </c>
      <c r="B3561" s="32" t="s">
        <v>199</v>
      </c>
      <c r="C3561" t="s">
        <v>6</v>
      </c>
      <c r="D3561">
        <f>IF(B3561=$AB$2,$AC$2,$AC$3)</f>
        <v>1</v>
      </c>
      <c r="E3561">
        <f>IF(ISBLANK(C3561),0,VLOOKUP(C3561,$AE$2:$AF$7,2,0))</f>
        <v>1</v>
      </c>
      <c r="F3561">
        <f t="shared" si="117"/>
        <v>1</v>
      </c>
    </row>
    <row r="3562" spans="1:6">
      <c r="A3562" s="30">
        <f t="shared" si="118"/>
        <v>46652</v>
      </c>
      <c r="B3562" s="32" t="s">
        <v>199</v>
      </c>
      <c r="C3562" t="s">
        <v>6</v>
      </c>
      <c r="D3562">
        <f>IF(B3562=$AB$2,$AC$2,$AC$3)</f>
        <v>1</v>
      </c>
      <c r="E3562">
        <f>IF(ISBLANK(C3562),0,VLOOKUP(C3562,$AE$2:$AF$7,2,0))</f>
        <v>1</v>
      </c>
      <c r="F3562">
        <f t="shared" si="117"/>
        <v>1</v>
      </c>
    </row>
    <row r="3563" spans="1:6">
      <c r="A3563" s="30">
        <f t="shared" si="118"/>
        <v>46653</v>
      </c>
      <c r="B3563" s="32" t="s">
        <v>199</v>
      </c>
      <c r="C3563" t="s">
        <v>6</v>
      </c>
      <c r="D3563">
        <f>IF(B3563=$AB$2,$AC$2,$AC$3)</f>
        <v>1</v>
      </c>
      <c r="E3563">
        <f>IF(ISBLANK(C3563),0,VLOOKUP(C3563,$AE$2:$AF$7,2,0))</f>
        <v>1</v>
      </c>
      <c r="F3563">
        <f t="shared" si="117"/>
        <v>1</v>
      </c>
    </row>
    <row r="3564" spans="1:6">
      <c r="A3564" s="30">
        <f t="shared" si="118"/>
        <v>46654</v>
      </c>
      <c r="B3564" s="32" t="s">
        <v>199</v>
      </c>
      <c r="C3564" t="s">
        <v>6</v>
      </c>
      <c r="D3564">
        <f>IF(B3564=$AB$2,$AC$2,$AC$3)</f>
        <v>1</v>
      </c>
      <c r="E3564">
        <f>IF(ISBLANK(C3564),0,VLOOKUP(C3564,$AE$2:$AF$7,2,0))</f>
        <v>1</v>
      </c>
      <c r="F3564">
        <f t="shared" si="117"/>
        <v>1</v>
      </c>
    </row>
    <row r="3565" spans="1:6">
      <c r="A3565" s="30">
        <f t="shared" si="118"/>
        <v>46655</v>
      </c>
      <c r="B3565" s="32" t="s">
        <v>199</v>
      </c>
      <c r="C3565" t="s">
        <v>6</v>
      </c>
      <c r="D3565">
        <f>IF(B3565=$AB$2,$AC$2,$AC$3)</f>
        <v>1</v>
      </c>
      <c r="E3565">
        <f>IF(ISBLANK(C3565),0,VLOOKUP(C3565,$AE$2:$AF$7,2,0))</f>
        <v>1</v>
      </c>
      <c r="F3565">
        <f t="shared" si="117"/>
        <v>1</v>
      </c>
    </row>
    <row r="3566" spans="1:6">
      <c r="A3566" s="30">
        <f t="shared" si="118"/>
        <v>46656</v>
      </c>
      <c r="B3566" s="32" t="s">
        <v>199</v>
      </c>
      <c r="C3566" t="s">
        <v>6</v>
      </c>
      <c r="D3566">
        <f>IF(B3566=$AB$2,$AC$2,$AC$3)</f>
        <v>1</v>
      </c>
      <c r="E3566">
        <f>IF(ISBLANK(C3566),0,VLOOKUP(C3566,$AE$2:$AF$7,2,0))</f>
        <v>1</v>
      </c>
      <c r="F3566">
        <f t="shared" si="117"/>
        <v>1</v>
      </c>
    </row>
    <row r="3567" spans="1:6">
      <c r="A3567" s="30">
        <f t="shared" si="118"/>
        <v>46657</v>
      </c>
      <c r="B3567" s="32" t="s">
        <v>199</v>
      </c>
      <c r="C3567" t="s">
        <v>6</v>
      </c>
      <c r="D3567">
        <f>IF(B3567=$AB$2,$AC$2,$AC$3)</f>
        <v>1</v>
      </c>
      <c r="E3567">
        <f>IF(ISBLANK(C3567),0,VLOOKUP(C3567,$AE$2:$AF$7,2,0))</f>
        <v>1</v>
      </c>
      <c r="F3567">
        <f t="shared" si="117"/>
        <v>1</v>
      </c>
    </row>
    <row r="3568" spans="1:6">
      <c r="A3568" s="30">
        <f t="shared" si="118"/>
        <v>46658</v>
      </c>
      <c r="B3568" s="32" t="s">
        <v>199</v>
      </c>
      <c r="C3568" t="s">
        <v>6</v>
      </c>
      <c r="D3568">
        <f>IF(B3568=$AB$2,$AC$2,$AC$3)</f>
        <v>1</v>
      </c>
      <c r="E3568">
        <f>IF(ISBLANK(C3568),0,VLOOKUP(C3568,$AE$2:$AF$7,2,0))</f>
        <v>1</v>
      </c>
      <c r="F3568">
        <f t="shared" si="117"/>
        <v>1</v>
      </c>
    </row>
    <row r="3569" spans="1:6">
      <c r="A3569" s="30">
        <f t="shared" si="118"/>
        <v>46659</v>
      </c>
      <c r="B3569" s="32" t="s">
        <v>199</v>
      </c>
      <c r="C3569" t="s">
        <v>6</v>
      </c>
      <c r="D3569">
        <f>IF(B3569=$AB$2,$AC$2,$AC$3)</f>
        <v>1</v>
      </c>
      <c r="E3569">
        <f>IF(ISBLANK(C3569),0,VLOOKUP(C3569,$AE$2:$AF$7,2,0))</f>
        <v>1</v>
      </c>
      <c r="F3569">
        <f t="shared" si="117"/>
        <v>1</v>
      </c>
    </row>
    <row r="3570" spans="1:6">
      <c r="A3570" s="30">
        <f t="shared" si="118"/>
        <v>46660</v>
      </c>
      <c r="B3570" s="32" t="s">
        <v>199</v>
      </c>
      <c r="C3570" t="s">
        <v>6</v>
      </c>
      <c r="D3570">
        <f>IF(B3570=$AB$2,$AC$2,$AC$3)</f>
        <v>1</v>
      </c>
      <c r="E3570">
        <f>IF(ISBLANK(C3570),0,VLOOKUP(C3570,$AE$2:$AF$7,2,0))</f>
        <v>1</v>
      </c>
      <c r="F3570">
        <f t="shared" si="117"/>
        <v>1</v>
      </c>
    </row>
    <row r="3571" spans="1:6">
      <c r="A3571" s="30">
        <f t="shared" si="118"/>
        <v>46661</v>
      </c>
      <c r="B3571" s="32" t="s">
        <v>199</v>
      </c>
      <c r="C3571" t="s">
        <v>6</v>
      </c>
      <c r="D3571">
        <f>IF(B3571=$AB$2,$AC$2,$AC$3)</f>
        <v>1</v>
      </c>
      <c r="E3571">
        <f>IF(ISBLANK(C3571),0,VLOOKUP(C3571,$AE$2:$AF$7,2,0))</f>
        <v>1</v>
      </c>
      <c r="F3571">
        <f t="shared" si="117"/>
        <v>1</v>
      </c>
    </row>
    <row r="3572" spans="1:6">
      <c r="A3572" s="30">
        <f t="shared" si="118"/>
        <v>46662</v>
      </c>
      <c r="B3572" s="32" t="s">
        <v>199</v>
      </c>
      <c r="C3572" t="s">
        <v>6</v>
      </c>
      <c r="D3572">
        <f>IF(B3572=$AB$2,$AC$2,$AC$3)</f>
        <v>1</v>
      </c>
      <c r="E3572">
        <f>IF(ISBLANK(C3572),0,VLOOKUP(C3572,$AE$2:$AF$7,2,0))</f>
        <v>1</v>
      </c>
      <c r="F3572">
        <f t="shared" si="117"/>
        <v>1</v>
      </c>
    </row>
    <row r="3573" spans="1:6">
      <c r="A3573" s="30">
        <f t="shared" si="118"/>
        <v>46663</v>
      </c>
      <c r="B3573" s="32" t="s">
        <v>199</v>
      </c>
      <c r="C3573" t="s">
        <v>6</v>
      </c>
      <c r="D3573">
        <f>IF(B3573=$AB$2,$AC$2,$AC$3)</f>
        <v>1</v>
      </c>
      <c r="E3573">
        <f>IF(ISBLANK(C3573),0,VLOOKUP(C3573,$AE$2:$AF$7,2,0))</f>
        <v>1</v>
      </c>
      <c r="F3573">
        <f t="shared" si="117"/>
        <v>1</v>
      </c>
    </row>
    <row r="3574" spans="1:6">
      <c r="A3574" s="30">
        <f t="shared" si="118"/>
        <v>46664</v>
      </c>
      <c r="B3574" s="32" t="s">
        <v>199</v>
      </c>
      <c r="C3574" t="s">
        <v>6</v>
      </c>
      <c r="D3574">
        <f>IF(B3574=$AB$2,$AC$2,$AC$3)</f>
        <v>1</v>
      </c>
      <c r="E3574">
        <f>IF(ISBLANK(C3574),0,VLOOKUP(C3574,$AE$2:$AF$7,2,0))</f>
        <v>1</v>
      </c>
      <c r="F3574">
        <f t="shared" si="117"/>
        <v>1</v>
      </c>
    </row>
    <row r="3575" spans="1:6">
      <c r="A3575" s="30">
        <f t="shared" si="118"/>
        <v>46665</v>
      </c>
      <c r="B3575" s="32" t="s">
        <v>199</v>
      </c>
      <c r="C3575" t="s">
        <v>6</v>
      </c>
      <c r="D3575">
        <f>IF(B3575=$AB$2,$AC$2,$AC$3)</f>
        <v>1</v>
      </c>
      <c r="E3575">
        <f>IF(ISBLANK(C3575),0,VLOOKUP(C3575,$AE$2:$AF$7,2,0))</f>
        <v>1</v>
      </c>
      <c r="F3575">
        <f t="shared" si="117"/>
        <v>1</v>
      </c>
    </row>
    <row r="3576" spans="1:6">
      <c r="A3576" s="30">
        <f t="shared" si="118"/>
        <v>46666</v>
      </c>
      <c r="B3576" s="32" t="s">
        <v>199</v>
      </c>
      <c r="C3576" t="s">
        <v>6</v>
      </c>
      <c r="D3576">
        <f>IF(B3576=$AB$2,$AC$2,$AC$3)</f>
        <v>1</v>
      </c>
      <c r="E3576">
        <f>IF(ISBLANK(C3576),0,VLOOKUP(C3576,$AE$2:$AF$7,2,0))</f>
        <v>1</v>
      </c>
      <c r="F3576">
        <f t="shared" si="117"/>
        <v>1</v>
      </c>
    </row>
    <row r="3577" spans="1:6">
      <c r="A3577" s="30">
        <f t="shared" si="118"/>
        <v>46667</v>
      </c>
      <c r="B3577" s="32" t="s">
        <v>199</v>
      </c>
      <c r="C3577" t="s">
        <v>6</v>
      </c>
      <c r="D3577">
        <f>IF(B3577=$AB$2,$AC$2,$AC$3)</f>
        <v>1</v>
      </c>
      <c r="E3577">
        <f>IF(ISBLANK(C3577),0,VLOOKUP(C3577,$AE$2:$AF$7,2,0))</f>
        <v>1</v>
      </c>
      <c r="F3577">
        <f t="shared" si="117"/>
        <v>1</v>
      </c>
    </row>
    <row r="3578" spans="1:6">
      <c r="A3578" s="30">
        <f t="shared" si="118"/>
        <v>46668</v>
      </c>
      <c r="B3578" s="32" t="s">
        <v>199</v>
      </c>
      <c r="C3578" t="s">
        <v>6</v>
      </c>
      <c r="D3578">
        <f>IF(B3578=$AB$2,$AC$2,$AC$3)</f>
        <v>1</v>
      </c>
      <c r="E3578">
        <f>IF(ISBLANK(C3578),0,VLOOKUP(C3578,$AE$2:$AF$7,2,0))</f>
        <v>1</v>
      </c>
      <c r="F3578">
        <f t="shared" si="117"/>
        <v>1</v>
      </c>
    </row>
    <row r="3579" spans="1:6">
      <c r="A3579" s="30">
        <f t="shared" si="118"/>
        <v>46669</v>
      </c>
      <c r="B3579" s="32" t="s">
        <v>199</v>
      </c>
      <c r="C3579" t="s">
        <v>6</v>
      </c>
      <c r="D3579">
        <f>IF(B3579=$AB$2,$AC$2,$AC$3)</f>
        <v>1</v>
      </c>
      <c r="E3579">
        <f>IF(ISBLANK(C3579),0,VLOOKUP(C3579,$AE$2:$AF$7,2,0))</f>
        <v>1</v>
      </c>
      <c r="F3579">
        <f t="shared" si="117"/>
        <v>1</v>
      </c>
    </row>
    <row r="3580" spans="1:6">
      <c r="A3580" s="30">
        <f t="shared" si="118"/>
        <v>46670</v>
      </c>
      <c r="B3580" s="32" t="s">
        <v>199</v>
      </c>
      <c r="C3580" t="s">
        <v>6</v>
      </c>
      <c r="D3580">
        <f>IF(B3580=$AB$2,$AC$2,$AC$3)</f>
        <v>1</v>
      </c>
      <c r="E3580">
        <f>IF(ISBLANK(C3580),0,VLOOKUP(C3580,$AE$2:$AF$7,2,0))</f>
        <v>1</v>
      </c>
      <c r="F3580">
        <f t="shared" si="117"/>
        <v>1</v>
      </c>
    </row>
    <row r="3581" spans="1:6">
      <c r="A3581" s="30">
        <f t="shared" si="118"/>
        <v>46671</v>
      </c>
      <c r="B3581" s="32" t="s">
        <v>199</v>
      </c>
      <c r="C3581" t="s">
        <v>6</v>
      </c>
      <c r="D3581">
        <f>IF(B3581=$AB$2,$AC$2,$AC$3)</f>
        <v>1</v>
      </c>
      <c r="E3581">
        <f>IF(ISBLANK(C3581),0,VLOOKUP(C3581,$AE$2:$AF$7,2,0))</f>
        <v>1</v>
      </c>
      <c r="F3581">
        <f t="shared" si="117"/>
        <v>1</v>
      </c>
    </row>
    <row r="3582" spans="1:6">
      <c r="A3582" s="30">
        <f t="shared" si="118"/>
        <v>46672</v>
      </c>
      <c r="B3582" s="32" t="s">
        <v>199</v>
      </c>
      <c r="C3582" t="s">
        <v>6</v>
      </c>
      <c r="D3582">
        <f>IF(B3582=$AB$2,$AC$2,$AC$3)</f>
        <v>1</v>
      </c>
      <c r="E3582">
        <f>IF(ISBLANK(C3582),0,VLOOKUP(C3582,$AE$2:$AF$7,2,0))</f>
        <v>1</v>
      </c>
      <c r="F3582">
        <f t="shared" si="117"/>
        <v>1</v>
      </c>
    </row>
    <row r="3583" spans="1:6">
      <c r="A3583" s="30">
        <f t="shared" si="118"/>
        <v>46673</v>
      </c>
      <c r="B3583" s="32" t="s">
        <v>199</v>
      </c>
      <c r="C3583" t="s">
        <v>6</v>
      </c>
      <c r="D3583">
        <f>IF(B3583=$AB$2,$AC$2,$AC$3)</f>
        <v>1</v>
      </c>
      <c r="E3583">
        <f>IF(ISBLANK(C3583),0,VLOOKUP(C3583,$AE$2:$AF$7,2,0))</f>
        <v>1</v>
      </c>
      <c r="F3583">
        <f t="shared" si="117"/>
        <v>1</v>
      </c>
    </row>
    <row r="3584" spans="1:6">
      <c r="A3584" s="30">
        <f t="shared" si="118"/>
        <v>46674</v>
      </c>
      <c r="B3584" s="32" t="s">
        <v>199</v>
      </c>
      <c r="C3584" t="s">
        <v>6</v>
      </c>
      <c r="D3584">
        <f>IF(B3584=$AB$2,$AC$2,$AC$3)</f>
        <v>1</v>
      </c>
      <c r="E3584">
        <f>IF(ISBLANK(C3584),0,VLOOKUP(C3584,$AE$2:$AF$7,2,0))</f>
        <v>1</v>
      </c>
      <c r="F3584">
        <f t="shared" si="117"/>
        <v>1</v>
      </c>
    </row>
    <row r="3585" spans="1:6">
      <c r="A3585" s="30">
        <f t="shared" si="118"/>
        <v>46675</v>
      </c>
      <c r="B3585" s="32" t="s">
        <v>199</v>
      </c>
      <c r="C3585" t="s">
        <v>6</v>
      </c>
      <c r="D3585">
        <f>IF(B3585=$AB$2,$AC$2,$AC$3)</f>
        <v>1</v>
      </c>
      <c r="E3585">
        <f>IF(ISBLANK(C3585),0,VLOOKUP(C3585,$AE$2:$AF$7,2,0))</f>
        <v>1</v>
      </c>
      <c r="F3585">
        <f t="shared" si="117"/>
        <v>1</v>
      </c>
    </row>
    <row r="3586" spans="1:6">
      <c r="A3586" s="30">
        <f t="shared" si="118"/>
        <v>46676</v>
      </c>
      <c r="B3586" s="32" t="s">
        <v>199</v>
      </c>
      <c r="C3586" t="s">
        <v>6</v>
      </c>
      <c r="D3586">
        <f>IF(B3586=$AB$2,$AC$2,$AC$3)</f>
        <v>1</v>
      </c>
      <c r="E3586">
        <f>IF(ISBLANK(C3586),0,VLOOKUP(C3586,$AE$2:$AF$7,2,0))</f>
        <v>1</v>
      </c>
      <c r="F3586">
        <f t="shared" si="117"/>
        <v>1</v>
      </c>
    </row>
    <row r="3587" spans="1:6">
      <c r="A3587" s="30">
        <f t="shared" si="118"/>
        <v>46677</v>
      </c>
      <c r="B3587" s="32" t="s">
        <v>199</v>
      </c>
      <c r="C3587" t="s">
        <v>6</v>
      </c>
      <c r="D3587">
        <f>IF(B3587=$AB$2,$AC$2,$AC$3)</f>
        <v>1</v>
      </c>
      <c r="E3587">
        <f>IF(ISBLANK(C3587),0,VLOOKUP(C3587,$AE$2:$AF$7,2,0))</f>
        <v>1</v>
      </c>
      <c r="F3587">
        <f t="shared" ref="F3587:F3650" si="119">D3587*E3587</f>
        <v>1</v>
      </c>
    </row>
    <row r="3588" spans="1:6">
      <c r="A3588" s="30">
        <f t="shared" si="118"/>
        <v>46678</v>
      </c>
      <c r="B3588" s="32" t="s">
        <v>199</v>
      </c>
      <c r="C3588" t="s">
        <v>6</v>
      </c>
      <c r="D3588">
        <f>IF(B3588=$AB$2,$AC$2,$AC$3)</f>
        <v>1</v>
      </c>
      <c r="E3588">
        <f>IF(ISBLANK(C3588),0,VLOOKUP(C3588,$AE$2:$AF$7,2,0))</f>
        <v>1</v>
      </c>
      <c r="F3588">
        <f t="shared" si="119"/>
        <v>1</v>
      </c>
    </row>
    <row r="3589" spans="1:6">
      <c r="A3589" s="30">
        <f t="shared" si="118"/>
        <v>46679</v>
      </c>
      <c r="B3589" s="32" t="s">
        <v>199</v>
      </c>
      <c r="C3589" t="s">
        <v>6</v>
      </c>
      <c r="D3589">
        <f>IF(B3589=$AB$2,$AC$2,$AC$3)</f>
        <v>1</v>
      </c>
      <c r="E3589">
        <f>IF(ISBLANK(C3589),0,VLOOKUP(C3589,$AE$2:$AF$7,2,0))</f>
        <v>1</v>
      </c>
      <c r="F3589">
        <f t="shared" si="119"/>
        <v>1</v>
      </c>
    </row>
    <row r="3590" spans="1:6">
      <c r="A3590" s="30">
        <f t="shared" si="118"/>
        <v>46680</v>
      </c>
      <c r="B3590" s="32" t="s">
        <v>199</v>
      </c>
      <c r="C3590" t="s">
        <v>6</v>
      </c>
      <c r="D3590">
        <f>IF(B3590=$AB$2,$AC$2,$AC$3)</f>
        <v>1</v>
      </c>
      <c r="E3590">
        <f>IF(ISBLANK(C3590),0,VLOOKUP(C3590,$AE$2:$AF$7,2,0))</f>
        <v>1</v>
      </c>
      <c r="F3590">
        <f t="shared" si="119"/>
        <v>1</v>
      </c>
    </row>
    <row r="3591" spans="1:6">
      <c r="A3591" s="30">
        <f t="shared" si="118"/>
        <v>46681</v>
      </c>
      <c r="B3591" s="32" t="s">
        <v>199</v>
      </c>
      <c r="C3591" t="s">
        <v>6</v>
      </c>
      <c r="D3591">
        <f>IF(B3591=$AB$2,$AC$2,$AC$3)</f>
        <v>1</v>
      </c>
      <c r="E3591">
        <f>IF(ISBLANK(C3591),0,VLOOKUP(C3591,$AE$2:$AF$7,2,0))</f>
        <v>1</v>
      </c>
      <c r="F3591">
        <f t="shared" si="119"/>
        <v>1</v>
      </c>
    </row>
    <row r="3592" spans="1:6">
      <c r="A3592" s="30">
        <f t="shared" si="118"/>
        <v>46682</v>
      </c>
      <c r="B3592" s="32" t="s">
        <v>199</v>
      </c>
      <c r="C3592" t="s">
        <v>6</v>
      </c>
      <c r="D3592">
        <f>IF(B3592=$AB$2,$AC$2,$AC$3)</f>
        <v>1</v>
      </c>
      <c r="E3592">
        <f>IF(ISBLANK(C3592),0,VLOOKUP(C3592,$AE$2:$AF$7,2,0))</f>
        <v>1</v>
      </c>
      <c r="F3592">
        <f t="shared" si="119"/>
        <v>1</v>
      </c>
    </row>
    <row r="3593" spans="1:6">
      <c r="A3593" s="30">
        <f t="shared" si="118"/>
        <v>46683</v>
      </c>
      <c r="B3593" s="32" t="s">
        <v>199</v>
      </c>
      <c r="C3593" t="s">
        <v>6</v>
      </c>
      <c r="D3593">
        <f>IF(B3593=$AB$2,$AC$2,$AC$3)</f>
        <v>1</v>
      </c>
      <c r="E3593">
        <f>IF(ISBLANK(C3593),0,VLOOKUP(C3593,$AE$2:$AF$7,2,0))</f>
        <v>1</v>
      </c>
      <c r="F3593">
        <f t="shared" si="119"/>
        <v>1</v>
      </c>
    </row>
    <row r="3594" spans="1:6">
      <c r="A3594" s="30">
        <f t="shared" si="118"/>
        <v>46684</v>
      </c>
      <c r="B3594" s="32" t="s">
        <v>199</v>
      </c>
      <c r="C3594" t="s">
        <v>6</v>
      </c>
      <c r="D3594">
        <f>IF(B3594=$AB$2,$AC$2,$AC$3)</f>
        <v>1</v>
      </c>
      <c r="E3594">
        <f>IF(ISBLANK(C3594),0,VLOOKUP(C3594,$AE$2:$AF$7,2,0))</f>
        <v>1</v>
      </c>
      <c r="F3594">
        <f t="shared" si="119"/>
        <v>1</v>
      </c>
    </row>
    <row r="3595" spans="1:6">
      <c r="A3595" s="30">
        <f t="shared" si="118"/>
        <v>46685</v>
      </c>
      <c r="B3595" s="32" t="s">
        <v>199</v>
      </c>
      <c r="C3595" t="s">
        <v>6</v>
      </c>
      <c r="D3595">
        <f>IF(B3595=$AB$2,$AC$2,$AC$3)</f>
        <v>1</v>
      </c>
      <c r="E3595">
        <f>IF(ISBLANK(C3595),0,VLOOKUP(C3595,$AE$2:$AF$7,2,0))</f>
        <v>1</v>
      </c>
      <c r="F3595">
        <f t="shared" si="119"/>
        <v>1</v>
      </c>
    </row>
    <row r="3596" spans="1:6">
      <c r="A3596" s="30">
        <f t="shared" si="118"/>
        <v>46686</v>
      </c>
      <c r="B3596" s="32" t="s">
        <v>199</v>
      </c>
      <c r="C3596" t="s">
        <v>6</v>
      </c>
      <c r="D3596">
        <f>IF(B3596=$AB$2,$AC$2,$AC$3)</f>
        <v>1</v>
      </c>
      <c r="E3596">
        <f>IF(ISBLANK(C3596),0,VLOOKUP(C3596,$AE$2:$AF$7,2,0))</f>
        <v>1</v>
      </c>
      <c r="F3596">
        <f t="shared" si="119"/>
        <v>1</v>
      </c>
    </row>
    <row r="3597" spans="1:6">
      <c r="A3597" s="30">
        <f t="shared" si="118"/>
        <v>46687</v>
      </c>
      <c r="B3597" s="32" t="s">
        <v>199</v>
      </c>
      <c r="C3597" t="s">
        <v>6</v>
      </c>
      <c r="D3597">
        <f>IF(B3597=$AB$2,$AC$2,$AC$3)</f>
        <v>1</v>
      </c>
      <c r="E3597">
        <f>IF(ISBLANK(C3597),0,VLOOKUP(C3597,$AE$2:$AF$7,2,0))</f>
        <v>1</v>
      </c>
      <c r="F3597">
        <f t="shared" si="119"/>
        <v>1</v>
      </c>
    </row>
    <row r="3598" spans="1:6">
      <c r="A3598" s="30">
        <f t="shared" si="118"/>
        <v>46688</v>
      </c>
      <c r="B3598" s="32" t="s">
        <v>199</v>
      </c>
      <c r="C3598" t="s">
        <v>6</v>
      </c>
      <c r="D3598">
        <f>IF(B3598=$AB$2,$AC$2,$AC$3)</f>
        <v>1</v>
      </c>
      <c r="E3598">
        <f>IF(ISBLANK(C3598),0,VLOOKUP(C3598,$AE$2:$AF$7,2,0))</f>
        <v>1</v>
      </c>
      <c r="F3598">
        <f t="shared" si="119"/>
        <v>1</v>
      </c>
    </row>
    <row r="3599" spans="1:6">
      <c r="A3599" s="30">
        <f t="shared" si="118"/>
        <v>46689</v>
      </c>
      <c r="B3599" s="32" t="s">
        <v>199</v>
      </c>
      <c r="C3599" t="s">
        <v>6</v>
      </c>
      <c r="D3599">
        <f>IF(B3599=$AB$2,$AC$2,$AC$3)</f>
        <v>1</v>
      </c>
      <c r="E3599">
        <f>IF(ISBLANK(C3599),0,VLOOKUP(C3599,$AE$2:$AF$7,2,0))</f>
        <v>1</v>
      </c>
      <c r="F3599">
        <f t="shared" si="119"/>
        <v>1</v>
      </c>
    </row>
    <row r="3600" spans="1:6">
      <c r="A3600" s="30">
        <f t="shared" si="118"/>
        <v>46690</v>
      </c>
      <c r="B3600" s="32" t="s">
        <v>199</v>
      </c>
      <c r="C3600" t="s">
        <v>6</v>
      </c>
      <c r="D3600">
        <f>IF(B3600=$AB$2,$AC$2,$AC$3)</f>
        <v>1</v>
      </c>
      <c r="E3600">
        <f>IF(ISBLANK(C3600),0,VLOOKUP(C3600,$AE$2:$AF$7,2,0))</f>
        <v>1</v>
      </c>
      <c r="F3600">
        <f t="shared" si="119"/>
        <v>1</v>
      </c>
    </row>
    <row r="3601" spans="1:6">
      <c r="A3601" s="30">
        <f t="shared" si="118"/>
        <v>46691</v>
      </c>
      <c r="B3601" s="32" t="s">
        <v>199</v>
      </c>
      <c r="C3601" t="s">
        <v>6</v>
      </c>
      <c r="D3601">
        <f>IF(B3601=$AB$2,$AC$2,$AC$3)</f>
        <v>1</v>
      </c>
      <c r="E3601">
        <f>IF(ISBLANK(C3601),0,VLOOKUP(C3601,$AE$2:$AF$7,2,0))</f>
        <v>1</v>
      </c>
      <c r="F3601">
        <f t="shared" si="119"/>
        <v>1</v>
      </c>
    </row>
    <row r="3602" spans="1:6">
      <c r="A3602" s="30">
        <f t="shared" ref="A3602:A3650" si="120">A3601+1</f>
        <v>46692</v>
      </c>
      <c r="B3602" s="32" t="s">
        <v>199</v>
      </c>
      <c r="C3602" t="s">
        <v>6</v>
      </c>
      <c r="D3602">
        <f>IF(B3602=$AB$2,$AC$2,$AC$3)</f>
        <v>1</v>
      </c>
      <c r="E3602">
        <f>IF(ISBLANK(C3602),0,VLOOKUP(C3602,$AE$2:$AF$7,2,0))</f>
        <v>1</v>
      </c>
      <c r="F3602">
        <f t="shared" si="119"/>
        <v>1</v>
      </c>
    </row>
    <row r="3603" spans="1:6">
      <c r="A3603" s="30">
        <f t="shared" si="120"/>
        <v>46693</v>
      </c>
      <c r="B3603" s="32" t="s">
        <v>199</v>
      </c>
      <c r="C3603" t="s">
        <v>6</v>
      </c>
      <c r="D3603">
        <f>IF(B3603=$AB$2,$AC$2,$AC$3)</f>
        <v>1</v>
      </c>
      <c r="E3603">
        <f>IF(ISBLANK(C3603),0,VLOOKUP(C3603,$AE$2:$AF$7,2,0))</f>
        <v>1</v>
      </c>
      <c r="F3603">
        <f t="shared" si="119"/>
        <v>1</v>
      </c>
    </row>
    <row r="3604" spans="1:6">
      <c r="A3604" s="30">
        <f t="shared" si="120"/>
        <v>46694</v>
      </c>
      <c r="B3604" s="32" t="s">
        <v>199</v>
      </c>
      <c r="C3604" t="s">
        <v>6</v>
      </c>
      <c r="D3604">
        <f>IF(B3604=$AB$2,$AC$2,$AC$3)</f>
        <v>1</v>
      </c>
      <c r="E3604">
        <f>IF(ISBLANK(C3604),0,VLOOKUP(C3604,$AE$2:$AF$7,2,0))</f>
        <v>1</v>
      </c>
      <c r="F3604">
        <f t="shared" si="119"/>
        <v>1</v>
      </c>
    </row>
    <row r="3605" spans="1:6">
      <c r="A3605" s="30">
        <f t="shared" si="120"/>
        <v>46695</v>
      </c>
      <c r="B3605" s="32" t="s">
        <v>199</v>
      </c>
      <c r="C3605" t="s">
        <v>6</v>
      </c>
      <c r="D3605">
        <f>IF(B3605=$AB$2,$AC$2,$AC$3)</f>
        <v>1</v>
      </c>
      <c r="E3605">
        <f>IF(ISBLANK(C3605),0,VLOOKUP(C3605,$AE$2:$AF$7,2,0))</f>
        <v>1</v>
      </c>
      <c r="F3605">
        <f t="shared" si="119"/>
        <v>1</v>
      </c>
    </row>
    <row r="3606" spans="1:6">
      <c r="A3606" s="30">
        <f t="shared" si="120"/>
        <v>46696</v>
      </c>
      <c r="B3606" s="32" t="s">
        <v>199</v>
      </c>
      <c r="C3606" t="s">
        <v>6</v>
      </c>
      <c r="D3606">
        <f>IF(B3606=$AB$2,$AC$2,$AC$3)</f>
        <v>1</v>
      </c>
      <c r="E3606">
        <f>IF(ISBLANK(C3606),0,VLOOKUP(C3606,$AE$2:$AF$7,2,0))</f>
        <v>1</v>
      </c>
      <c r="F3606">
        <f t="shared" si="119"/>
        <v>1</v>
      </c>
    </row>
    <row r="3607" spans="1:6">
      <c r="A3607" s="30">
        <f t="shared" si="120"/>
        <v>46697</v>
      </c>
      <c r="B3607" s="32" t="s">
        <v>199</v>
      </c>
      <c r="C3607" t="s">
        <v>6</v>
      </c>
      <c r="D3607">
        <f>IF(B3607=$AB$2,$AC$2,$AC$3)</f>
        <v>1</v>
      </c>
      <c r="E3607">
        <f>IF(ISBLANK(C3607),0,VLOOKUP(C3607,$AE$2:$AF$7,2,0))</f>
        <v>1</v>
      </c>
      <c r="F3607">
        <f t="shared" si="119"/>
        <v>1</v>
      </c>
    </row>
    <row r="3608" spans="1:6">
      <c r="A3608" s="30">
        <f t="shared" si="120"/>
        <v>46698</v>
      </c>
      <c r="B3608" s="32" t="s">
        <v>199</v>
      </c>
      <c r="C3608" t="s">
        <v>6</v>
      </c>
      <c r="D3608">
        <f>IF(B3608=$AB$2,$AC$2,$AC$3)</f>
        <v>1</v>
      </c>
      <c r="E3608">
        <f>IF(ISBLANK(C3608),0,VLOOKUP(C3608,$AE$2:$AF$7,2,0))</f>
        <v>1</v>
      </c>
      <c r="F3608">
        <f t="shared" si="119"/>
        <v>1</v>
      </c>
    </row>
    <row r="3609" spans="1:6">
      <c r="A3609" s="30">
        <f t="shared" si="120"/>
        <v>46699</v>
      </c>
      <c r="B3609" s="32" t="s">
        <v>199</v>
      </c>
      <c r="C3609" t="s">
        <v>6</v>
      </c>
      <c r="D3609">
        <f>IF(B3609=$AB$2,$AC$2,$AC$3)</f>
        <v>1</v>
      </c>
      <c r="E3609">
        <f>IF(ISBLANK(C3609),0,VLOOKUP(C3609,$AE$2:$AF$7,2,0))</f>
        <v>1</v>
      </c>
      <c r="F3609">
        <f t="shared" si="119"/>
        <v>1</v>
      </c>
    </row>
    <row r="3610" spans="1:6">
      <c r="A3610" s="30">
        <f t="shared" si="120"/>
        <v>46700</v>
      </c>
      <c r="B3610" s="32" t="s">
        <v>199</v>
      </c>
      <c r="C3610" t="s">
        <v>6</v>
      </c>
      <c r="D3610">
        <f>IF(B3610=$AB$2,$AC$2,$AC$3)</f>
        <v>1</v>
      </c>
      <c r="E3610">
        <f>IF(ISBLANK(C3610),0,VLOOKUP(C3610,$AE$2:$AF$7,2,0))</f>
        <v>1</v>
      </c>
      <c r="F3610">
        <f t="shared" si="119"/>
        <v>1</v>
      </c>
    </row>
    <row r="3611" spans="1:6">
      <c r="A3611" s="30">
        <f t="shared" si="120"/>
        <v>46701</v>
      </c>
      <c r="B3611" s="32" t="s">
        <v>199</v>
      </c>
      <c r="C3611" t="s">
        <v>6</v>
      </c>
      <c r="D3611">
        <f>IF(B3611=$AB$2,$AC$2,$AC$3)</f>
        <v>1</v>
      </c>
      <c r="E3611">
        <f>IF(ISBLANK(C3611),0,VLOOKUP(C3611,$AE$2:$AF$7,2,0))</f>
        <v>1</v>
      </c>
      <c r="F3611">
        <f t="shared" si="119"/>
        <v>1</v>
      </c>
    </row>
    <row r="3612" spans="1:6">
      <c r="A3612" s="30">
        <f t="shared" si="120"/>
        <v>46702</v>
      </c>
      <c r="B3612" s="32" t="s">
        <v>199</v>
      </c>
      <c r="C3612" t="s">
        <v>6</v>
      </c>
      <c r="D3612">
        <f>IF(B3612=$AB$2,$AC$2,$AC$3)</f>
        <v>1</v>
      </c>
      <c r="E3612">
        <f>IF(ISBLANK(C3612),0,VLOOKUP(C3612,$AE$2:$AF$7,2,0))</f>
        <v>1</v>
      </c>
      <c r="F3612">
        <f t="shared" si="119"/>
        <v>1</v>
      </c>
    </row>
    <row r="3613" spans="1:6">
      <c r="A3613" s="30">
        <f t="shared" si="120"/>
        <v>46703</v>
      </c>
      <c r="B3613" s="32" t="s">
        <v>199</v>
      </c>
      <c r="C3613" t="s">
        <v>6</v>
      </c>
      <c r="D3613">
        <f>IF(B3613=$AB$2,$AC$2,$AC$3)</f>
        <v>1</v>
      </c>
      <c r="E3613">
        <f>IF(ISBLANK(C3613),0,VLOOKUP(C3613,$AE$2:$AF$7,2,0))</f>
        <v>1</v>
      </c>
      <c r="F3613">
        <f t="shared" si="119"/>
        <v>1</v>
      </c>
    </row>
    <row r="3614" spans="1:6">
      <c r="A3614" s="30">
        <f t="shared" si="120"/>
        <v>46704</v>
      </c>
      <c r="B3614" s="32" t="s">
        <v>199</v>
      </c>
      <c r="C3614" t="s">
        <v>6</v>
      </c>
      <c r="D3614">
        <f>IF(B3614=$AB$2,$AC$2,$AC$3)</f>
        <v>1</v>
      </c>
      <c r="E3614">
        <f>IF(ISBLANK(C3614),0,VLOOKUP(C3614,$AE$2:$AF$7,2,0))</f>
        <v>1</v>
      </c>
      <c r="F3614">
        <f t="shared" si="119"/>
        <v>1</v>
      </c>
    </row>
    <row r="3615" spans="1:6">
      <c r="A3615" s="30">
        <f t="shared" si="120"/>
        <v>46705</v>
      </c>
      <c r="B3615" s="32" t="s">
        <v>199</v>
      </c>
      <c r="C3615" t="s">
        <v>6</v>
      </c>
      <c r="D3615">
        <f>IF(B3615=$AB$2,$AC$2,$AC$3)</f>
        <v>1</v>
      </c>
      <c r="E3615">
        <f>IF(ISBLANK(C3615),0,VLOOKUP(C3615,$AE$2:$AF$7,2,0))</f>
        <v>1</v>
      </c>
      <c r="F3615">
        <f t="shared" si="119"/>
        <v>1</v>
      </c>
    </row>
    <row r="3616" spans="1:6">
      <c r="A3616" s="30">
        <f t="shared" si="120"/>
        <v>46706</v>
      </c>
      <c r="B3616" s="32" t="s">
        <v>199</v>
      </c>
      <c r="C3616" t="s">
        <v>6</v>
      </c>
      <c r="D3616">
        <f>IF(B3616=$AB$2,$AC$2,$AC$3)</f>
        <v>1</v>
      </c>
      <c r="E3616">
        <f>IF(ISBLANK(C3616),0,VLOOKUP(C3616,$AE$2:$AF$7,2,0))</f>
        <v>1</v>
      </c>
      <c r="F3616">
        <f t="shared" si="119"/>
        <v>1</v>
      </c>
    </row>
    <row r="3617" spans="1:6">
      <c r="A3617" s="30">
        <f t="shared" si="120"/>
        <v>46707</v>
      </c>
      <c r="B3617" s="32" t="s">
        <v>199</v>
      </c>
      <c r="C3617" t="s">
        <v>6</v>
      </c>
      <c r="D3617">
        <f>IF(B3617=$AB$2,$AC$2,$AC$3)</f>
        <v>1</v>
      </c>
      <c r="E3617">
        <f>IF(ISBLANK(C3617),0,VLOOKUP(C3617,$AE$2:$AF$7,2,0))</f>
        <v>1</v>
      </c>
      <c r="F3617">
        <f t="shared" si="119"/>
        <v>1</v>
      </c>
    </row>
    <row r="3618" spans="1:6">
      <c r="A3618" s="30">
        <f t="shared" si="120"/>
        <v>46708</v>
      </c>
      <c r="B3618" s="32" t="s">
        <v>199</v>
      </c>
      <c r="C3618" t="s">
        <v>6</v>
      </c>
      <c r="D3618">
        <f>IF(B3618=$AB$2,$AC$2,$AC$3)</f>
        <v>1</v>
      </c>
      <c r="E3618">
        <f>IF(ISBLANK(C3618),0,VLOOKUP(C3618,$AE$2:$AF$7,2,0))</f>
        <v>1</v>
      </c>
      <c r="F3618">
        <f t="shared" si="119"/>
        <v>1</v>
      </c>
    </row>
    <row r="3619" spans="1:6">
      <c r="A3619" s="30">
        <f t="shared" si="120"/>
        <v>46709</v>
      </c>
      <c r="B3619" s="32" t="s">
        <v>199</v>
      </c>
      <c r="C3619" t="s">
        <v>6</v>
      </c>
      <c r="D3619">
        <f>IF(B3619=$AB$2,$AC$2,$AC$3)</f>
        <v>1</v>
      </c>
      <c r="E3619">
        <f>IF(ISBLANK(C3619),0,VLOOKUP(C3619,$AE$2:$AF$7,2,0))</f>
        <v>1</v>
      </c>
      <c r="F3619">
        <f t="shared" si="119"/>
        <v>1</v>
      </c>
    </row>
    <row r="3620" spans="1:6">
      <c r="A3620" s="30">
        <f t="shared" si="120"/>
        <v>46710</v>
      </c>
      <c r="B3620" s="32" t="s">
        <v>199</v>
      </c>
      <c r="C3620" t="s">
        <v>6</v>
      </c>
      <c r="D3620">
        <f>IF(B3620=$AB$2,$AC$2,$AC$3)</f>
        <v>1</v>
      </c>
      <c r="E3620">
        <f>IF(ISBLANK(C3620),0,VLOOKUP(C3620,$AE$2:$AF$7,2,0))</f>
        <v>1</v>
      </c>
      <c r="F3620">
        <f t="shared" si="119"/>
        <v>1</v>
      </c>
    </row>
    <row r="3621" spans="1:6">
      <c r="A3621" s="30">
        <f t="shared" si="120"/>
        <v>46711</v>
      </c>
      <c r="B3621" s="32" t="s">
        <v>199</v>
      </c>
      <c r="C3621" t="s">
        <v>6</v>
      </c>
      <c r="D3621">
        <f>IF(B3621=$AB$2,$AC$2,$AC$3)</f>
        <v>1</v>
      </c>
      <c r="E3621">
        <f>IF(ISBLANK(C3621),0,VLOOKUP(C3621,$AE$2:$AF$7,2,0))</f>
        <v>1</v>
      </c>
      <c r="F3621">
        <f t="shared" si="119"/>
        <v>1</v>
      </c>
    </row>
    <row r="3622" spans="1:6">
      <c r="A3622" s="30">
        <f t="shared" si="120"/>
        <v>46712</v>
      </c>
      <c r="B3622" s="32" t="s">
        <v>199</v>
      </c>
      <c r="C3622" t="s">
        <v>6</v>
      </c>
      <c r="D3622">
        <f>IF(B3622=$AB$2,$AC$2,$AC$3)</f>
        <v>1</v>
      </c>
      <c r="E3622">
        <f>IF(ISBLANK(C3622),0,VLOOKUP(C3622,$AE$2:$AF$7,2,0))</f>
        <v>1</v>
      </c>
      <c r="F3622">
        <f t="shared" si="119"/>
        <v>1</v>
      </c>
    </row>
    <row r="3623" spans="1:6">
      <c r="A3623" s="30">
        <f t="shared" si="120"/>
        <v>46713</v>
      </c>
      <c r="B3623" s="32" t="s">
        <v>199</v>
      </c>
      <c r="C3623" t="s">
        <v>6</v>
      </c>
      <c r="D3623">
        <f>IF(B3623=$AB$2,$AC$2,$AC$3)</f>
        <v>1</v>
      </c>
      <c r="E3623">
        <f>IF(ISBLANK(C3623),0,VLOOKUP(C3623,$AE$2:$AF$7,2,0))</f>
        <v>1</v>
      </c>
      <c r="F3623">
        <f t="shared" si="119"/>
        <v>1</v>
      </c>
    </row>
    <row r="3624" spans="1:6">
      <c r="A3624" s="30">
        <f t="shared" si="120"/>
        <v>46714</v>
      </c>
      <c r="B3624" s="32" t="s">
        <v>199</v>
      </c>
      <c r="C3624" t="s">
        <v>6</v>
      </c>
      <c r="D3624">
        <f>IF(B3624=$AB$2,$AC$2,$AC$3)</f>
        <v>1</v>
      </c>
      <c r="E3624">
        <f>IF(ISBLANK(C3624),0,VLOOKUP(C3624,$AE$2:$AF$7,2,0))</f>
        <v>1</v>
      </c>
      <c r="F3624">
        <f t="shared" si="119"/>
        <v>1</v>
      </c>
    </row>
    <row r="3625" spans="1:6">
      <c r="A3625" s="30">
        <f t="shared" si="120"/>
        <v>46715</v>
      </c>
      <c r="B3625" s="32" t="s">
        <v>199</v>
      </c>
      <c r="C3625" t="s">
        <v>6</v>
      </c>
      <c r="D3625">
        <f>IF(B3625=$AB$2,$AC$2,$AC$3)</f>
        <v>1</v>
      </c>
      <c r="E3625">
        <f>IF(ISBLANK(C3625),0,VLOOKUP(C3625,$AE$2:$AF$7,2,0))</f>
        <v>1</v>
      </c>
      <c r="F3625">
        <f t="shared" si="119"/>
        <v>1</v>
      </c>
    </row>
    <row r="3626" spans="1:6">
      <c r="A3626" s="30">
        <f t="shared" si="120"/>
        <v>46716</v>
      </c>
      <c r="B3626" s="32" t="s">
        <v>199</v>
      </c>
      <c r="C3626" t="s">
        <v>6</v>
      </c>
      <c r="D3626">
        <f>IF(B3626=$AB$2,$AC$2,$AC$3)</f>
        <v>1</v>
      </c>
      <c r="E3626">
        <f>IF(ISBLANK(C3626),0,VLOOKUP(C3626,$AE$2:$AF$7,2,0))</f>
        <v>1</v>
      </c>
      <c r="F3626">
        <f t="shared" si="119"/>
        <v>1</v>
      </c>
    </row>
    <row r="3627" spans="1:6">
      <c r="A3627" s="30">
        <f t="shared" si="120"/>
        <v>46717</v>
      </c>
      <c r="B3627" s="32" t="s">
        <v>199</v>
      </c>
      <c r="C3627" t="s">
        <v>6</v>
      </c>
      <c r="D3627">
        <f>IF(B3627=$AB$2,$AC$2,$AC$3)</f>
        <v>1</v>
      </c>
      <c r="E3627">
        <f>IF(ISBLANK(C3627),0,VLOOKUP(C3627,$AE$2:$AF$7,2,0))</f>
        <v>1</v>
      </c>
      <c r="F3627">
        <f t="shared" si="119"/>
        <v>1</v>
      </c>
    </row>
    <row r="3628" spans="1:6">
      <c r="A3628" s="30">
        <f t="shared" si="120"/>
        <v>46718</v>
      </c>
      <c r="B3628" s="32" t="s">
        <v>199</v>
      </c>
      <c r="C3628" t="s">
        <v>6</v>
      </c>
      <c r="D3628">
        <f>IF(B3628=$AB$2,$AC$2,$AC$3)</f>
        <v>1</v>
      </c>
      <c r="E3628">
        <f>IF(ISBLANK(C3628),0,VLOOKUP(C3628,$AE$2:$AF$7,2,0))</f>
        <v>1</v>
      </c>
      <c r="F3628">
        <f t="shared" si="119"/>
        <v>1</v>
      </c>
    </row>
    <row r="3629" spans="1:6">
      <c r="A3629" s="30">
        <f t="shared" si="120"/>
        <v>46719</v>
      </c>
      <c r="B3629" s="32" t="s">
        <v>199</v>
      </c>
      <c r="C3629" t="s">
        <v>6</v>
      </c>
      <c r="D3629">
        <f>IF(B3629=$AB$2,$AC$2,$AC$3)</f>
        <v>1</v>
      </c>
      <c r="E3629">
        <f>IF(ISBLANK(C3629),0,VLOOKUP(C3629,$AE$2:$AF$7,2,0))</f>
        <v>1</v>
      </c>
      <c r="F3629">
        <f t="shared" si="119"/>
        <v>1</v>
      </c>
    </row>
    <row r="3630" spans="1:6">
      <c r="A3630" s="30">
        <f t="shared" si="120"/>
        <v>46720</v>
      </c>
      <c r="B3630" s="32" t="s">
        <v>199</v>
      </c>
      <c r="C3630" t="s">
        <v>6</v>
      </c>
      <c r="D3630">
        <f>IF(B3630=$AB$2,$AC$2,$AC$3)</f>
        <v>1</v>
      </c>
      <c r="E3630">
        <f>IF(ISBLANK(C3630),0,VLOOKUP(C3630,$AE$2:$AF$7,2,0))</f>
        <v>1</v>
      </c>
      <c r="F3630">
        <f t="shared" si="119"/>
        <v>1</v>
      </c>
    </row>
    <row r="3631" spans="1:6">
      <c r="A3631" s="30">
        <f t="shared" si="120"/>
        <v>46721</v>
      </c>
      <c r="B3631" s="32" t="s">
        <v>199</v>
      </c>
      <c r="C3631" t="s">
        <v>6</v>
      </c>
      <c r="D3631">
        <f>IF(B3631=$AB$2,$AC$2,$AC$3)</f>
        <v>1</v>
      </c>
      <c r="E3631">
        <f>IF(ISBLANK(C3631),0,VLOOKUP(C3631,$AE$2:$AF$7,2,0))</f>
        <v>1</v>
      </c>
      <c r="F3631">
        <f t="shared" si="119"/>
        <v>1</v>
      </c>
    </row>
    <row r="3632" spans="1:6">
      <c r="A3632" s="30">
        <f t="shared" si="120"/>
        <v>46722</v>
      </c>
      <c r="B3632" s="32" t="s">
        <v>199</v>
      </c>
      <c r="C3632" t="s">
        <v>6</v>
      </c>
      <c r="D3632">
        <f>IF(B3632=$AB$2,$AC$2,$AC$3)</f>
        <v>1</v>
      </c>
      <c r="E3632">
        <f>IF(ISBLANK(C3632),0,VLOOKUP(C3632,$AE$2:$AF$7,2,0))</f>
        <v>1</v>
      </c>
      <c r="F3632">
        <f t="shared" si="119"/>
        <v>1</v>
      </c>
    </row>
    <row r="3633" spans="1:6">
      <c r="A3633" s="30">
        <f t="shared" si="120"/>
        <v>46723</v>
      </c>
      <c r="B3633" s="32" t="s">
        <v>199</v>
      </c>
      <c r="C3633" t="s">
        <v>6</v>
      </c>
      <c r="D3633">
        <f>IF(B3633=$AB$2,$AC$2,$AC$3)</f>
        <v>1</v>
      </c>
      <c r="E3633">
        <f>IF(ISBLANK(C3633),0,VLOOKUP(C3633,$AE$2:$AF$7,2,0))</f>
        <v>1</v>
      </c>
      <c r="F3633">
        <f t="shared" si="119"/>
        <v>1</v>
      </c>
    </row>
    <row r="3634" spans="1:6">
      <c r="A3634" s="30">
        <f t="shared" si="120"/>
        <v>46724</v>
      </c>
      <c r="B3634" s="32" t="s">
        <v>199</v>
      </c>
      <c r="C3634" t="s">
        <v>6</v>
      </c>
      <c r="D3634">
        <f>IF(B3634=$AB$2,$AC$2,$AC$3)</f>
        <v>1</v>
      </c>
      <c r="E3634">
        <f>IF(ISBLANK(C3634),0,VLOOKUP(C3634,$AE$2:$AF$7,2,0))</f>
        <v>1</v>
      </c>
      <c r="F3634">
        <f t="shared" si="119"/>
        <v>1</v>
      </c>
    </row>
    <row r="3635" spans="1:6">
      <c r="A3635" s="30">
        <f t="shared" si="120"/>
        <v>46725</v>
      </c>
      <c r="B3635" s="32" t="s">
        <v>199</v>
      </c>
      <c r="C3635" t="s">
        <v>6</v>
      </c>
      <c r="D3635">
        <f>IF(B3635=$AB$2,$AC$2,$AC$3)</f>
        <v>1</v>
      </c>
      <c r="E3635">
        <f>IF(ISBLANK(C3635),0,VLOOKUP(C3635,$AE$2:$AF$7,2,0))</f>
        <v>1</v>
      </c>
      <c r="F3635">
        <f t="shared" si="119"/>
        <v>1</v>
      </c>
    </row>
    <row r="3636" spans="1:6">
      <c r="A3636" s="30">
        <f t="shared" si="120"/>
        <v>46726</v>
      </c>
      <c r="B3636" s="32" t="s">
        <v>199</v>
      </c>
      <c r="C3636" t="s">
        <v>6</v>
      </c>
      <c r="D3636">
        <f>IF(B3636=$AB$2,$AC$2,$AC$3)</f>
        <v>1</v>
      </c>
      <c r="E3636">
        <f>IF(ISBLANK(C3636),0,VLOOKUP(C3636,$AE$2:$AF$7,2,0))</f>
        <v>1</v>
      </c>
      <c r="F3636">
        <f t="shared" si="119"/>
        <v>1</v>
      </c>
    </row>
    <row r="3637" spans="1:6">
      <c r="A3637" s="30">
        <f t="shared" si="120"/>
        <v>46727</v>
      </c>
      <c r="B3637" s="32" t="s">
        <v>199</v>
      </c>
      <c r="C3637" t="s">
        <v>6</v>
      </c>
      <c r="D3637">
        <f>IF(B3637=$AB$2,$AC$2,$AC$3)</f>
        <v>1</v>
      </c>
      <c r="E3637">
        <f>IF(ISBLANK(C3637),0,VLOOKUP(C3637,$AE$2:$AF$7,2,0))</f>
        <v>1</v>
      </c>
      <c r="F3637">
        <f t="shared" si="119"/>
        <v>1</v>
      </c>
    </row>
    <row r="3638" spans="1:6">
      <c r="A3638" s="30">
        <f t="shared" si="120"/>
        <v>46728</v>
      </c>
      <c r="B3638" s="32" t="s">
        <v>199</v>
      </c>
      <c r="C3638" t="s">
        <v>6</v>
      </c>
      <c r="D3638">
        <f>IF(B3638=$AB$2,$AC$2,$AC$3)</f>
        <v>1</v>
      </c>
      <c r="E3638">
        <f>IF(ISBLANK(C3638),0,VLOOKUP(C3638,$AE$2:$AF$7,2,0))</f>
        <v>1</v>
      </c>
      <c r="F3638">
        <f t="shared" si="119"/>
        <v>1</v>
      </c>
    </row>
    <row r="3639" spans="1:6">
      <c r="A3639" s="30">
        <f t="shared" si="120"/>
        <v>46729</v>
      </c>
      <c r="B3639" s="32" t="s">
        <v>199</v>
      </c>
      <c r="C3639" t="s">
        <v>6</v>
      </c>
      <c r="D3639">
        <f>IF(B3639=$AB$2,$AC$2,$AC$3)</f>
        <v>1</v>
      </c>
      <c r="E3639">
        <f>IF(ISBLANK(C3639),0,VLOOKUP(C3639,$AE$2:$AF$7,2,0))</f>
        <v>1</v>
      </c>
      <c r="F3639">
        <f t="shared" si="119"/>
        <v>1</v>
      </c>
    </row>
    <row r="3640" spans="1:6">
      <c r="A3640" s="30">
        <f t="shared" si="120"/>
        <v>46730</v>
      </c>
      <c r="B3640" s="32" t="s">
        <v>199</v>
      </c>
      <c r="C3640" t="s">
        <v>6</v>
      </c>
      <c r="D3640">
        <f>IF(B3640=$AB$2,$AC$2,$AC$3)</f>
        <v>1</v>
      </c>
      <c r="E3640">
        <f>IF(ISBLANK(C3640),0,VLOOKUP(C3640,$AE$2:$AF$7,2,0))</f>
        <v>1</v>
      </c>
      <c r="F3640">
        <f t="shared" si="119"/>
        <v>1</v>
      </c>
    </row>
    <row r="3641" spans="1:6">
      <c r="A3641" s="30">
        <f t="shared" si="120"/>
        <v>46731</v>
      </c>
      <c r="B3641" s="32" t="s">
        <v>199</v>
      </c>
      <c r="C3641" t="s">
        <v>6</v>
      </c>
      <c r="D3641">
        <f>IF(B3641=$AB$2,$AC$2,$AC$3)</f>
        <v>1</v>
      </c>
      <c r="E3641">
        <f>IF(ISBLANK(C3641),0,VLOOKUP(C3641,$AE$2:$AF$7,2,0))</f>
        <v>1</v>
      </c>
      <c r="F3641">
        <f t="shared" si="119"/>
        <v>1</v>
      </c>
    </row>
    <row r="3642" spans="1:6">
      <c r="A3642" s="30">
        <f t="shared" si="120"/>
        <v>46732</v>
      </c>
      <c r="B3642" s="32" t="s">
        <v>199</v>
      </c>
      <c r="C3642" t="s">
        <v>6</v>
      </c>
      <c r="D3642">
        <f>IF(B3642=$AB$2,$AC$2,$AC$3)</f>
        <v>1</v>
      </c>
      <c r="E3642">
        <f>IF(ISBLANK(C3642),0,VLOOKUP(C3642,$AE$2:$AF$7,2,0))</f>
        <v>1</v>
      </c>
      <c r="F3642">
        <f t="shared" si="119"/>
        <v>1</v>
      </c>
    </row>
    <row r="3643" spans="1:6">
      <c r="A3643" s="30">
        <f t="shared" si="120"/>
        <v>46733</v>
      </c>
      <c r="B3643" s="32" t="s">
        <v>199</v>
      </c>
      <c r="C3643" t="s">
        <v>6</v>
      </c>
      <c r="D3643">
        <f>IF(B3643=$AB$2,$AC$2,$AC$3)</f>
        <v>1</v>
      </c>
      <c r="E3643">
        <f>IF(ISBLANK(C3643),0,VLOOKUP(C3643,$AE$2:$AF$7,2,0))</f>
        <v>1</v>
      </c>
      <c r="F3643">
        <f t="shared" si="119"/>
        <v>1</v>
      </c>
    </row>
    <row r="3644" spans="1:6">
      <c r="A3644" s="30">
        <f t="shared" si="120"/>
        <v>46734</v>
      </c>
      <c r="B3644" s="32" t="s">
        <v>199</v>
      </c>
      <c r="C3644" t="s">
        <v>6</v>
      </c>
      <c r="D3644">
        <f>IF(B3644=$AB$2,$AC$2,$AC$3)</f>
        <v>1</v>
      </c>
      <c r="E3644">
        <f>IF(ISBLANK(C3644),0,VLOOKUP(C3644,$AE$2:$AF$7,2,0))</f>
        <v>1</v>
      </c>
      <c r="F3644">
        <f t="shared" si="119"/>
        <v>1</v>
      </c>
    </row>
    <row r="3645" spans="1:6">
      <c r="A3645" s="30">
        <f t="shared" si="120"/>
        <v>46735</v>
      </c>
      <c r="B3645" s="32" t="s">
        <v>199</v>
      </c>
      <c r="C3645" t="s">
        <v>6</v>
      </c>
      <c r="D3645">
        <f>IF(B3645=$AB$2,$AC$2,$AC$3)</f>
        <v>1</v>
      </c>
      <c r="E3645">
        <f>IF(ISBLANK(C3645),0,VLOOKUP(C3645,$AE$2:$AF$7,2,0))</f>
        <v>1</v>
      </c>
      <c r="F3645">
        <f t="shared" si="119"/>
        <v>1</v>
      </c>
    </row>
    <row r="3646" spans="1:6">
      <c r="A3646" s="30">
        <f t="shared" si="120"/>
        <v>46736</v>
      </c>
      <c r="B3646" s="32" t="s">
        <v>199</v>
      </c>
      <c r="C3646" t="s">
        <v>6</v>
      </c>
      <c r="D3646">
        <f>IF(B3646=$AB$2,$AC$2,$AC$3)</f>
        <v>1</v>
      </c>
      <c r="E3646">
        <f>IF(ISBLANK(C3646),0,VLOOKUP(C3646,$AE$2:$AF$7,2,0))</f>
        <v>1</v>
      </c>
      <c r="F3646">
        <f t="shared" si="119"/>
        <v>1</v>
      </c>
    </row>
    <row r="3647" spans="1:6">
      <c r="A3647" s="30">
        <f t="shared" si="120"/>
        <v>46737</v>
      </c>
      <c r="B3647" s="32" t="s">
        <v>199</v>
      </c>
      <c r="C3647" t="s">
        <v>6</v>
      </c>
      <c r="D3647">
        <f>IF(B3647=$AB$2,$AC$2,$AC$3)</f>
        <v>1</v>
      </c>
      <c r="E3647">
        <f>IF(ISBLANK(C3647),0,VLOOKUP(C3647,$AE$2:$AF$7,2,0))</f>
        <v>1</v>
      </c>
      <c r="F3647">
        <f t="shared" si="119"/>
        <v>1</v>
      </c>
    </row>
    <row r="3648" spans="1:6">
      <c r="A3648" s="30">
        <f t="shared" si="120"/>
        <v>46738</v>
      </c>
      <c r="B3648" s="32" t="s">
        <v>199</v>
      </c>
      <c r="C3648" t="s">
        <v>6</v>
      </c>
      <c r="D3648">
        <f>IF(B3648=$AB$2,$AC$2,$AC$3)</f>
        <v>1</v>
      </c>
      <c r="E3648">
        <f>IF(ISBLANK(C3648),0,VLOOKUP(C3648,$AE$2:$AF$7,2,0))</f>
        <v>1</v>
      </c>
      <c r="F3648">
        <f t="shared" si="119"/>
        <v>1</v>
      </c>
    </row>
    <row r="3649" spans="1:6">
      <c r="A3649" s="30">
        <f t="shared" si="120"/>
        <v>46739</v>
      </c>
      <c r="B3649" s="32" t="s">
        <v>199</v>
      </c>
      <c r="C3649" t="s">
        <v>6</v>
      </c>
      <c r="D3649">
        <f>IF(B3649=$AB$2,$AC$2,$AC$3)</f>
        <v>1</v>
      </c>
      <c r="E3649">
        <f>IF(ISBLANK(C3649),0,VLOOKUP(C3649,$AE$2:$AF$7,2,0))</f>
        <v>1</v>
      </c>
      <c r="F3649">
        <f t="shared" si="119"/>
        <v>1</v>
      </c>
    </row>
    <row r="3650" spans="1:6">
      <c r="A3650" s="30">
        <f t="shared" si="120"/>
        <v>46740</v>
      </c>
      <c r="B3650" s="32" t="s">
        <v>199</v>
      </c>
      <c r="C3650" t="s">
        <v>6</v>
      </c>
      <c r="D3650">
        <f>IF(B3650=$AB$2,$AC$2,$AC$3)</f>
        <v>1</v>
      </c>
      <c r="E3650">
        <f>IF(ISBLANK(C3650),0,VLOOKUP(C3650,$AE$2:$AF$7,2,0))</f>
        <v>1</v>
      </c>
      <c r="F3650">
        <f t="shared" si="119"/>
        <v>1</v>
      </c>
    </row>
    <row r="3651" spans="1:6">
      <c r="A3651" s="30">
        <f>A3650+1</f>
        <v>46741</v>
      </c>
      <c r="B3651" s="32" t="s">
        <v>199</v>
      </c>
      <c r="C3651" t="s">
        <v>6</v>
      </c>
      <c r="D3651">
        <f>IF(B3651=$AB$2,$AC$2,$AC$3)</f>
        <v>1</v>
      </c>
      <c r="E3651">
        <f>IF(ISBLANK(C3651),0,VLOOKUP(C3651,$AE$2:$AF$7,2,0))</f>
        <v>1</v>
      </c>
      <c r="F3651">
        <f t="shared" ref="F3651:F3714" si="121">D3651*E3651</f>
        <v>1</v>
      </c>
    </row>
    <row r="3652" spans="1:6">
      <c r="A3652" s="30">
        <f t="shared" ref="A3652:A3715" si="122">A3651+1</f>
        <v>46742</v>
      </c>
      <c r="B3652" s="32" t="s">
        <v>199</v>
      </c>
      <c r="C3652" t="s">
        <v>6</v>
      </c>
      <c r="D3652">
        <f>IF(B3652=$AB$2,$AC$2,$AC$3)</f>
        <v>1</v>
      </c>
      <c r="E3652">
        <f>IF(ISBLANK(C3652),0,VLOOKUP(C3652,$AE$2:$AF$7,2,0))</f>
        <v>1</v>
      </c>
      <c r="F3652">
        <f t="shared" si="121"/>
        <v>1</v>
      </c>
    </row>
    <row r="3653" spans="1:6">
      <c r="A3653" s="30">
        <f t="shared" si="122"/>
        <v>46743</v>
      </c>
      <c r="B3653" s="32" t="s">
        <v>199</v>
      </c>
      <c r="C3653" t="s">
        <v>6</v>
      </c>
      <c r="D3653">
        <f>IF(B3653=$AB$2,$AC$2,$AC$3)</f>
        <v>1</v>
      </c>
      <c r="E3653">
        <f>IF(ISBLANK(C3653),0,VLOOKUP(C3653,$AE$2:$AF$7,2,0))</f>
        <v>1</v>
      </c>
      <c r="F3653">
        <f t="shared" si="121"/>
        <v>1</v>
      </c>
    </row>
    <row r="3654" spans="1:6">
      <c r="A3654" s="30">
        <f t="shared" si="122"/>
        <v>46744</v>
      </c>
      <c r="B3654" s="32" t="s">
        <v>199</v>
      </c>
      <c r="C3654" t="s">
        <v>6</v>
      </c>
      <c r="D3654">
        <f>IF(B3654=$AB$2,$AC$2,$AC$3)</f>
        <v>1</v>
      </c>
      <c r="E3654">
        <f>IF(ISBLANK(C3654),0,VLOOKUP(C3654,$AE$2:$AF$7,2,0))</f>
        <v>1</v>
      </c>
      <c r="F3654">
        <f t="shared" si="121"/>
        <v>1</v>
      </c>
    </row>
    <row r="3655" spans="1:6">
      <c r="A3655" s="30">
        <f t="shared" si="122"/>
        <v>46745</v>
      </c>
      <c r="B3655" s="32" t="s">
        <v>199</v>
      </c>
      <c r="C3655" t="s">
        <v>6</v>
      </c>
      <c r="D3655">
        <f>IF(B3655=$AB$2,$AC$2,$AC$3)</f>
        <v>1</v>
      </c>
      <c r="E3655">
        <f>IF(ISBLANK(C3655),0,VLOOKUP(C3655,$AE$2:$AF$7,2,0))</f>
        <v>1</v>
      </c>
      <c r="F3655">
        <f t="shared" si="121"/>
        <v>1</v>
      </c>
    </row>
    <row r="3656" spans="1:6">
      <c r="A3656" s="30">
        <f t="shared" si="122"/>
        <v>46746</v>
      </c>
      <c r="B3656" s="32" t="s">
        <v>199</v>
      </c>
      <c r="C3656" t="s">
        <v>6</v>
      </c>
      <c r="D3656">
        <f>IF(B3656=$AB$2,$AC$2,$AC$3)</f>
        <v>1</v>
      </c>
      <c r="E3656">
        <f>IF(ISBLANK(C3656),0,VLOOKUP(C3656,$AE$2:$AF$7,2,0))</f>
        <v>1</v>
      </c>
      <c r="F3656">
        <f t="shared" si="121"/>
        <v>1</v>
      </c>
    </row>
    <row r="3657" spans="1:6">
      <c r="A3657" s="30">
        <f t="shared" si="122"/>
        <v>46747</v>
      </c>
      <c r="B3657" s="32" t="s">
        <v>199</v>
      </c>
      <c r="C3657" t="s">
        <v>6</v>
      </c>
      <c r="D3657">
        <f>IF(B3657=$AB$2,$AC$2,$AC$3)</f>
        <v>1</v>
      </c>
      <c r="E3657">
        <f>IF(ISBLANK(C3657),0,VLOOKUP(C3657,$AE$2:$AF$7,2,0))</f>
        <v>1</v>
      </c>
      <c r="F3657">
        <f t="shared" si="121"/>
        <v>1</v>
      </c>
    </row>
    <row r="3658" spans="1:6">
      <c r="A3658" s="30">
        <f t="shared" si="122"/>
        <v>46748</v>
      </c>
      <c r="B3658" s="32" t="s">
        <v>199</v>
      </c>
      <c r="C3658" t="s">
        <v>6</v>
      </c>
      <c r="D3658">
        <f>IF(B3658=$AB$2,$AC$2,$AC$3)</f>
        <v>1</v>
      </c>
      <c r="E3658">
        <f>IF(ISBLANK(C3658),0,VLOOKUP(C3658,$AE$2:$AF$7,2,0))</f>
        <v>1</v>
      </c>
      <c r="F3658">
        <f t="shared" si="121"/>
        <v>1</v>
      </c>
    </row>
    <row r="3659" spans="1:6">
      <c r="A3659" s="30">
        <f t="shared" si="122"/>
        <v>46749</v>
      </c>
      <c r="B3659" s="32" t="s">
        <v>199</v>
      </c>
      <c r="C3659" t="s">
        <v>6</v>
      </c>
      <c r="D3659">
        <f>IF(B3659=$AB$2,$AC$2,$AC$3)</f>
        <v>1</v>
      </c>
      <c r="E3659">
        <f>IF(ISBLANK(C3659),0,VLOOKUP(C3659,$AE$2:$AF$7,2,0))</f>
        <v>1</v>
      </c>
      <c r="F3659">
        <f t="shared" si="121"/>
        <v>1</v>
      </c>
    </row>
    <row r="3660" spans="1:6">
      <c r="A3660" s="30">
        <f t="shared" si="122"/>
        <v>46750</v>
      </c>
      <c r="B3660" s="32" t="s">
        <v>199</v>
      </c>
      <c r="C3660" t="s">
        <v>6</v>
      </c>
      <c r="D3660">
        <f>IF(B3660=$AB$2,$AC$2,$AC$3)</f>
        <v>1</v>
      </c>
      <c r="E3660">
        <f>IF(ISBLANK(C3660),0,VLOOKUP(C3660,$AE$2:$AF$7,2,0))</f>
        <v>1</v>
      </c>
      <c r="F3660">
        <f t="shared" si="121"/>
        <v>1</v>
      </c>
    </row>
    <row r="3661" spans="1:6">
      <c r="A3661" s="30">
        <f t="shared" si="122"/>
        <v>46751</v>
      </c>
      <c r="B3661" s="32" t="s">
        <v>199</v>
      </c>
      <c r="C3661" t="s">
        <v>6</v>
      </c>
      <c r="D3661">
        <f>IF(B3661=$AB$2,$AC$2,$AC$3)</f>
        <v>1</v>
      </c>
      <c r="E3661">
        <f>IF(ISBLANK(C3661),0,VLOOKUP(C3661,$AE$2:$AF$7,2,0))</f>
        <v>1</v>
      </c>
      <c r="F3661">
        <f t="shared" si="121"/>
        <v>1</v>
      </c>
    </row>
    <row r="3662" spans="1:6">
      <c r="A3662" s="30">
        <f t="shared" si="122"/>
        <v>46752</v>
      </c>
      <c r="B3662" s="32" t="s">
        <v>199</v>
      </c>
      <c r="C3662" t="s">
        <v>6</v>
      </c>
      <c r="D3662">
        <f>IF(B3662=$AB$2,$AC$2,$AC$3)</f>
        <v>1</v>
      </c>
      <c r="E3662">
        <f>IF(ISBLANK(C3662),0,VLOOKUP(C3662,$AE$2:$AF$7,2,0))</f>
        <v>1</v>
      </c>
      <c r="F3662">
        <f t="shared" si="121"/>
        <v>1</v>
      </c>
    </row>
    <row r="3663" spans="1:6">
      <c r="A3663" s="30">
        <f t="shared" si="122"/>
        <v>46753</v>
      </c>
      <c r="B3663" s="32" t="s">
        <v>199</v>
      </c>
      <c r="C3663" t="s">
        <v>6</v>
      </c>
      <c r="D3663">
        <f>IF(B3663=$AB$2,$AC$2,$AC$3)</f>
        <v>1</v>
      </c>
      <c r="E3663">
        <f>IF(ISBLANK(C3663),0,VLOOKUP(C3663,$AE$2:$AF$7,2,0))</f>
        <v>1</v>
      </c>
      <c r="F3663">
        <f t="shared" si="121"/>
        <v>1</v>
      </c>
    </row>
    <row r="3664" spans="1:6">
      <c r="A3664" s="30">
        <f t="shared" si="122"/>
        <v>46754</v>
      </c>
      <c r="B3664" s="32" t="s">
        <v>199</v>
      </c>
      <c r="C3664" t="s">
        <v>6</v>
      </c>
      <c r="D3664">
        <f>IF(B3664=$AB$2,$AC$2,$AC$3)</f>
        <v>1</v>
      </c>
      <c r="E3664">
        <f>IF(ISBLANK(C3664),0,VLOOKUP(C3664,$AE$2:$AF$7,2,0))</f>
        <v>1</v>
      </c>
      <c r="F3664">
        <f t="shared" si="121"/>
        <v>1</v>
      </c>
    </row>
    <row r="3665" spans="1:6">
      <c r="A3665" s="30">
        <f t="shared" si="122"/>
        <v>46755</v>
      </c>
      <c r="B3665" s="32" t="s">
        <v>199</v>
      </c>
      <c r="C3665" t="s">
        <v>6</v>
      </c>
      <c r="D3665">
        <f>IF(B3665=$AB$2,$AC$2,$AC$3)</f>
        <v>1</v>
      </c>
      <c r="E3665">
        <f>IF(ISBLANK(C3665),0,VLOOKUP(C3665,$AE$2:$AF$7,2,0))</f>
        <v>1</v>
      </c>
      <c r="F3665">
        <f t="shared" si="121"/>
        <v>1</v>
      </c>
    </row>
    <row r="3666" spans="1:6">
      <c r="A3666" s="30">
        <f t="shared" si="122"/>
        <v>46756</v>
      </c>
      <c r="B3666" s="32" t="s">
        <v>199</v>
      </c>
      <c r="C3666" t="s">
        <v>6</v>
      </c>
      <c r="D3666">
        <f>IF(B3666=$AB$2,$AC$2,$AC$3)</f>
        <v>1</v>
      </c>
      <c r="E3666">
        <f>IF(ISBLANK(C3666),0,VLOOKUP(C3666,$AE$2:$AF$7,2,0))</f>
        <v>1</v>
      </c>
      <c r="F3666">
        <f t="shared" si="121"/>
        <v>1</v>
      </c>
    </row>
    <row r="3667" spans="1:6">
      <c r="A3667" s="30">
        <f t="shared" si="122"/>
        <v>46757</v>
      </c>
      <c r="B3667" s="32" t="s">
        <v>199</v>
      </c>
      <c r="C3667" t="s">
        <v>6</v>
      </c>
      <c r="D3667">
        <f>IF(B3667=$AB$2,$AC$2,$AC$3)</f>
        <v>1</v>
      </c>
      <c r="E3667">
        <f>IF(ISBLANK(C3667),0,VLOOKUP(C3667,$AE$2:$AF$7,2,0))</f>
        <v>1</v>
      </c>
      <c r="F3667">
        <f t="shared" si="121"/>
        <v>1</v>
      </c>
    </row>
    <row r="3668" spans="1:6">
      <c r="A3668" s="30">
        <f t="shared" si="122"/>
        <v>46758</v>
      </c>
      <c r="B3668" s="32" t="s">
        <v>199</v>
      </c>
      <c r="C3668" t="s">
        <v>6</v>
      </c>
      <c r="D3668">
        <f>IF(B3668=$AB$2,$AC$2,$AC$3)</f>
        <v>1</v>
      </c>
      <c r="E3668">
        <f>IF(ISBLANK(C3668),0,VLOOKUP(C3668,$AE$2:$AF$7,2,0))</f>
        <v>1</v>
      </c>
      <c r="F3668">
        <f t="shared" si="121"/>
        <v>1</v>
      </c>
    </row>
    <row r="3669" spans="1:6">
      <c r="A3669" s="30">
        <f t="shared" si="122"/>
        <v>46759</v>
      </c>
      <c r="B3669" s="32" t="s">
        <v>199</v>
      </c>
      <c r="C3669" t="s">
        <v>6</v>
      </c>
      <c r="D3669">
        <f>IF(B3669=$AB$2,$AC$2,$AC$3)</f>
        <v>1</v>
      </c>
      <c r="E3669">
        <f>IF(ISBLANK(C3669),0,VLOOKUP(C3669,$AE$2:$AF$7,2,0))</f>
        <v>1</v>
      </c>
      <c r="F3669">
        <f t="shared" si="121"/>
        <v>1</v>
      </c>
    </row>
    <row r="3670" spans="1:6">
      <c r="A3670" s="30">
        <f t="shared" si="122"/>
        <v>46760</v>
      </c>
      <c r="B3670" s="32" t="s">
        <v>199</v>
      </c>
      <c r="C3670" t="s">
        <v>6</v>
      </c>
      <c r="D3670">
        <f>IF(B3670=$AB$2,$AC$2,$AC$3)</f>
        <v>1</v>
      </c>
      <c r="E3670">
        <f>IF(ISBLANK(C3670),0,VLOOKUP(C3670,$AE$2:$AF$7,2,0))</f>
        <v>1</v>
      </c>
      <c r="F3670">
        <f t="shared" si="121"/>
        <v>1</v>
      </c>
    </row>
    <row r="3671" spans="1:6">
      <c r="A3671" s="30">
        <f t="shared" si="122"/>
        <v>46761</v>
      </c>
      <c r="B3671" s="32" t="s">
        <v>199</v>
      </c>
      <c r="C3671" t="s">
        <v>6</v>
      </c>
      <c r="D3671">
        <f>IF(B3671=$AB$2,$AC$2,$AC$3)</f>
        <v>1</v>
      </c>
      <c r="E3671">
        <f>IF(ISBLANK(C3671),0,VLOOKUP(C3671,$AE$2:$AF$7,2,0))</f>
        <v>1</v>
      </c>
      <c r="F3671">
        <f t="shared" si="121"/>
        <v>1</v>
      </c>
    </row>
    <row r="3672" spans="1:6">
      <c r="A3672" s="30">
        <f t="shared" si="122"/>
        <v>46762</v>
      </c>
      <c r="B3672" s="32" t="s">
        <v>199</v>
      </c>
      <c r="C3672" t="s">
        <v>6</v>
      </c>
      <c r="D3672">
        <f>IF(B3672=$AB$2,$AC$2,$AC$3)</f>
        <v>1</v>
      </c>
      <c r="E3672">
        <f>IF(ISBLANK(C3672),0,VLOOKUP(C3672,$AE$2:$AF$7,2,0))</f>
        <v>1</v>
      </c>
      <c r="F3672">
        <f t="shared" si="121"/>
        <v>1</v>
      </c>
    </row>
    <row r="3673" spans="1:6">
      <c r="A3673" s="30">
        <f t="shared" si="122"/>
        <v>46763</v>
      </c>
      <c r="B3673" s="32" t="s">
        <v>199</v>
      </c>
      <c r="C3673" t="s">
        <v>6</v>
      </c>
      <c r="D3673">
        <f>IF(B3673=$AB$2,$AC$2,$AC$3)</f>
        <v>1</v>
      </c>
      <c r="E3673">
        <f>IF(ISBLANK(C3673),0,VLOOKUP(C3673,$AE$2:$AF$7,2,0))</f>
        <v>1</v>
      </c>
      <c r="F3673">
        <f t="shared" si="121"/>
        <v>1</v>
      </c>
    </row>
    <row r="3674" spans="1:6">
      <c r="A3674" s="30">
        <f t="shared" si="122"/>
        <v>46764</v>
      </c>
      <c r="B3674" s="32" t="s">
        <v>199</v>
      </c>
      <c r="C3674" t="s">
        <v>6</v>
      </c>
      <c r="D3674">
        <f>IF(B3674=$AB$2,$AC$2,$AC$3)</f>
        <v>1</v>
      </c>
      <c r="E3674">
        <f>IF(ISBLANK(C3674),0,VLOOKUP(C3674,$AE$2:$AF$7,2,0))</f>
        <v>1</v>
      </c>
      <c r="F3674">
        <f t="shared" si="121"/>
        <v>1</v>
      </c>
    </row>
    <row r="3675" spans="1:6">
      <c r="A3675" s="30">
        <f t="shared" si="122"/>
        <v>46765</v>
      </c>
      <c r="B3675" s="32" t="s">
        <v>199</v>
      </c>
      <c r="C3675" t="s">
        <v>6</v>
      </c>
      <c r="D3675">
        <f>IF(B3675=$AB$2,$AC$2,$AC$3)</f>
        <v>1</v>
      </c>
      <c r="E3675">
        <f>IF(ISBLANK(C3675),0,VLOOKUP(C3675,$AE$2:$AF$7,2,0))</f>
        <v>1</v>
      </c>
      <c r="F3675">
        <f t="shared" si="121"/>
        <v>1</v>
      </c>
    </row>
    <row r="3676" spans="1:6">
      <c r="A3676" s="30">
        <f t="shared" si="122"/>
        <v>46766</v>
      </c>
      <c r="B3676" s="32" t="s">
        <v>199</v>
      </c>
      <c r="C3676" t="s">
        <v>6</v>
      </c>
      <c r="D3676">
        <f>IF(B3676=$AB$2,$AC$2,$AC$3)</f>
        <v>1</v>
      </c>
      <c r="E3676">
        <f>IF(ISBLANK(C3676),0,VLOOKUP(C3676,$AE$2:$AF$7,2,0))</f>
        <v>1</v>
      </c>
      <c r="F3676">
        <f t="shared" si="121"/>
        <v>1</v>
      </c>
    </row>
    <row r="3677" spans="1:6">
      <c r="A3677" s="30">
        <f t="shared" si="122"/>
        <v>46767</v>
      </c>
      <c r="B3677" s="32" t="s">
        <v>199</v>
      </c>
      <c r="C3677" t="s">
        <v>6</v>
      </c>
      <c r="D3677">
        <f>IF(B3677=$AB$2,$AC$2,$AC$3)</f>
        <v>1</v>
      </c>
      <c r="E3677">
        <f>IF(ISBLANK(C3677),0,VLOOKUP(C3677,$AE$2:$AF$7,2,0))</f>
        <v>1</v>
      </c>
      <c r="F3677">
        <f t="shared" si="121"/>
        <v>1</v>
      </c>
    </row>
    <row r="3678" spans="1:6">
      <c r="A3678" s="30">
        <f t="shared" si="122"/>
        <v>46768</v>
      </c>
      <c r="B3678" s="32" t="s">
        <v>199</v>
      </c>
      <c r="C3678" t="s">
        <v>6</v>
      </c>
      <c r="D3678">
        <f>IF(B3678=$AB$2,$AC$2,$AC$3)</f>
        <v>1</v>
      </c>
      <c r="E3678">
        <f>IF(ISBLANK(C3678),0,VLOOKUP(C3678,$AE$2:$AF$7,2,0))</f>
        <v>1</v>
      </c>
      <c r="F3678">
        <f t="shared" si="121"/>
        <v>1</v>
      </c>
    </row>
    <row r="3679" spans="1:6">
      <c r="A3679" s="30">
        <f t="shared" si="122"/>
        <v>46769</v>
      </c>
      <c r="B3679" s="32" t="s">
        <v>199</v>
      </c>
      <c r="C3679" t="s">
        <v>6</v>
      </c>
      <c r="D3679">
        <f>IF(B3679=$AB$2,$AC$2,$AC$3)</f>
        <v>1</v>
      </c>
      <c r="E3679">
        <f>IF(ISBLANK(C3679),0,VLOOKUP(C3679,$AE$2:$AF$7,2,0))</f>
        <v>1</v>
      </c>
      <c r="F3679">
        <f t="shared" si="121"/>
        <v>1</v>
      </c>
    </row>
    <row r="3680" spans="1:6">
      <c r="A3680" s="30">
        <f t="shared" si="122"/>
        <v>46770</v>
      </c>
      <c r="B3680" s="32" t="s">
        <v>199</v>
      </c>
      <c r="C3680" t="s">
        <v>6</v>
      </c>
      <c r="D3680">
        <f>IF(B3680=$AB$2,$AC$2,$AC$3)</f>
        <v>1</v>
      </c>
      <c r="E3680">
        <f>IF(ISBLANK(C3680),0,VLOOKUP(C3680,$AE$2:$AF$7,2,0))</f>
        <v>1</v>
      </c>
      <c r="F3680">
        <f t="shared" si="121"/>
        <v>1</v>
      </c>
    </row>
    <row r="3681" spans="1:6">
      <c r="A3681" s="30">
        <f t="shared" si="122"/>
        <v>46771</v>
      </c>
      <c r="B3681" s="32" t="s">
        <v>199</v>
      </c>
      <c r="C3681" t="s">
        <v>6</v>
      </c>
      <c r="D3681">
        <f>IF(B3681=$AB$2,$AC$2,$AC$3)</f>
        <v>1</v>
      </c>
      <c r="E3681">
        <f>IF(ISBLANK(C3681),0,VLOOKUP(C3681,$AE$2:$AF$7,2,0))</f>
        <v>1</v>
      </c>
      <c r="F3681">
        <f t="shared" si="121"/>
        <v>1</v>
      </c>
    </row>
    <row r="3682" spans="1:6">
      <c r="A3682" s="30">
        <f t="shared" si="122"/>
        <v>46772</v>
      </c>
      <c r="B3682" s="32" t="s">
        <v>199</v>
      </c>
      <c r="C3682" t="s">
        <v>6</v>
      </c>
      <c r="D3682">
        <f>IF(B3682=$AB$2,$AC$2,$AC$3)</f>
        <v>1</v>
      </c>
      <c r="E3682">
        <f>IF(ISBLANK(C3682),0,VLOOKUP(C3682,$AE$2:$AF$7,2,0))</f>
        <v>1</v>
      </c>
      <c r="F3682">
        <f t="shared" si="121"/>
        <v>1</v>
      </c>
    </row>
    <row r="3683" spans="1:6">
      <c r="A3683" s="30">
        <f t="shared" si="122"/>
        <v>46773</v>
      </c>
      <c r="B3683" s="32" t="s">
        <v>199</v>
      </c>
      <c r="C3683" t="s">
        <v>6</v>
      </c>
      <c r="D3683">
        <f>IF(B3683=$AB$2,$AC$2,$AC$3)</f>
        <v>1</v>
      </c>
      <c r="E3683">
        <f>IF(ISBLANK(C3683),0,VLOOKUP(C3683,$AE$2:$AF$7,2,0))</f>
        <v>1</v>
      </c>
      <c r="F3683">
        <f t="shared" si="121"/>
        <v>1</v>
      </c>
    </row>
    <row r="3684" spans="1:6">
      <c r="A3684" s="30">
        <f t="shared" si="122"/>
        <v>46774</v>
      </c>
      <c r="B3684" s="32" t="s">
        <v>199</v>
      </c>
      <c r="C3684" t="s">
        <v>6</v>
      </c>
      <c r="D3684">
        <f>IF(B3684=$AB$2,$AC$2,$AC$3)</f>
        <v>1</v>
      </c>
      <c r="E3684">
        <f>IF(ISBLANK(C3684),0,VLOOKUP(C3684,$AE$2:$AF$7,2,0))</f>
        <v>1</v>
      </c>
      <c r="F3684">
        <f t="shared" si="121"/>
        <v>1</v>
      </c>
    </row>
    <row r="3685" spans="1:6">
      <c r="A3685" s="30">
        <f t="shared" si="122"/>
        <v>46775</v>
      </c>
      <c r="B3685" s="32" t="s">
        <v>199</v>
      </c>
      <c r="C3685" t="s">
        <v>6</v>
      </c>
      <c r="D3685">
        <f>IF(B3685=$AB$2,$AC$2,$AC$3)</f>
        <v>1</v>
      </c>
      <c r="E3685">
        <f>IF(ISBLANK(C3685),0,VLOOKUP(C3685,$AE$2:$AF$7,2,0))</f>
        <v>1</v>
      </c>
      <c r="F3685">
        <f t="shared" si="121"/>
        <v>1</v>
      </c>
    </row>
    <row r="3686" spans="1:6">
      <c r="A3686" s="30">
        <f t="shared" si="122"/>
        <v>46776</v>
      </c>
      <c r="B3686" s="32" t="s">
        <v>199</v>
      </c>
      <c r="C3686" t="s">
        <v>6</v>
      </c>
      <c r="D3686">
        <f>IF(B3686=$AB$2,$AC$2,$AC$3)</f>
        <v>1</v>
      </c>
      <c r="E3686">
        <f>IF(ISBLANK(C3686),0,VLOOKUP(C3686,$AE$2:$AF$7,2,0))</f>
        <v>1</v>
      </c>
      <c r="F3686">
        <f t="shared" si="121"/>
        <v>1</v>
      </c>
    </row>
    <row r="3687" spans="1:6">
      <c r="A3687" s="30">
        <f t="shared" si="122"/>
        <v>46777</v>
      </c>
      <c r="B3687" s="32" t="s">
        <v>199</v>
      </c>
      <c r="C3687" t="s">
        <v>6</v>
      </c>
      <c r="D3687">
        <f>IF(B3687=$AB$2,$AC$2,$AC$3)</f>
        <v>1</v>
      </c>
      <c r="E3687">
        <f>IF(ISBLANK(C3687),0,VLOOKUP(C3687,$AE$2:$AF$7,2,0))</f>
        <v>1</v>
      </c>
      <c r="F3687">
        <f t="shared" si="121"/>
        <v>1</v>
      </c>
    </row>
    <row r="3688" spans="1:6">
      <c r="A3688" s="30">
        <f t="shared" si="122"/>
        <v>46778</v>
      </c>
      <c r="B3688" s="32" t="s">
        <v>199</v>
      </c>
      <c r="C3688" t="s">
        <v>6</v>
      </c>
      <c r="D3688">
        <f>IF(B3688=$AB$2,$AC$2,$AC$3)</f>
        <v>1</v>
      </c>
      <c r="E3688">
        <f>IF(ISBLANK(C3688),0,VLOOKUP(C3688,$AE$2:$AF$7,2,0))</f>
        <v>1</v>
      </c>
      <c r="F3688">
        <f t="shared" si="121"/>
        <v>1</v>
      </c>
    </row>
    <row r="3689" spans="1:6">
      <c r="A3689" s="30">
        <f t="shared" si="122"/>
        <v>46779</v>
      </c>
      <c r="B3689" s="32" t="s">
        <v>199</v>
      </c>
      <c r="C3689" t="s">
        <v>6</v>
      </c>
      <c r="D3689">
        <f>IF(B3689=$AB$2,$AC$2,$AC$3)</f>
        <v>1</v>
      </c>
      <c r="E3689">
        <f>IF(ISBLANK(C3689),0,VLOOKUP(C3689,$AE$2:$AF$7,2,0))</f>
        <v>1</v>
      </c>
      <c r="F3689">
        <f t="shared" si="121"/>
        <v>1</v>
      </c>
    </row>
    <row r="3690" spans="1:6">
      <c r="A3690" s="30">
        <f t="shared" si="122"/>
        <v>46780</v>
      </c>
      <c r="B3690" s="32" t="s">
        <v>199</v>
      </c>
      <c r="C3690" t="s">
        <v>6</v>
      </c>
      <c r="D3690">
        <f>IF(B3690=$AB$2,$AC$2,$AC$3)</f>
        <v>1</v>
      </c>
      <c r="E3690">
        <f>IF(ISBLANK(C3690),0,VLOOKUP(C3690,$AE$2:$AF$7,2,0))</f>
        <v>1</v>
      </c>
      <c r="F3690">
        <f t="shared" si="121"/>
        <v>1</v>
      </c>
    </row>
    <row r="3691" spans="1:6">
      <c r="A3691" s="30">
        <f t="shared" si="122"/>
        <v>46781</v>
      </c>
      <c r="B3691" s="32" t="s">
        <v>199</v>
      </c>
      <c r="C3691" t="s">
        <v>6</v>
      </c>
      <c r="D3691">
        <f>IF(B3691=$AB$2,$AC$2,$AC$3)</f>
        <v>1</v>
      </c>
      <c r="E3691">
        <f>IF(ISBLANK(C3691),0,VLOOKUP(C3691,$AE$2:$AF$7,2,0))</f>
        <v>1</v>
      </c>
      <c r="F3691">
        <f t="shared" si="121"/>
        <v>1</v>
      </c>
    </row>
    <row r="3692" spans="1:6">
      <c r="A3692" s="30">
        <f t="shared" si="122"/>
        <v>46782</v>
      </c>
      <c r="B3692" s="32" t="s">
        <v>199</v>
      </c>
      <c r="C3692" t="s">
        <v>6</v>
      </c>
      <c r="D3692">
        <f>IF(B3692=$AB$2,$AC$2,$AC$3)</f>
        <v>1</v>
      </c>
      <c r="E3692">
        <f>IF(ISBLANK(C3692),0,VLOOKUP(C3692,$AE$2:$AF$7,2,0))</f>
        <v>1</v>
      </c>
      <c r="F3692">
        <f t="shared" si="121"/>
        <v>1</v>
      </c>
    </row>
    <row r="3693" spans="1:6">
      <c r="A3693" s="30">
        <f t="shared" si="122"/>
        <v>46783</v>
      </c>
      <c r="B3693" s="32" t="s">
        <v>199</v>
      </c>
      <c r="C3693" t="s">
        <v>6</v>
      </c>
      <c r="D3693">
        <f>IF(B3693=$AB$2,$AC$2,$AC$3)</f>
        <v>1</v>
      </c>
      <c r="E3693">
        <f>IF(ISBLANK(C3693),0,VLOOKUP(C3693,$AE$2:$AF$7,2,0))</f>
        <v>1</v>
      </c>
      <c r="F3693">
        <f t="shared" si="121"/>
        <v>1</v>
      </c>
    </row>
    <row r="3694" spans="1:6">
      <c r="A3694" s="30">
        <f t="shared" si="122"/>
        <v>46784</v>
      </c>
      <c r="B3694" s="32" t="s">
        <v>199</v>
      </c>
      <c r="C3694" t="s">
        <v>6</v>
      </c>
      <c r="D3694">
        <f>IF(B3694=$AB$2,$AC$2,$AC$3)</f>
        <v>1</v>
      </c>
      <c r="E3694">
        <f>IF(ISBLANK(C3694),0,VLOOKUP(C3694,$AE$2:$AF$7,2,0))</f>
        <v>1</v>
      </c>
      <c r="F3694">
        <f t="shared" si="121"/>
        <v>1</v>
      </c>
    </row>
    <row r="3695" spans="1:6">
      <c r="A3695" s="30">
        <f t="shared" si="122"/>
        <v>46785</v>
      </c>
      <c r="B3695" s="32" t="s">
        <v>199</v>
      </c>
      <c r="C3695" t="s">
        <v>6</v>
      </c>
      <c r="D3695">
        <f>IF(B3695=$AB$2,$AC$2,$AC$3)</f>
        <v>1</v>
      </c>
      <c r="E3695">
        <f>IF(ISBLANK(C3695),0,VLOOKUP(C3695,$AE$2:$AF$7,2,0))</f>
        <v>1</v>
      </c>
      <c r="F3695">
        <f t="shared" si="121"/>
        <v>1</v>
      </c>
    </row>
    <row r="3696" spans="1:6">
      <c r="A3696" s="30">
        <f t="shared" si="122"/>
        <v>46786</v>
      </c>
      <c r="B3696" s="32" t="s">
        <v>199</v>
      </c>
      <c r="C3696" t="s">
        <v>6</v>
      </c>
      <c r="D3696">
        <f>IF(B3696=$AB$2,$AC$2,$AC$3)</f>
        <v>1</v>
      </c>
      <c r="E3696">
        <f>IF(ISBLANK(C3696),0,VLOOKUP(C3696,$AE$2:$AF$7,2,0))</f>
        <v>1</v>
      </c>
      <c r="F3696">
        <f t="shared" si="121"/>
        <v>1</v>
      </c>
    </row>
    <row r="3697" spans="1:6">
      <c r="A3697" s="30">
        <f t="shared" si="122"/>
        <v>46787</v>
      </c>
      <c r="B3697" s="32" t="s">
        <v>199</v>
      </c>
      <c r="C3697" t="s">
        <v>6</v>
      </c>
      <c r="D3697">
        <f>IF(B3697=$AB$2,$AC$2,$AC$3)</f>
        <v>1</v>
      </c>
      <c r="E3697">
        <f>IF(ISBLANK(C3697),0,VLOOKUP(C3697,$AE$2:$AF$7,2,0))</f>
        <v>1</v>
      </c>
      <c r="F3697">
        <f t="shared" si="121"/>
        <v>1</v>
      </c>
    </row>
    <row r="3698" spans="1:6">
      <c r="A3698" s="30">
        <f t="shared" si="122"/>
        <v>46788</v>
      </c>
      <c r="B3698" s="32" t="s">
        <v>199</v>
      </c>
      <c r="C3698" t="s">
        <v>6</v>
      </c>
      <c r="D3698">
        <f>IF(B3698=$AB$2,$AC$2,$AC$3)</f>
        <v>1</v>
      </c>
      <c r="E3698">
        <f>IF(ISBLANK(C3698),0,VLOOKUP(C3698,$AE$2:$AF$7,2,0))</f>
        <v>1</v>
      </c>
      <c r="F3698">
        <f t="shared" si="121"/>
        <v>1</v>
      </c>
    </row>
    <row r="3699" spans="1:6">
      <c r="A3699" s="30">
        <f t="shared" si="122"/>
        <v>46789</v>
      </c>
      <c r="B3699" s="32" t="s">
        <v>199</v>
      </c>
      <c r="C3699" t="s">
        <v>6</v>
      </c>
      <c r="D3699">
        <f>IF(B3699=$AB$2,$AC$2,$AC$3)</f>
        <v>1</v>
      </c>
      <c r="E3699">
        <f>IF(ISBLANK(C3699),0,VLOOKUP(C3699,$AE$2:$AF$7,2,0))</f>
        <v>1</v>
      </c>
      <c r="F3699">
        <f t="shared" si="121"/>
        <v>1</v>
      </c>
    </row>
    <row r="3700" spans="1:6">
      <c r="A3700" s="30">
        <f t="shared" si="122"/>
        <v>46790</v>
      </c>
      <c r="B3700" s="32" t="s">
        <v>199</v>
      </c>
      <c r="C3700" t="s">
        <v>6</v>
      </c>
      <c r="D3700">
        <f>IF(B3700=$AB$2,$AC$2,$AC$3)</f>
        <v>1</v>
      </c>
      <c r="E3700">
        <f>IF(ISBLANK(C3700),0,VLOOKUP(C3700,$AE$2:$AF$7,2,0))</f>
        <v>1</v>
      </c>
      <c r="F3700">
        <f t="shared" si="121"/>
        <v>1</v>
      </c>
    </row>
    <row r="3701" spans="1:6">
      <c r="A3701" s="30">
        <f t="shared" si="122"/>
        <v>46791</v>
      </c>
      <c r="B3701" s="32" t="s">
        <v>199</v>
      </c>
      <c r="C3701" t="s">
        <v>6</v>
      </c>
      <c r="D3701">
        <f>IF(B3701=$AB$2,$AC$2,$AC$3)</f>
        <v>1</v>
      </c>
      <c r="E3701">
        <f>IF(ISBLANK(C3701),0,VLOOKUP(C3701,$AE$2:$AF$7,2,0))</f>
        <v>1</v>
      </c>
      <c r="F3701">
        <f t="shared" si="121"/>
        <v>1</v>
      </c>
    </row>
    <row r="3702" spans="1:6">
      <c r="A3702" s="30">
        <f t="shared" si="122"/>
        <v>46792</v>
      </c>
      <c r="B3702" s="32" t="s">
        <v>199</v>
      </c>
      <c r="C3702" t="s">
        <v>6</v>
      </c>
      <c r="D3702">
        <f>IF(B3702=$AB$2,$AC$2,$AC$3)</f>
        <v>1</v>
      </c>
      <c r="E3702">
        <f>IF(ISBLANK(C3702),0,VLOOKUP(C3702,$AE$2:$AF$7,2,0))</f>
        <v>1</v>
      </c>
      <c r="F3702">
        <f t="shared" si="121"/>
        <v>1</v>
      </c>
    </row>
    <row r="3703" spans="1:6">
      <c r="A3703" s="30">
        <f t="shared" si="122"/>
        <v>46793</v>
      </c>
      <c r="B3703" s="32" t="s">
        <v>199</v>
      </c>
      <c r="C3703" t="s">
        <v>6</v>
      </c>
      <c r="D3703">
        <f>IF(B3703=$AB$2,$AC$2,$AC$3)</f>
        <v>1</v>
      </c>
      <c r="E3703">
        <f>IF(ISBLANK(C3703),0,VLOOKUP(C3703,$AE$2:$AF$7,2,0))</f>
        <v>1</v>
      </c>
      <c r="F3703">
        <f t="shared" si="121"/>
        <v>1</v>
      </c>
    </row>
    <row r="3704" spans="1:6">
      <c r="A3704" s="30">
        <f t="shared" si="122"/>
        <v>46794</v>
      </c>
      <c r="B3704" s="32" t="s">
        <v>199</v>
      </c>
      <c r="C3704" t="s">
        <v>6</v>
      </c>
      <c r="D3704">
        <f>IF(B3704=$AB$2,$AC$2,$AC$3)</f>
        <v>1</v>
      </c>
      <c r="E3704">
        <f>IF(ISBLANK(C3704),0,VLOOKUP(C3704,$AE$2:$AF$7,2,0))</f>
        <v>1</v>
      </c>
      <c r="F3704">
        <f t="shared" si="121"/>
        <v>1</v>
      </c>
    </row>
    <row r="3705" spans="1:6">
      <c r="A3705" s="30">
        <f t="shared" si="122"/>
        <v>46795</v>
      </c>
      <c r="B3705" s="32" t="s">
        <v>199</v>
      </c>
      <c r="C3705" t="s">
        <v>6</v>
      </c>
      <c r="D3705">
        <f>IF(B3705=$AB$2,$AC$2,$AC$3)</f>
        <v>1</v>
      </c>
      <c r="E3705">
        <f>IF(ISBLANK(C3705),0,VLOOKUP(C3705,$AE$2:$AF$7,2,0))</f>
        <v>1</v>
      </c>
      <c r="F3705">
        <f t="shared" si="121"/>
        <v>1</v>
      </c>
    </row>
    <row r="3706" spans="1:6">
      <c r="A3706" s="30">
        <f t="shared" si="122"/>
        <v>46796</v>
      </c>
      <c r="B3706" s="32" t="s">
        <v>199</v>
      </c>
      <c r="C3706" t="s">
        <v>6</v>
      </c>
      <c r="D3706">
        <f>IF(B3706=$AB$2,$AC$2,$AC$3)</f>
        <v>1</v>
      </c>
      <c r="E3706">
        <f>IF(ISBLANK(C3706),0,VLOOKUP(C3706,$AE$2:$AF$7,2,0))</f>
        <v>1</v>
      </c>
      <c r="F3706">
        <f t="shared" si="121"/>
        <v>1</v>
      </c>
    </row>
    <row r="3707" spans="1:6">
      <c r="A3707" s="30">
        <f t="shared" si="122"/>
        <v>46797</v>
      </c>
      <c r="B3707" s="32" t="s">
        <v>199</v>
      </c>
      <c r="C3707" t="s">
        <v>6</v>
      </c>
      <c r="D3707">
        <f>IF(B3707=$AB$2,$AC$2,$AC$3)</f>
        <v>1</v>
      </c>
      <c r="E3707">
        <f>IF(ISBLANK(C3707),0,VLOOKUP(C3707,$AE$2:$AF$7,2,0))</f>
        <v>1</v>
      </c>
      <c r="F3707">
        <f t="shared" si="121"/>
        <v>1</v>
      </c>
    </row>
    <row r="3708" spans="1:6">
      <c r="A3708" s="30">
        <f t="shared" si="122"/>
        <v>46798</v>
      </c>
      <c r="B3708" s="32" t="s">
        <v>199</v>
      </c>
      <c r="C3708" t="s">
        <v>6</v>
      </c>
      <c r="D3708">
        <f>IF(B3708=$AB$2,$AC$2,$AC$3)</f>
        <v>1</v>
      </c>
      <c r="E3708">
        <f>IF(ISBLANK(C3708),0,VLOOKUP(C3708,$AE$2:$AF$7,2,0))</f>
        <v>1</v>
      </c>
      <c r="F3708">
        <f t="shared" si="121"/>
        <v>1</v>
      </c>
    </row>
    <row r="3709" spans="1:6">
      <c r="A3709" s="30">
        <f t="shared" si="122"/>
        <v>46799</v>
      </c>
      <c r="B3709" s="32" t="s">
        <v>199</v>
      </c>
      <c r="C3709" t="s">
        <v>6</v>
      </c>
      <c r="D3709">
        <f>IF(B3709=$AB$2,$AC$2,$AC$3)</f>
        <v>1</v>
      </c>
      <c r="E3709">
        <f>IF(ISBLANK(C3709),0,VLOOKUP(C3709,$AE$2:$AF$7,2,0))</f>
        <v>1</v>
      </c>
      <c r="F3709">
        <f t="shared" si="121"/>
        <v>1</v>
      </c>
    </row>
    <row r="3710" spans="1:6">
      <c r="A3710" s="30">
        <f t="shared" si="122"/>
        <v>46800</v>
      </c>
      <c r="B3710" s="32" t="s">
        <v>199</v>
      </c>
      <c r="C3710" t="s">
        <v>6</v>
      </c>
      <c r="D3710">
        <f>IF(B3710=$AB$2,$AC$2,$AC$3)</f>
        <v>1</v>
      </c>
      <c r="E3710">
        <f>IF(ISBLANK(C3710),0,VLOOKUP(C3710,$AE$2:$AF$7,2,0))</f>
        <v>1</v>
      </c>
      <c r="F3710">
        <f t="shared" si="121"/>
        <v>1</v>
      </c>
    </row>
    <row r="3711" spans="1:6">
      <c r="A3711" s="30">
        <f t="shared" si="122"/>
        <v>46801</v>
      </c>
      <c r="B3711" s="32" t="s">
        <v>199</v>
      </c>
      <c r="C3711" t="s">
        <v>6</v>
      </c>
      <c r="D3711">
        <f>IF(B3711=$AB$2,$AC$2,$AC$3)</f>
        <v>1</v>
      </c>
      <c r="E3711">
        <f>IF(ISBLANK(C3711),0,VLOOKUP(C3711,$AE$2:$AF$7,2,0))</f>
        <v>1</v>
      </c>
      <c r="F3711">
        <f t="shared" si="121"/>
        <v>1</v>
      </c>
    </row>
    <row r="3712" spans="1:6">
      <c r="A3712" s="30">
        <f t="shared" si="122"/>
        <v>46802</v>
      </c>
      <c r="B3712" s="32" t="s">
        <v>199</v>
      </c>
      <c r="C3712" t="s">
        <v>6</v>
      </c>
      <c r="D3712">
        <f>IF(B3712=$AB$2,$AC$2,$AC$3)</f>
        <v>1</v>
      </c>
      <c r="E3712">
        <f>IF(ISBLANK(C3712),0,VLOOKUP(C3712,$AE$2:$AF$7,2,0))</f>
        <v>1</v>
      </c>
      <c r="F3712">
        <f t="shared" si="121"/>
        <v>1</v>
      </c>
    </row>
    <row r="3713" spans="1:6">
      <c r="A3713" s="30">
        <f t="shared" si="122"/>
        <v>46803</v>
      </c>
      <c r="B3713" s="32" t="s">
        <v>199</v>
      </c>
      <c r="C3713" t="s">
        <v>6</v>
      </c>
      <c r="D3713">
        <f>IF(B3713=$AB$2,$AC$2,$AC$3)</f>
        <v>1</v>
      </c>
      <c r="E3713">
        <f>IF(ISBLANK(C3713),0,VLOOKUP(C3713,$AE$2:$AF$7,2,0))</f>
        <v>1</v>
      </c>
      <c r="F3713">
        <f t="shared" si="121"/>
        <v>1</v>
      </c>
    </row>
    <row r="3714" spans="1:6">
      <c r="A3714" s="30">
        <f t="shared" si="122"/>
        <v>46804</v>
      </c>
      <c r="B3714" s="32" t="s">
        <v>199</v>
      </c>
      <c r="C3714" t="s">
        <v>6</v>
      </c>
      <c r="D3714">
        <f>IF(B3714=$AB$2,$AC$2,$AC$3)</f>
        <v>1</v>
      </c>
      <c r="E3714">
        <f>IF(ISBLANK(C3714),0,VLOOKUP(C3714,$AE$2:$AF$7,2,0))</f>
        <v>1</v>
      </c>
      <c r="F3714">
        <f t="shared" si="121"/>
        <v>1</v>
      </c>
    </row>
    <row r="3715" spans="1:6">
      <c r="A3715" s="30">
        <f t="shared" si="122"/>
        <v>46805</v>
      </c>
      <c r="B3715" s="32" t="s">
        <v>199</v>
      </c>
      <c r="C3715" t="s">
        <v>6</v>
      </c>
      <c r="D3715">
        <f>IF(B3715=$AB$2,$AC$2,$AC$3)</f>
        <v>1</v>
      </c>
      <c r="E3715">
        <f>IF(ISBLANK(C3715),0,VLOOKUP(C3715,$AE$2:$AF$7,2,0))</f>
        <v>1</v>
      </c>
      <c r="F3715">
        <f t="shared" ref="F3715:F3778" si="123">D3715*E3715</f>
        <v>1</v>
      </c>
    </row>
    <row r="3716" spans="1:6">
      <c r="A3716" s="30">
        <f t="shared" ref="A3716:A3764" si="124">A3715+1</f>
        <v>46806</v>
      </c>
      <c r="B3716" s="32" t="s">
        <v>199</v>
      </c>
      <c r="C3716" t="s">
        <v>6</v>
      </c>
      <c r="D3716">
        <f>IF(B3716=$AB$2,$AC$2,$AC$3)</f>
        <v>1</v>
      </c>
      <c r="E3716">
        <f>IF(ISBLANK(C3716),0,VLOOKUP(C3716,$AE$2:$AF$7,2,0))</f>
        <v>1</v>
      </c>
      <c r="F3716">
        <f t="shared" si="123"/>
        <v>1</v>
      </c>
    </row>
    <row r="3717" spans="1:6">
      <c r="A3717" s="30">
        <f t="shared" si="124"/>
        <v>46807</v>
      </c>
      <c r="B3717" s="32" t="s">
        <v>199</v>
      </c>
      <c r="C3717" t="s">
        <v>6</v>
      </c>
      <c r="D3717">
        <f>IF(B3717=$AB$2,$AC$2,$AC$3)</f>
        <v>1</v>
      </c>
      <c r="E3717">
        <f>IF(ISBLANK(C3717),0,VLOOKUP(C3717,$AE$2:$AF$7,2,0))</f>
        <v>1</v>
      </c>
      <c r="F3717">
        <f t="shared" si="123"/>
        <v>1</v>
      </c>
    </row>
    <row r="3718" spans="1:6">
      <c r="A3718" s="30">
        <f t="shared" si="124"/>
        <v>46808</v>
      </c>
      <c r="B3718" s="32" t="s">
        <v>199</v>
      </c>
      <c r="C3718" t="s">
        <v>6</v>
      </c>
      <c r="D3718">
        <f>IF(B3718=$AB$2,$AC$2,$AC$3)</f>
        <v>1</v>
      </c>
      <c r="E3718">
        <f>IF(ISBLANK(C3718),0,VLOOKUP(C3718,$AE$2:$AF$7,2,0))</f>
        <v>1</v>
      </c>
      <c r="F3718">
        <f t="shared" si="123"/>
        <v>1</v>
      </c>
    </row>
    <row r="3719" spans="1:6">
      <c r="A3719" s="30">
        <f t="shared" si="124"/>
        <v>46809</v>
      </c>
      <c r="B3719" s="32" t="s">
        <v>199</v>
      </c>
      <c r="C3719" t="s">
        <v>6</v>
      </c>
      <c r="D3719">
        <f>IF(B3719=$AB$2,$AC$2,$AC$3)</f>
        <v>1</v>
      </c>
      <c r="E3719">
        <f>IF(ISBLANK(C3719),0,VLOOKUP(C3719,$AE$2:$AF$7,2,0))</f>
        <v>1</v>
      </c>
      <c r="F3719">
        <f t="shared" si="123"/>
        <v>1</v>
      </c>
    </row>
    <row r="3720" spans="1:6">
      <c r="A3720" s="30">
        <f t="shared" si="124"/>
        <v>46810</v>
      </c>
      <c r="B3720" s="32" t="s">
        <v>199</v>
      </c>
      <c r="C3720" t="s">
        <v>6</v>
      </c>
      <c r="D3720">
        <f>IF(B3720=$AB$2,$AC$2,$AC$3)</f>
        <v>1</v>
      </c>
      <c r="E3720">
        <f>IF(ISBLANK(C3720),0,VLOOKUP(C3720,$AE$2:$AF$7,2,0))</f>
        <v>1</v>
      </c>
      <c r="F3720">
        <f t="shared" si="123"/>
        <v>1</v>
      </c>
    </row>
    <row r="3721" spans="1:6">
      <c r="A3721" s="30">
        <f t="shared" si="124"/>
        <v>46811</v>
      </c>
      <c r="B3721" s="32" t="s">
        <v>199</v>
      </c>
      <c r="C3721" t="s">
        <v>6</v>
      </c>
      <c r="D3721">
        <f>IF(B3721=$AB$2,$AC$2,$AC$3)</f>
        <v>1</v>
      </c>
      <c r="E3721">
        <f>IF(ISBLANK(C3721),0,VLOOKUP(C3721,$AE$2:$AF$7,2,0))</f>
        <v>1</v>
      </c>
      <c r="F3721">
        <f t="shared" si="123"/>
        <v>1</v>
      </c>
    </row>
    <row r="3722" spans="1:6">
      <c r="A3722" s="30">
        <f t="shared" si="124"/>
        <v>46812</v>
      </c>
      <c r="B3722" s="32" t="s">
        <v>199</v>
      </c>
      <c r="C3722" t="s">
        <v>6</v>
      </c>
      <c r="D3722">
        <f>IF(B3722=$AB$2,$AC$2,$AC$3)</f>
        <v>1</v>
      </c>
      <c r="E3722">
        <f>IF(ISBLANK(C3722),0,VLOOKUP(C3722,$AE$2:$AF$7,2,0))</f>
        <v>1</v>
      </c>
      <c r="F3722">
        <f t="shared" si="123"/>
        <v>1</v>
      </c>
    </row>
    <row r="3723" spans="1:6">
      <c r="A3723" s="30">
        <f t="shared" si="124"/>
        <v>46813</v>
      </c>
      <c r="B3723" s="32" t="s">
        <v>199</v>
      </c>
      <c r="C3723" t="s">
        <v>6</v>
      </c>
      <c r="D3723">
        <f>IF(B3723=$AB$2,$AC$2,$AC$3)</f>
        <v>1</v>
      </c>
      <c r="E3723">
        <f>IF(ISBLANK(C3723),0,VLOOKUP(C3723,$AE$2:$AF$7,2,0))</f>
        <v>1</v>
      </c>
      <c r="F3723">
        <f t="shared" si="123"/>
        <v>1</v>
      </c>
    </row>
    <row r="3724" spans="1:6">
      <c r="A3724" s="30">
        <f t="shared" si="124"/>
        <v>46814</v>
      </c>
      <c r="B3724" s="32" t="s">
        <v>199</v>
      </c>
      <c r="C3724" t="s">
        <v>6</v>
      </c>
      <c r="D3724">
        <f>IF(B3724=$AB$2,$AC$2,$AC$3)</f>
        <v>1</v>
      </c>
      <c r="E3724">
        <f>IF(ISBLANK(C3724),0,VLOOKUP(C3724,$AE$2:$AF$7,2,0))</f>
        <v>1</v>
      </c>
      <c r="F3724">
        <f t="shared" si="123"/>
        <v>1</v>
      </c>
    </row>
    <row r="3725" spans="1:6">
      <c r="A3725" s="30">
        <f t="shared" si="124"/>
        <v>46815</v>
      </c>
      <c r="B3725" s="32" t="s">
        <v>199</v>
      </c>
      <c r="C3725" t="s">
        <v>6</v>
      </c>
      <c r="D3725">
        <f>IF(B3725=$AB$2,$AC$2,$AC$3)</f>
        <v>1</v>
      </c>
      <c r="E3725">
        <f>IF(ISBLANK(C3725),0,VLOOKUP(C3725,$AE$2:$AF$7,2,0))</f>
        <v>1</v>
      </c>
      <c r="F3725">
        <f t="shared" si="123"/>
        <v>1</v>
      </c>
    </row>
    <row r="3726" spans="1:6">
      <c r="A3726" s="30">
        <f t="shared" si="124"/>
        <v>46816</v>
      </c>
      <c r="B3726" s="32" t="s">
        <v>199</v>
      </c>
      <c r="C3726" t="s">
        <v>6</v>
      </c>
      <c r="D3726">
        <f>IF(B3726=$AB$2,$AC$2,$AC$3)</f>
        <v>1</v>
      </c>
      <c r="E3726">
        <f>IF(ISBLANK(C3726),0,VLOOKUP(C3726,$AE$2:$AF$7,2,0))</f>
        <v>1</v>
      </c>
      <c r="F3726">
        <f t="shared" si="123"/>
        <v>1</v>
      </c>
    </row>
    <row r="3727" spans="1:6">
      <c r="A3727" s="30">
        <f t="shared" si="124"/>
        <v>46817</v>
      </c>
      <c r="B3727" s="32" t="s">
        <v>199</v>
      </c>
      <c r="C3727" t="s">
        <v>6</v>
      </c>
      <c r="D3727">
        <f>IF(B3727=$AB$2,$AC$2,$AC$3)</f>
        <v>1</v>
      </c>
      <c r="E3727">
        <f>IF(ISBLANK(C3727),0,VLOOKUP(C3727,$AE$2:$AF$7,2,0))</f>
        <v>1</v>
      </c>
      <c r="F3727">
        <f t="shared" si="123"/>
        <v>1</v>
      </c>
    </row>
    <row r="3728" spans="1:6">
      <c r="A3728" s="30">
        <f t="shared" si="124"/>
        <v>46818</v>
      </c>
      <c r="B3728" s="32" t="s">
        <v>199</v>
      </c>
      <c r="C3728" t="s">
        <v>6</v>
      </c>
      <c r="D3728">
        <f>IF(B3728=$AB$2,$AC$2,$AC$3)</f>
        <v>1</v>
      </c>
      <c r="E3728">
        <f>IF(ISBLANK(C3728),0,VLOOKUP(C3728,$AE$2:$AF$7,2,0))</f>
        <v>1</v>
      </c>
      <c r="F3728">
        <f t="shared" si="123"/>
        <v>1</v>
      </c>
    </row>
    <row r="3729" spans="1:6">
      <c r="A3729" s="30">
        <f t="shared" si="124"/>
        <v>46819</v>
      </c>
      <c r="B3729" s="32" t="s">
        <v>199</v>
      </c>
      <c r="C3729" t="s">
        <v>6</v>
      </c>
      <c r="D3729">
        <f>IF(B3729=$AB$2,$AC$2,$AC$3)</f>
        <v>1</v>
      </c>
      <c r="E3729">
        <f>IF(ISBLANK(C3729),0,VLOOKUP(C3729,$AE$2:$AF$7,2,0))</f>
        <v>1</v>
      </c>
      <c r="F3729">
        <f t="shared" si="123"/>
        <v>1</v>
      </c>
    </row>
    <row r="3730" spans="1:6">
      <c r="A3730" s="30">
        <f t="shared" si="124"/>
        <v>46820</v>
      </c>
      <c r="B3730" s="32" t="s">
        <v>199</v>
      </c>
      <c r="C3730" t="s">
        <v>6</v>
      </c>
      <c r="D3730">
        <f>IF(B3730=$AB$2,$AC$2,$AC$3)</f>
        <v>1</v>
      </c>
      <c r="E3730">
        <f>IF(ISBLANK(C3730),0,VLOOKUP(C3730,$AE$2:$AF$7,2,0))</f>
        <v>1</v>
      </c>
      <c r="F3730">
        <f t="shared" si="123"/>
        <v>1</v>
      </c>
    </row>
    <row r="3731" spans="1:6">
      <c r="A3731" s="30">
        <f t="shared" si="124"/>
        <v>46821</v>
      </c>
      <c r="B3731" s="32" t="s">
        <v>199</v>
      </c>
      <c r="C3731" t="s">
        <v>6</v>
      </c>
      <c r="D3731">
        <f>IF(B3731=$AB$2,$AC$2,$AC$3)</f>
        <v>1</v>
      </c>
      <c r="E3731">
        <f>IF(ISBLANK(C3731),0,VLOOKUP(C3731,$AE$2:$AF$7,2,0))</f>
        <v>1</v>
      </c>
      <c r="F3731">
        <f t="shared" si="123"/>
        <v>1</v>
      </c>
    </row>
    <row r="3732" spans="1:6">
      <c r="A3732" s="30">
        <f t="shared" si="124"/>
        <v>46822</v>
      </c>
      <c r="B3732" s="32" t="s">
        <v>199</v>
      </c>
      <c r="C3732" t="s">
        <v>6</v>
      </c>
      <c r="D3732">
        <f>IF(B3732=$AB$2,$AC$2,$AC$3)</f>
        <v>1</v>
      </c>
      <c r="E3732">
        <f>IF(ISBLANK(C3732),0,VLOOKUP(C3732,$AE$2:$AF$7,2,0))</f>
        <v>1</v>
      </c>
      <c r="F3732">
        <f t="shared" si="123"/>
        <v>1</v>
      </c>
    </row>
    <row r="3733" spans="1:6">
      <c r="A3733" s="30">
        <f t="shared" si="124"/>
        <v>46823</v>
      </c>
      <c r="B3733" s="32" t="s">
        <v>199</v>
      </c>
      <c r="C3733" t="s">
        <v>6</v>
      </c>
      <c r="D3733">
        <f>IF(B3733=$AB$2,$AC$2,$AC$3)</f>
        <v>1</v>
      </c>
      <c r="E3733">
        <f>IF(ISBLANK(C3733),0,VLOOKUP(C3733,$AE$2:$AF$7,2,0))</f>
        <v>1</v>
      </c>
      <c r="F3733">
        <f t="shared" si="123"/>
        <v>1</v>
      </c>
    </row>
    <row r="3734" spans="1:6">
      <c r="A3734" s="30">
        <f t="shared" si="124"/>
        <v>46824</v>
      </c>
      <c r="B3734" s="32" t="s">
        <v>199</v>
      </c>
      <c r="C3734" t="s">
        <v>6</v>
      </c>
      <c r="D3734">
        <f>IF(B3734=$AB$2,$AC$2,$AC$3)</f>
        <v>1</v>
      </c>
      <c r="E3734">
        <f>IF(ISBLANK(C3734),0,VLOOKUP(C3734,$AE$2:$AF$7,2,0))</f>
        <v>1</v>
      </c>
      <c r="F3734">
        <f t="shared" si="123"/>
        <v>1</v>
      </c>
    </row>
    <row r="3735" spans="1:6">
      <c r="A3735" s="30">
        <f t="shared" si="124"/>
        <v>46825</v>
      </c>
      <c r="B3735" s="32" t="s">
        <v>199</v>
      </c>
      <c r="C3735" t="s">
        <v>6</v>
      </c>
      <c r="D3735">
        <f>IF(B3735=$AB$2,$AC$2,$AC$3)</f>
        <v>1</v>
      </c>
      <c r="E3735">
        <f>IF(ISBLANK(C3735),0,VLOOKUP(C3735,$AE$2:$AF$7,2,0))</f>
        <v>1</v>
      </c>
      <c r="F3735">
        <f t="shared" si="123"/>
        <v>1</v>
      </c>
    </row>
    <row r="3736" spans="1:6">
      <c r="A3736" s="30">
        <f t="shared" si="124"/>
        <v>46826</v>
      </c>
      <c r="B3736" s="32" t="s">
        <v>199</v>
      </c>
      <c r="C3736" t="s">
        <v>6</v>
      </c>
      <c r="D3736">
        <f>IF(B3736=$AB$2,$AC$2,$AC$3)</f>
        <v>1</v>
      </c>
      <c r="E3736">
        <f>IF(ISBLANK(C3736),0,VLOOKUP(C3736,$AE$2:$AF$7,2,0))</f>
        <v>1</v>
      </c>
      <c r="F3736">
        <f t="shared" si="123"/>
        <v>1</v>
      </c>
    </row>
    <row r="3737" spans="1:6">
      <c r="A3737" s="30">
        <f t="shared" si="124"/>
        <v>46827</v>
      </c>
      <c r="B3737" s="32" t="s">
        <v>199</v>
      </c>
      <c r="C3737" t="s">
        <v>6</v>
      </c>
      <c r="D3737">
        <f>IF(B3737=$AB$2,$AC$2,$AC$3)</f>
        <v>1</v>
      </c>
      <c r="E3737">
        <f>IF(ISBLANK(C3737),0,VLOOKUP(C3737,$AE$2:$AF$7,2,0))</f>
        <v>1</v>
      </c>
      <c r="F3737">
        <f t="shared" si="123"/>
        <v>1</v>
      </c>
    </row>
    <row r="3738" spans="1:6">
      <c r="A3738" s="30">
        <f t="shared" si="124"/>
        <v>46828</v>
      </c>
      <c r="B3738" s="32" t="s">
        <v>199</v>
      </c>
      <c r="C3738" t="s">
        <v>6</v>
      </c>
      <c r="D3738">
        <f>IF(B3738=$AB$2,$AC$2,$AC$3)</f>
        <v>1</v>
      </c>
      <c r="E3738">
        <f>IF(ISBLANK(C3738),0,VLOOKUP(C3738,$AE$2:$AF$7,2,0))</f>
        <v>1</v>
      </c>
      <c r="F3738">
        <f t="shared" si="123"/>
        <v>1</v>
      </c>
    </row>
    <row r="3739" spans="1:6">
      <c r="A3739" s="30">
        <f t="shared" si="124"/>
        <v>46829</v>
      </c>
      <c r="B3739" s="32" t="s">
        <v>199</v>
      </c>
      <c r="C3739" t="s">
        <v>6</v>
      </c>
      <c r="D3739">
        <f>IF(B3739=$AB$2,$AC$2,$AC$3)</f>
        <v>1</v>
      </c>
      <c r="E3739">
        <f>IF(ISBLANK(C3739),0,VLOOKUP(C3739,$AE$2:$AF$7,2,0))</f>
        <v>1</v>
      </c>
      <c r="F3739">
        <f t="shared" si="123"/>
        <v>1</v>
      </c>
    </row>
    <row r="3740" spans="1:6">
      <c r="A3740" s="30">
        <f t="shared" si="124"/>
        <v>46830</v>
      </c>
      <c r="B3740" s="32" t="s">
        <v>199</v>
      </c>
      <c r="C3740" t="s">
        <v>6</v>
      </c>
      <c r="D3740">
        <f>IF(B3740=$AB$2,$AC$2,$AC$3)</f>
        <v>1</v>
      </c>
      <c r="E3740">
        <f>IF(ISBLANK(C3740),0,VLOOKUP(C3740,$AE$2:$AF$7,2,0))</f>
        <v>1</v>
      </c>
      <c r="F3740">
        <f t="shared" si="123"/>
        <v>1</v>
      </c>
    </row>
    <row r="3741" spans="1:6">
      <c r="A3741" s="30">
        <f t="shared" si="124"/>
        <v>46831</v>
      </c>
      <c r="B3741" s="32" t="s">
        <v>199</v>
      </c>
      <c r="C3741" t="s">
        <v>6</v>
      </c>
      <c r="D3741">
        <f>IF(B3741=$AB$2,$AC$2,$AC$3)</f>
        <v>1</v>
      </c>
      <c r="E3741">
        <f>IF(ISBLANK(C3741),0,VLOOKUP(C3741,$AE$2:$AF$7,2,0))</f>
        <v>1</v>
      </c>
      <c r="F3741">
        <f t="shared" si="123"/>
        <v>1</v>
      </c>
    </row>
    <row r="3742" spans="1:6">
      <c r="A3742" s="30">
        <f t="shared" si="124"/>
        <v>46832</v>
      </c>
      <c r="B3742" s="32" t="s">
        <v>199</v>
      </c>
      <c r="C3742" t="s">
        <v>6</v>
      </c>
      <c r="D3742">
        <f>IF(B3742=$AB$2,$AC$2,$AC$3)</f>
        <v>1</v>
      </c>
      <c r="E3742">
        <f>IF(ISBLANK(C3742),0,VLOOKUP(C3742,$AE$2:$AF$7,2,0))</f>
        <v>1</v>
      </c>
      <c r="F3742">
        <f t="shared" si="123"/>
        <v>1</v>
      </c>
    </row>
    <row r="3743" spans="1:6">
      <c r="A3743" s="30">
        <f t="shared" si="124"/>
        <v>46833</v>
      </c>
      <c r="B3743" s="32" t="s">
        <v>199</v>
      </c>
      <c r="C3743" t="s">
        <v>6</v>
      </c>
      <c r="D3743">
        <f>IF(B3743=$AB$2,$AC$2,$AC$3)</f>
        <v>1</v>
      </c>
      <c r="E3743">
        <f>IF(ISBLANK(C3743),0,VLOOKUP(C3743,$AE$2:$AF$7,2,0))</f>
        <v>1</v>
      </c>
      <c r="F3743">
        <f t="shared" si="123"/>
        <v>1</v>
      </c>
    </row>
    <row r="3744" spans="1:6">
      <c r="A3744" s="30">
        <f t="shared" si="124"/>
        <v>46834</v>
      </c>
      <c r="B3744" s="32" t="s">
        <v>199</v>
      </c>
      <c r="C3744" t="s">
        <v>6</v>
      </c>
      <c r="D3744">
        <f>IF(B3744=$AB$2,$AC$2,$AC$3)</f>
        <v>1</v>
      </c>
      <c r="E3744">
        <f>IF(ISBLANK(C3744),0,VLOOKUP(C3744,$AE$2:$AF$7,2,0))</f>
        <v>1</v>
      </c>
      <c r="F3744">
        <f t="shared" si="123"/>
        <v>1</v>
      </c>
    </row>
    <row r="3745" spans="1:6">
      <c r="A3745" s="30">
        <f t="shared" si="124"/>
        <v>46835</v>
      </c>
      <c r="B3745" s="32" t="s">
        <v>199</v>
      </c>
      <c r="C3745" t="s">
        <v>6</v>
      </c>
      <c r="D3745">
        <f>IF(B3745=$AB$2,$AC$2,$AC$3)</f>
        <v>1</v>
      </c>
      <c r="E3745">
        <f>IF(ISBLANK(C3745),0,VLOOKUP(C3745,$AE$2:$AF$7,2,0))</f>
        <v>1</v>
      </c>
      <c r="F3745">
        <f t="shared" si="123"/>
        <v>1</v>
      </c>
    </row>
    <row r="3746" spans="1:6">
      <c r="A3746" s="30">
        <f t="shared" si="124"/>
        <v>46836</v>
      </c>
      <c r="B3746" s="32" t="s">
        <v>199</v>
      </c>
      <c r="C3746" t="s">
        <v>6</v>
      </c>
      <c r="D3746">
        <f>IF(B3746=$AB$2,$AC$2,$AC$3)</f>
        <v>1</v>
      </c>
      <c r="E3746">
        <f>IF(ISBLANK(C3746),0,VLOOKUP(C3746,$AE$2:$AF$7,2,0))</f>
        <v>1</v>
      </c>
      <c r="F3746">
        <f t="shared" si="123"/>
        <v>1</v>
      </c>
    </row>
    <row r="3747" spans="1:6">
      <c r="A3747" s="30">
        <f t="shared" si="124"/>
        <v>46837</v>
      </c>
      <c r="B3747" s="32" t="s">
        <v>199</v>
      </c>
      <c r="C3747" t="s">
        <v>6</v>
      </c>
      <c r="D3747">
        <f>IF(B3747=$AB$2,$AC$2,$AC$3)</f>
        <v>1</v>
      </c>
      <c r="E3747">
        <f>IF(ISBLANK(C3747),0,VLOOKUP(C3747,$AE$2:$AF$7,2,0))</f>
        <v>1</v>
      </c>
      <c r="F3747">
        <f t="shared" si="123"/>
        <v>1</v>
      </c>
    </row>
    <row r="3748" spans="1:6">
      <c r="A3748" s="30">
        <f t="shared" si="124"/>
        <v>46838</v>
      </c>
      <c r="B3748" s="32" t="s">
        <v>199</v>
      </c>
      <c r="C3748" t="s">
        <v>6</v>
      </c>
      <c r="D3748">
        <f>IF(B3748=$AB$2,$AC$2,$AC$3)</f>
        <v>1</v>
      </c>
      <c r="E3748">
        <f>IF(ISBLANK(C3748),0,VLOOKUP(C3748,$AE$2:$AF$7,2,0))</f>
        <v>1</v>
      </c>
      <c r="F3748">
        <f t="shared" si="123"/>
        <v>1</v>
      </c>
    </row>
    <row r="3749" spans="1:6">
      <c r="A3749" s="30">
        <f t="shared" si="124"/>
        <v>46839</v>
      </c>
      <c r="B3749" s="32" t="s">
        <v>199</v>
      </c>
      <c r="C3749" t="s">
        <v>6</v>
      </c>
      <c r="D3749">
        <f>IF(B3749=$AB$2,$AC$2,$AC$3)</f>
        <v>1</v>
      </c>
      <c r="E3749">
        <f>IF(ISBLANK(C3749),0,VLOOKUP(C3749,$AE$2:$AF$7,2,0))</f>
        <v>1</v>
      </c>
      <c r="F3749">
        <f t="shared" si="123"/>
        <v>1</v>
      </c>
    </row>
    <row r="3750" spans="1:6">
      <c r="A3750" s="30">
        <f t="shared" si="124"/>
        <v>46840</v>
      </c>
      <c r="B3750" s="32" t="s">
        <v>199</v>
      </c>
      <c r="C3750" t="s">
        <v>6</v>
      </c>
      <c r="D3750">
        <f>IF(B3750=$AB$2,$AC$2,$AC$3)</f>
        <v>1</v>
      </c>
      <c r="E3750">
        <f>IF(ISBLANK(C3750),0,VLOOKUP(C3750,$AE$2:$AF$7,2,0))</f>
        <v>1</v>
      </c>
      <c r="F3750">
        <f t="shared" si="123"/>
        <v>1</v>
      </c>
    </row>
    <row r="3751" spans="1:6">
      <c r="A3751" s="30">
        <f t="shared" si="124"/>
        <v>46841</v>
      </c>
      <c r="B3751" s="32" t="s">
        <v>199</v>
      </c>
      <c r="C3751" t="s">
        <v>6</v>
      </c>
      <c r="D3751">
        <f>IF(B3751=$AB$2,$AC$2,$AC$3)</f>
        <v>1</v>
      </c>
      <c r="E3751">
        <f>IF(ISBLANK(C3751),0,VLOOKUP(C3751,$AE$2:$AF$7,2,0))</f>
        <v>1</v>
      </c>
      <c r="F3751">
        <f t="shared" si="123"/>
        <v>1</v>
      </c>
    </row>
    <row r="3752" spans="1:6">
      <c r="A3752" s="30">
        <f t="shared" si="124"/>
        <v>46842</v>
      </c>
      <c r="B3752" s="32" t="s">
        <v>199</v>
      </c>
      <c r="C3752" t="s">
        <v>6</v>
      </c>
      <c r="D3752">
        <f>IF(B3752=$AB$2,$AC$2,$AC$3)</f>
        <v>1</v>
      </c>
      <c r="E3752">
        <f>IF(ISBLANK(C3752),0,VLOOKUP(C3752,$AE$2:$AF$7,2,0))</f>
        <v>1</v>
      </c>
      <c r="F3752">
        <f t="shared" si="123"/>
        <v>1</v>
      </c>
    </row>
    <row r="3753" spans="1:6">
      <c r="A3753" s="30">
        <f t="shared" si="124"/>
        <v>46843</v>
      </c>
      <c r="B3753" s="32" t="s">
        <v>199</v>
      </c>
      <c r="C3753" t="s">
        <v>6</v>
      </c>
      <c r="D3753">
        <f>IF(B3753=$AB$2,$AC$2,$AC$3)</f>
        <v>1</v>
      </c>
      <c r="E3753">
        <f>IF(ISBLANK(C3753),0,VLOOKUP(C3753,$AE$2:$AF$7,2,0))</f>
        <v>1</v>
      </c>
      <c r="F3753">
        <f t="shared" si="123"/>
        <v>1</v>
      </c>
    </row>
    <row r="3754" spans="1:6">
      <c r="A3754" s="30">
        <f t="shared" si="124"/>
        <v>46844</v>
      </c>
      <c r="B3754" s="32" t="s">
        <v>199</v>
      </c>
      <c r="C3754" t="s">
        <v>6</v>
      </c>
      <c r="D3754">
        <f>IF(B3754=$AB$2,$AC$2,$AC$3)</f>
        <v>1</v>
      </c>
      <c r="E3754">
        <f>IF(ISBLANK(C3754),0,VLOOKUP(C3754,$AE$2:$AF$7,2,0))</f>
        <v>1</v>
      </c>
      <c r="F3754">
        <f t="shared" si="123"/>
        <v>1</v>
      </c>
    </row>
    <row r="3755" spans="1:6">
      <c r="A3755" s="30">
        <f t="shared" si="124"/>
        <v>46845</v>
      </c>
      <c r="B3755" s="32" t="s">
        <v>199</v>
      </c>
      <c r="C3755" t="s">
        <v>6</v>
      </c>
      <c r="D3755">
        <f>IF(B3755=$AB$2,$AC$2,$AC$3)</f>
        <v>1</v>
      </c>
      <c r="E3755">
        <f>IF(ISBLANK(C3755),0,VLOOKUP(C3755,$AE$2:$AF$7,2,0))</f>
        <v>1</v>
      </c>
      <c r="F3755">
        <f t="shared" si="123"/>
        <v>1</v>
      </c>
    </row>
    <row r="3756" spans="1:6">
      <c r="A3756" s="30">
        <f t="shared" si="124"/>
        <v>46846</v>
      </c>
      <c r="B3756" s="32" t="s">
        <v>199</v>
      </c>
      <c r="C3756" t="s">
        <v>6</v>
      </c>
      <c r="D3756">
        <f>IF(B3756=$AB$2,$AC$2,$AC$3)</f>
        <v>1</v>
      </c>
      <c r="E3756">
        <f>IF(ISBLANK(C3756),0,VLOOKUP(C3756,$AE$2:$AF$7,2,0))</f>
        <v>1</v>
      </c>
      <c r="F3756">
        <f t="shared" si="123"/>
        <v>1</v>
      </c>
    </row>
    <row r="3757" spans="1:6">
      <c r="A3757" s="30">
        <f t="shared" si="124"/>
        <v>46847</v>
      </c>
      <c r="B3757" s="32" t="s">
        <v>199</v>
      </c>
      <c r="C3757" t="s">
        <v>6</v>
      </c>
      <c r="D3757">
        <f>IF(B3757=$AB$2,$AC$2,$AC$3)</f>
        <v>1</v>
      </c>
      <c r="E3757">
        <f>IF(ISBLANK(C3757),0,VLOOKUP(C3757,$AE$2:$AF$7,2,0))</f>
        <v>1</v>
      </c>
      <c r="F3757">
        <f t="shared" si="123"/>
        <v>1</v>
      </c>
    </row>
    <row r="3758" spans="1:6">
      <c r="A3758" s="30">
        <f t="shared" si="124"/>
        <v>46848</v>
      </c>
      <c r="B3758" s="32" t="s">
        <v>199</v>
      </c>
      <c r="C3758" t="s">
        <v>6</v>
      </c>
      <c r="D3758">
        <f>IF(B3758=$AB$2,$AC$2,$AC$3)</f>
        <v>1</v>
      </c>
      <c r="E3758">
        <f>IF(ISBLANK(C3758),0,VLOOKUP(C3758,$AE$2:$AF$7,2,0))</f>
        <v>1</v>
      </c>
      <c r="F3758">
        <f t="shared" si="123"/>
        <v>1</v>
      </c>
    </row>
    <row r="3759" spans="1:6">
      <c r="A3759" s="30">
        <f t="shared" si="124"/>
        <v>46849</v>
      </c>
      <c r="B3759" s="32" t="s">
        <v>199</v>
      </c>
      <c r="C3759" t="s">
        <v>6</v>
      </c>
      <c r="D3759">
        <f>IF(B3759=$AB$2,$AC$2,$AC$3)</f>
        <v>1</v>
      </c>
      <c r="E3759">
        <f>IF(ISBLANK(C3759),0,VLOOKUP(C3759,$AE$2:$AF$7,2,0))</f>
        <v>1</v>
      </c>
      <c r="F3759">
        <f t="shared" si="123"/>
        <v>1</v>
      </c>
    </row>
    <row r="3760" spans="1:6">
      <c r="A3760" s="30">
        <f t="shared" si="124"/>
        <v>46850</v>
      </c>
      <c r="B3760" s="32" t="s">
        <v>199</v>
      </c>
      <c r="C3760" t="s">
        <v>6</v>
      </c>
      <c r="D3760">
        <f>IF(B3760=$AB$2,$AC$2,$AC$3)</f>
        <v>1</v>
      </c>
      <c r="E3760">
        <f>IF(ISBLANK(C3760),0,VLOOKUP(C3760,$AE$2:$AF$7,2,0))</f>
        <v>1</v>
      </c>
      <c r="F3760">
        <f t="shared" si="123"/>
        <v>1</v>
      </c>
    </row>
    <row r="3761" spans="1:6">
      <c r="A3761" s="30">
        <f t="shared" si="124"/>
        <v>46851</v>
      </c>
      <c r="B3761" s="32" t="s">
        <v>199</v>
      </c>
      <c r="C3761" t="s">
        <v>6</v>
      </c>
      <c r="D3761">
        <f>IF(B3761=$AB$2,$AC$2,$AC$3)</f>
        <v>1</v>
      </c>
      <c r="E3761">
        <f>IF(ISBLANK(C3761),0,VLOOKUP(C3761,$AE$2:$AF$7,2,0))</f>
        <v>1</v>
      </c>
      <c r="F3761">
        <f t="shared" si="123"/>
        <v>1</v>
      </c>
    </row>
    <row r="3762" spans="1:6">
      <c r="A3762" s="30">
        <f t="shared" si="124"/>
        <v>46852</v>
      </c>
      <c r="B3762" s="32" t="s">
        <v>199</v>
      </c>
      <c r="C3762" t="s">
        <v>6</v>
      </c>
      <c r="D3762">
        <f>IF(B3762=$AB$2,$AC$2,$AC$3)</f>
        <v>1</v>
      </c>
      <c r="E3762">
        <f>IF(ISBLANK(C3762),0,VLOOKUP(C3762,$AE$2:$AF$7,2,0))</f>
        <v>1</v>
      </c>
      <c r="F3762">
        <f t="shared" si="123"/>
        <v>1</v>
      </c>
    </row>
    <row r="3763" spans="1:6">
      <c r="A3763" s="30">
        <f t="shared" si="124"/>
        <v>46853</v>
      </c>
      <c r="B3763" s="32" t="s">
        <v>199</v>
      </c>
      <c r="C3763" t="s">
        <v>6</v>
      </c>
      <c r="D3763">
        <f>IF(B3763=$AB$2,$AC$2,$AC$3)</f>
        <v>1</v>
      </c>
      <c r="E3763">
        <f>IF(ISBLANK(C3763),0,VLOOKUP(C3763,$AE$2:$AF$7,2,0))</f>
        <v>1</v>
      </c>
      <c r="F3763">
        <f t="shared" si="123"/>
        <v>1</v>
      </c>
    </row>
    <row r="3764" spans="1:6">
      <c r="A3764" s="30">
        <f t="shared" si="124"/>
        <v>46854</v>
      </c>
      <c r="B3764" s="32" t="s">
        <v>199</v>
      </c>
      <c r="C3764" t="s">
        <v>6</v>
      </c>
      <c r="D3764">
        <f>IF(B3764=$AB$2,$AC$2,$AC$3)</f>
        <v>1</v>
      </c>
      <c r="E3764">
        <f>IF(ISBLANK(C3764),0,VLOOKUP(C3764,$AE$2:$AF$7,2,0))</f>
        <v>1</v>
      </c>
      <c r="F3764">
        <f t="shared" si="123"/>
        <v>1</v>
      </c>
    </row>
    <row r="3765" spans="1:6">
      <c r="A3765" s="30">
        <f>A3764+1</f>
        <v>46855</v>
      </c>
      <c r="B3765" s="32" t="s">
        <v>199</v>
      </c>
      <c r="C3765" t="s">
        <v>6</v>
      </c>
      <c r="D3765">
        <f>IF(B3765=$AB$2,$AC$2,$AC$3)</f>
        <v>1</v>
      </c>
      <c r="E3765">
        <f>IF(ISBLANK(C3765),0,VLOOKUP(C3765,$AE$2:$AF$7,2,0))</f>
        <v>1</v>
      </c>
      <c r="F3765">
        <f t="shared" si="123"/>
        <v>1</v>
      </c>
    </row>
    <row r="3766" spans="1:6">
      <c r="A3766" s="30">
        <f t="shared" ref="A3766:A3829" si="125">A3765+1</f>
        <v>46856</v>
      </c>
      <c r="B3766" s="32" t="s">
        <v>199</v>
      </c>
      <c r="C3766" t="s">
        <v>6</v>
      </c>
      <c r="D3766">
        <f>IF(B3766=$AB$2,$AC$2,$AC$3)</f>
        <v>1</v>
      </c>
      <c r="E3766">
        <f>IF(ISBLANK(C3766),0,VLOOKUP(C3766,$AE$2:$AF$7,2,0))</f>
        <v>1</v>
      </c>
      <c r="F3766">
        <f t="shared" si="123"/>
        <v>1</v>
      </c>
    </row>
    <row r="3767" spans="1:6">
      <c r="A3767" s="30">
        <f t="shared" si="125"/>
        <v>46857</v>
      </c>
      <c r="B3767" s="32" t="s">
        <v>199</v>
      </c>
      <c r="C3767" t="s">
        <v>6</v>
      </c>
      <c r="D3767">
        <f>IF(B3767=$AB$2,$AC$2,$AC$3)</f>
        <v>1</v>
      </c>
      <c r="E3767">
        <f>IF(ISBLANK(C3767),0,VLOOKUP(C3767,$AE$2:$AF$7,2,0))</f>
        <v>1</v>
      </c>
      <c r="F3767">
        <f t="shared" si="123"/>
        <v>1</v>
      </c>
    </row>
    <row r="3768" spans="1:6">
      <c r="A3768" s="30">
        <f t="shared" si="125"/>
        <v>46858</v>
      </c>
      <c r="B3768" s="32" t="s">
        <v>199</v>
      </c>
      <c r="C3768" t="s">
        <v>6</v>
      </c>
      <c r="D3768">
        <f>IF(B3768=$AB$2,$AC$2,$AC$3)</f>
        <v>1</v>
      </c>
      <c r="E3768">
        <f>IF(ISBLANK(C3768),0,VLOOKUP(C3768,$AE$2:$AF$7,2,0))</f>
        <v>1</v>
      </c>
      <c r="F3768">
        <f t="shared" si="123"/>
        <v>1</v>
      </c>
    </row>
    <row r="3769" spans="1:6">
      <c r="A3769" s="30">
        <f t="shared" si="125"/>
        <v>46859</v>
      </c>
      <c r="B3769" s="32" t="s">
        <v>199</v>
      </c>
      <c r="C3769" t="s">
        <v>6</v>
      </c>
      <c r="D3769">
        <f>IF(B3769=$AB$2,$AC$2,$AC$3)</f>
        <v>1</v>
      </c>
      <c r="E3769">
        <f>IF(ISBLANK(C3769),0,VLOOKUP(C3769,$AE$2:$AF$7,2,0))</f>
        <v>1</v>
      </c>
      <c r="F3769">
        <f t="shared" si="123"/>
        <v>1</v>
      </c>
    </row>
    <row r="3770" spans="1:6">
      <c r="A3770" s="30">
        <f t="shared" si="125"/>
        <v>46860</v>
      </c>
      <c r="B3770" s="32" t="s">
        <v>199</v>
      </c>
      <c r="C3770" t="s">
        <v>6</v>
      </c>
      <c r="D3770">
        <f>IF(B3770=$AB$2,$AC$2,$AC$3)</f>
        <v>1</v>
      </c>
      <c r="E3770">
        <f>IF(ISBLANK(C3770),0,VLOOKUP(C3770,$AE$2:$AF$7,2,0))</f>
        <v>1</v>
      </c>
      <c r="F3770">
        <f t="shared" si="123"/>
        <v>1</v>
      </c>
    </row>
    <row r="3771" spans="1:6">
      <c r="A3771" s="30">
        <f t="shared" si="125"/>
        <v>46861</v>
      </c>
      <c r="B3771" s="32" t="s">
        <v>199</v>
      </c>
      <c r="C3771" t="s">
        <v>6</v>
      </c>
      <c r="D3771">
        <f>IF(B3771=$AB$2,$AC$2,$AC$3)</f>
        <v>1</v>
      </c>
      <c r="E3771">
        <f>IF(ISBLANK(C3771),0,VLOOKUP(C3771,$AE$2:$AF$7,2,0))</f>
        <v>1</v>
      </c>
      <c r="F3771">
        <f t="shared" si="123"/>
        <v>1</v>
      </c>
    </row>
    <row r="3772" spans="1:6">
      <c r="A3772" s="30">
        <f t="shared" si="125"/>
        <v>46862</v>
      </c>
      <c r="B3772" s="32" t="s">
        <v>199</v>
      </c>
      <c r="C3772" t="s">
        <v>6</v>
      </c>
      <c r="D3772">
        <f>IF(B3772=$AB$2,$AC$2,$AC$3)</f>
        <v>1</v>
      </c>
      <c r="E3772">
        <f>IF(ISBLANK(C3772),0,VLOOKUP(C3772,$AE$2:$AF$7,2,0))</f>
        <v>1</v>
      </c>
      <c r="F3772">
        <f t="shared" si="123"/>
        <v>1</v>
      </c>
    </row>
    <row r="3773" spans="1:6">
      <c r="A3773" s="30">
        <f t="shared" si="125"/>
        <v>46863</v>
      </c>
      <c r="B3773" s="32" t="s">
        <v>199</v>
      </c>
      <c r="C3773" t="s">
        <v>6</v>
      </c>
      <c r="D3773">
        <f>IF(B3773=$AB$2,$AC$2,$AC$3)</f>
        <v>1</v>
      </c>
      <c r="E3773">
        <f>IF(ISBLANK(C3773),0,VLOOKUP(C3773,$AE$2:$AF$7,2,0))</f>
        <v>1</v>
      </c>
      <c r="F3773">
        <f t="shared" si="123"/>
        <v>1</v>
      </c>
    </row>
    <row r="3774" spans="1:6">
      <c r="A3774" s="30">
        <f t="shared" si="125"/>
        <v>46864</v>
      </c>
      <c r="B3774" s="32" t="s">
        <v>199</v>
      </c>
      <c r="C3774" t="s">
        <v>6</v>
      </c>
      <c r="D3774">
        <f>IF(B3774=$AB$2,$AC$2,$AC$3)</f>
        <v>1</v>
      </c>
      <c r="E3774">
        <f>IF(ISBLANK(C3774),0,VLOOKUP(C3774,$AE$2:$AF$7,2,0))</f>
        <v>1</v>
      </c>
      <c r="F3774">
        <f t="shared" si="123"/>
        <v>1</v>
      </c>
    </row>
    <row r="3775" spans="1:6">
      <c r="A3775" s="30">
        <f t="shared" si="125"/>
        <v>46865</v>
      </c>
      <c r="B3775" s="32" t="s">
        <v>199</v>
      </c>
      <c r="C3775" t="s">
        <v>6</v>
      </c>
      <c r="D3775">
        <f>IF(B3775=$AB$2,$AC$2,$AC$3)</f>
        <v>1</v>
      </c>
      <c r="E3775">
        <f>IF(ISBLANK(C3775),0,VLOOKUP(C3775,$AE$2:$AF$7,2,0))</f>
        <v>1</v>
      </c>
      <c r="F3775">
        <f t="shared" si="123"/>
        <v>1</v>
      </c>
    </row>
    <row r="3776" spans="1:6">
      <c r="A3776" s="30">
        <f t="shared" si="125"/>
        <v>46866</v>
      </c>
      <c r="B3776" s="32" t="s">
        <v>199</v>
      </c>
      <c r="C3776" t="s">
        <v>6</v>
      </c>
      <c r="D3776">
        <f>IF(B3776=$AB$2,$AC$2,$AC$3)</f>
        <v>1</v>
      </c>
      <c r="E3776">
        <f>IF(ISBLANK(C3776),0,VLOOKUP(C3776,$AE$2:$AF$7,2,0))</f>
        <v>1</v>
      </c>
      <c r="F3776">
        <f t="shared" si="123"/>
        <v>1</v>
      </c>
    </row>
    <row r="3777" spans="1:6">
      <c r="A3777" s="30">
        <f t="shared" si="125"/>
        <v>46867</v>
      </c>
      <c r="B3777" s="32" t="s">
        <v>199</v>
      </c>
      <c r="C3777" t="s">
        <v>6</v>
      </c>
      <c r="D3777">
        <f>IF(B3777=$AB$2,$AC$2,$AC$3)</f>
        <v>1</v>
      </c>
      <c r="E3777">
        <f>IF(ISBLANK(C3777),0,VLOOKUP(C3777,$AE$2:$AF$7,2,0))</f>
        <v>1</v>
      </c>
      <c r="F3777">
        <f t="shared" si="123"/>
        <v>1</v>
      </c>
    </row>
    <row r="3778" spans="1:6">
      <c r="A3778" s="30">
        <f t="shared" si="125"/>
        <v>46868</v>
      </c>
      <c r="B3778" s="32" t="s">
        <v>199</v>
      </c>
      <c r="C3778" t="s">
        <v>6</v>
      </c>
      <c r="D3778">
        <f>IF(B3778=$AB$2,$AC$2,$AC$3)</f>
        <v>1</v>
      </c>
      <c r="E3778">
        <f>IF(ISBLANK(C3778),0,VLOOKUP(C3778,$AE$2:$AF$7,2,0))</f>
        <v>1</v>
      </c>
      <c r="F3778">
        <f t="shared" si="123"/>
        <v>1</v>
      </c>
    </row>
    <row r="3779" spans="1:6">
      <c r="A3779" s="30">
        <f t="shared" si="125"/>
        <v>46869</v>
      </c>
      <c r="B3779" s="32" t="s">
        <v>199</v>
      </c>
      <c r="C3779" t="s">
        <v>6</v>
      </c>
      <c r="D3779">
        <f>IF(B3779=$AB$2,$AC$2,$AC$3)</f>
        <v>1</v>
      </c>
      <c r="E3779">
        <f>IF(ISBLANK(C3779),0,VLOOKUP(C3779,$AE$2:$AF$7,2,0))</f>
        <v>1</v>
      </c>
      <c r="F3779">
        <f t="shared" ref="F3779:F3842" si="126">D3779*E3779</f>
        <v>1</v>
      </c>
    </row>
    <row r="3780" spans="1:6">
      <c r="A3780" s="30">
        <f t="shared" si="125"/>
        <v>46870</v>
      </c>
      <c r="B3780" s="32" t="s">
        <v>199</v>
      </c>
      <c r="C3780" t="s">
        <v>6</v>
      </c>
      <c r="D3780">
        <f>IF(B3780=$AB$2,$AC$2,$AC$3)</f>
        <v>1</v>
      </c>
      <c r="E3780">
        <f>IF(ISBLANK(C3780),0,VLOOKUP(C3780,$AE$2:$AF$7,2,0))</f>
        <v>1</v>
      </c>
      <c r="F3780">
        <f t="shared" si="126"/>
        <v>1</v>
      </c>
    </row>
    <row r="3781" spans="1:6">
      <c r="A3781" s="30">
        <f t="shared" si="125"/>
        <v>46871</v>
      </c>
      <c r="B3781" s="32" t="s">
        <v>199</v>
      </c>
      <c r="C3781" t="s">
        <v>6</v>
      </c>
      <c r="D3781">
        <f>IF(B3781=$AB$2,$AC$2,$AC$3)</f>
        <v>1</v>
      </c>
      <c r="E3781">
        <f>IF(ISBLANK(C3781),0,VLOOKUP(C3781,$AE$2:$AF$7,2,0))</f>
        <v>1</v>
      </c>
      <c r="F3781">
        <f t="shared" si="126"/>
        <v>1</v>
      </c>
    </row>
    <row r="3782" spans="1:6">
      <c r="A3782" s="30">
        <f t="shared" si="125"/>
        <v>46872</v>
      </c>
      <c r="B3782" s="32" t="s">
        <v>199</v>
      </c>
      <c r="C3782" t="s">
        <v>6</v>
      </c>
      <c r="D3782">
        <f>IF(B3782=$AB$2,$AC$2,$AC$3)</f>
        <v>1</v>
      </c>
      <c r="E3782">
        <f>IF(ISBLANK(C3782),0,VLOOKUP(C3782,$AE$2:$AF$7,2,0))</f>
        <v>1</v>
      </c>
      <c r="F3782">
        <f t="shared" si="126"/>
        <v>1</v>
      </c>
    </row>
    <row r="3783" spans="1:6">
      <c r="A3783" s="30">
        <f t="shared" si="125"/>
        <v>46873</v>
      </c>
      <c r="B3783" s="32" t="s">
        <v>199</v>
      </c>
      <c r="C3783" t="s">
        <v>6</v>
      </c>
      <c r="D3783">
        <f>IF(B3783=$AB$2,$AC$2,$AC$3)</f>
        <v>1</v>
      </c>
      <c r="E3783">
        <f>IF(ISBLANK(C3783),0,VLOOKUP(C3783,$AE$2:$AF$7,2,0))</f>
        <v>1</v>
      </c>
      <c r="F3783">
        <f t="shared" si="126"/>
        <v>1</v>
      </c>
    </row>
    <row r="3784" spans="1:6">
      <c r="A3784" s="30">
        <f t="shared" si="125"/>
        <v>46874</v>
      </c>
      <c r="B3784" s="32" t="s">
        <v>199</v>
      </c>
      <c r="C3784" t="s">
        <v>6</v>
      </c>
      <c r="D3784">
        <f>IF(B3784=$AB$2,$AC$2,$AC$3)</f>
        <v>1</v>
      </c>
      <c r="E3784">
        <f>IF(ISBLANK(C3784),0,VLOOKUP(C3784,$AE$2:$AF$7,2,0))</f>
        <v>1</v>
      </c>
      <c r="F3784">
        <f t="shared" si="126"/>
        <v>1</v>
      </c>
    </row>
    <row r="3785" spans="1:6">
      <c r="A3785" s="30">
        <f t="shared" si="125"/>
        <v>46875</v>
      </c>
      <c r="B3785" s="32" t="s">
        <v>199</v>
      </c>
      <c r="C3785" t="s">
        <v>6</v>
      </c>
      <c r="D3785">
        <f>IF(B3785=$AB$2,$AC$2,$AC$3)</f>
        <v>1</v>
      </c>
      <c r="E3785">
        <f>IF(ISBLANK(C3785),0,VLOOKUP(C3785,$AE$2:$AF$7,2,0))</f>
        <v>1</v>
      </c>
      <c r="F3785">
        <f t="shared" si="126"/>
        <v>1</v>
      </c>
    </row>
    <row r="3786" spans="1:6">
      <c r="A3786" s="30">
        <f t="shared" si="125"/>
        <v>46876</v>
      </c>
      <c r="B3786" s="32" t="s">
        <v>199</v>
      </c>
      <c r="C3786" t="s">
        <v>6</v>
      </c>
      <c r="D3786">
        <f>IF(B3786=$AB$2,$AC$2,$AC$3)</f>
        <v>1</v>
      </c>
      <c r="E3786">
        <f>IF(ISBLANK(C3786),0,VLOOKUP(C3786,$AE$2:$AF$7,2,0))</f>
        <v>1</v>
      </c>
      <c r="F3786">
        <f t="shared" si="126"/>
        <v>1</v>
      </c>
    </row>
    <row r="3787" spans="1:6">
      <c r="A3787" s="30">
        <f t="shared" si="125"/>
        <v>46877</v>
      </c>
      <c r="B3787" s="32" t="s">
        <v>199</v>
      </c>
      <c r="C3787" t="s">
        <v>6</v>
      </c>
      <c r="D3787">
        <f>IF(B3787=$AB$2,$AC$2,$AC$3)</f>
        <v>1</v>
      </c>
      <c r="E3787">
        <f>IF(ISBLANK(C3787),0,VLOOKUP(C3787,$AE$2:$AF$7,2,0))</f>
        <v>1</v>
      </c>
      <c r="F3787">
        <f t="shared" si="126"/>
        <v>1</v>
      </c>
    </row>
    <row r="3788" spans="1:6">
      <c r="A3788" s="30">
        <f t="shared" si="125"/>
        <v>46878</v>
      </c>
      <c r="B3788" s="32" t="s">
        <v>199</v>
      </c>
      <c r="C3788" t="s">
        <v>6</v>
      </c>
      <c r="D3788">
        <f>IF(B3788=$AB$2,$AC$2,$AC$3)</f>
        <v>1</v>
      </c>
      <c r="E3788">
        <f>IF(ISBLANK(C3788),0,VLOOKUP(C3788,$AE$2:$AF$7,2,0))</f>
        <v>1</v>
      </c>
      <c r="F3788">
        <f t="shared" si="126"/>
        <v>1</v>
      </c>
    </row>
    <row r="3789" spans="1:6">
      <c r="A3789" s="30">
        <f t="shared" si="125"/>
        <v>46879</v>
      </c>
      <c r="B3789" s="32" t="s">
        <v>199</v>
      </c>
      <c r="C3789" t="s">
        <v>6</v>
      </c>
      <c r="D3789">
        <f>IF(B3789=$AB$2,$AC$2,$AC$3)</f>
        <v>1</v>
      </c>
      <c r="E3789">
        <f>IF(ISBLANK(C3789),0,VLOOKUP(C3789,$AE$2:$AF$7,2,0))</f>
        <v>1</v>
      </c>
      <c r="F3789">
        <f t="shared" si="126"/>
        <v>1</v>
      </c>
    </row>
    <row r="3790" spans="1:6">
      <c r="A3790" s="30">
        <f t="shared" si="125"/>
        <v>46880</v>
      </c>
      <c r="B3790" s="32" t="s">
        <v>199</v>
      </c>
      <c r="C3790" t="s">
        <v>6</v>
      </c>
      <c r="D3790">
        <f>IF(B3790=$AB$2,$AC$2,$AC$3)</f>
        <v>1</v>
      </c>
      <c r="E3790">
        <f>IF(ISBLANK(C3790),0,VLOOKUP(C3790,$AE$2:$AF$7,2,0))</f>
        <v>1</v>
      </c>
      <c r="F3790">
        <f t="shared" si="126"/>
        <v>1</v>
      </c>
    </row>
    <row r="3791" spans="1:6">
      <c r="A3791" s="30">
        <f t="shared" si="125"/>
        <v>46881</v>
      </c>
      <c r="B3791" s="32" t="s">
        <v>199</v>
      </c>
      <c r="C3791" t="s">
        <v>6</v>
      </c>
      <c r="D3791">
        <f>IF(B3791=$AB$2,$AC$2,$AC$3)</f>
        <v>1</v>
      </c>
      <c r="E3791">
        <f>IF(ISBLANK(C3791),0,VLOOKUP(C3791,$AE$2:$AF$7,2,0))</f>
        <v>1</v>
      </c>
      <c r="F3791">
        <f t="shared" si="126"/>
        <v>1</v>
      </c>
    </row>
    <row r="3792" spans="1:6">
      <c r="A3792" s="30">
        <f t="shared" si="125"/>
        <v>46882</v>
      </c>
      <c r="B3792" s="32" t="s">
        <v>199</v>
      </c>
      <c r="C3792" t="s">
        <v>6</v>
      </c>
      <c r="D3792">
        <f>IF(B3792=$AB$2,$AC$2,$AC$3)</f>
        <v>1</v>
      </c>
      <c r="E3792">
        <f>IF(ISBLANK(C3792),0,VLOOKUP(C3792,$AE$2:$AF$7,2,0))</f>
        <v>1</v>
      </c>
      <c r="F3792">
        <f t="shared" si="126"/>
        <v>1</v>
      </c>
    </row>
    <row r="3793" spans="1:6">
      <c r="A3793" s="30">
        <f t="shared" si="125"/>
        <v>46883</v>
      </c>
      <c r="B3793" s="32" t="s">
        <v>199</v>
      </c>
      <c r="C3793" t="s">
        <v>6</v>
      </c>
      <c r="D3793">
        <f>IF(B3793=$AB$2,$AC$2,$AC$3)</f>
        <v>1</v>
      </c>
      <c r="E3793">
        <f>IF(ISBLANK(C3793),0,VLOOKUP(C3793,$AE$2:$AF$7,2,0))</f>
        <v>1</v>
      </c>
      <c r="F3793">
        <f t="shared" si="126"/>
        <v>1</v>
      </c>
    </row>
    <row r="3794" spans="1:6">
      <c r="A3794" s="30">
        <f t="shared" si="125"/>
        <v>46884</v>
      </c>
      <c r="B3794" s="32" t="s">
        <v>199</v>
      </c>
      <c r="C3794" t="s">
        <v>6</v>
      </c>
      <c r="D3794">
        <f>IF(B3794=$AB$2,$AC$2,$AC$3)</f>
        <v>1</v>
      </c>
      <c r="E3794">
        <f>IF(ISBLANK(C3794),0,VLOOKUP(C3794,$AE$2:$AF$7,2,0))</f>
        <v>1</v>
      </c>
      <c r="F3794">
        <f t="shared" si="126"/>
        <v>1</v>
      </c>
    </row>
    <row r="3795" spans="1:6">
      <c r="A3795" s="30">
        <f t="shared" si="125"/>
        <v>46885</v>
      </c>
      <c r="B3795" s="32" t="s">
        <v>199</v>
      </c>
      <c r="C3795" t="s">
        <v>6</v>
      </c>
      <c r="D3795">
        <f>IF(B3795=$AB$2,$AC$2,$AC$3)</f>
        <v>1</v>
      </c>
      <c r="E3795">
        <f>IF(ISBLANK(C3795),0,VLOOKUP(C3795,$AE$2:$AF$7,2,0))</f>
        <v>1</v>
      </c>
      <c r="F3795">
        <f t="shared" si="126"/>
        <v>1</v>
      </c>
    </row>
    <row r="3796" spans="1:6">
      <c r="A3796" s="30">
        <f t="shared" si="125"/>
        <v>46886</v>
      </c>
      <c r="B3796" s="32" t="s">
        <v>199</v>
      </c>
      <c r="C3796" t="s">
        <v>6</v>
      </c>
      <c r="D3796">
        <f>IF(B3796=$AB$2,$AC$2,$AC$3)</f>
        <v>1</v>
      </c>
      <c r="E3796">
        <f>IF(ISBLANK(C3796),0,VLOOKUP(C3796,$AE$2:$AF$7,2,0))</f>
        <v>1</v>
      </c>
      <c r="F3796">
        <f t="shared" si="126"/>
        <v>1</v>
      </c>
    </row>
    <row r="3797" spans="1:6">
      <c r="A3797" s="30">
        <f t="shared" si="125"/>
        <v>46887</v>
      </c>
      <c r="B3797" s="32" t="s">
        <v>199</v>
      </c>
      <c r="C3797" t="s">
        <v>6</v>
      </c>
      <c r="D3797">
        <f>IF(B3797=$AB$2,$AC$2,$AC$3)</f>
        <v>1</v>
      </c>
      <c r="E3797">
        <f>IF(ISBLANK(C3797),0,VLOOKUP(C3797,$AE$2:$AF$7,2,0))</f>
        <v>1</v>
      </c>
      <c r="F3797">
        <f t="shared" si="126"/>
        <v>1</v>
      </c>
    </row>
    <row r="3798" spans="1:6">
      <c r="A3798" s="30">
        <f t="shared" si="125"/>
        <v>46888</v>
      </c>
      <c r="B3798" s="32" t="s">
        <v>199</v>
      </c>
      <c r="C3798" t="s">
        <v>6</v>
      </c>
      <c r="D3798">
        <f>IF(B3798=$AB$2,$AC$2,$AC$3)</f>
        <v>1</v>
      </c>
      <c r="E3798">
        <f>IF(ISBLANK(C3798),0,VLOOKUP(C3798,$AE$2:$AF$7,2,0))</f>
        <v>1</v>
      </c>
      <c r="F3798">
        <f t="shared" si="126"/>
        <v>1</v>
      </c>
    </row>
    <row r="3799" spans="1:6">
      <c r="A3799" s="30">
        <f t="shared" si="125"/>
        <v>46889</v>
      </c>
      <c r="B3799" s="32" t="s">
        <v>199</v>
      </c>
      <c r="C3799" t="s">
        <v>6</v>
      </c>
      <c r="D3799">
        <f>IF(B3799=$AB$2,$AC$2,$AC$3)</f>
        <v>1</v>
      </c>
      <c r="E3799">
        <f>IF(ISBLANK(C3799),0,VLOOKUP(C3799,$AE$2:$AF$7,2,0))</f>
        <v>1</v>
      </c>
      <c r="F3799">
        <f t="shared" si="126"/>
        <v>1</v>
      </c>
    </row>
    <row r="3800" spans="1:6">
      <c r="A3800" s="30">
        <f t="shared" si="125"/>
        <v>46890</v>
      </c>
      <c r="B3800" s="32" t="s">
        <v>199</v>
      </c>
      <c r="C3800" t="s">
        <v>6</v>
      </c>
      <c r="D3800">
        <f>IF(B3800=$AB$2,$AC$2,$AC$3)</f>
        <v>1</v>
      </c>
      <c r="E3800">
        <f>IF(ISBLANK(C3800),0,VLOOKUP(C3800,$AE$2:$AF$7,2,0))</f>
        <v>1</v>
      </c>
      <c r="F3800">
        <f t="shared" si="126"/>
        <v>1</v>
      </c>
    </row>
    <row r="3801" spans="1:6">
      <c r="A3801" s="30">
        <f t="shared" si="125"/>
        <v>46891</v>
      </c>
      <c r="B3801" s="32" t="s">
        <v>199</v>
      </c>
      <c r="C3801" t="s">
        <v>6</v>
      </c>
      <c r="D3801">
        <f>IF(B3801=$AB$2,$AC$2,$AC$3)</f>
        <v>1</v>
      </c>
      <c r="E3801">
        <f>IF(ISBLANK(C3801),0,VLOOKUP(C3801,$AE$2:$AF$7,2,0))</f>
        <v>1</v>
      </c>
      <c r="F3801">
        <f t="shared" si="126"/>
        <v>1</v>
      </c>
    </row>
    <row r="3802" spans="1:6">
      <c r="A3802" s="30">
        <f t="shared" si="125"/>
        <v>46892</v>
      </c>
      <c r="B3802" s="32" t="s">
        <v>199</v>
      </c>
      <c r="C3802" t="s">
        <v>6</v>
      </c>
      <c r="D3802">
        <f>IF(B3802=$AB$2,$AC$2,$AC$3)</f>
        <v>1</v>
      </c>
      <c r="E3802">
        <f>IF(ISBLANK(C3802),0,VLOOKUP(C3802,$AE$2:$AF$7,2,0))</f>
        <v>1</v>
      </c>
      <c r="F3802">
        <f t="shared" si="126"/>
        <v>1</v>
      </c>
    </row>
    <row r="3803" spans="1:6">
      <c r="A3803" s="30">
        <f t="shared" si="125"/>
        <v>46893</v>
      </c>
      <c r="B3803" s="32" t="s">
        <v>199</v>
      </c>
      <c r="C3803" t="s">
        <v>6</v>
      </c>
      <c r="D3803">
        <f>IF(B3803=$AB$2,$AC$2,$AC$3)</f>
        <v>1</v>
      </c>
      <c r="E3803">
        <f>IF(ISBLANK(C3803),0,VLOOKUP(C3803,$AE$2:$AF$7,2,0))</f>
        <v>1</v>
      </c>
      <c r="F3803">
        <f t="shared" si="126"/>
        <v>1</v>
      </c>
    </row>
    <row r="3804" spans="1:6">
      <c r="A3804" s="30">
        <f t="shared" si="125"/>
        <v>46894</v>
      </c>
      <c r="B3804" s="32" t="s">
        <v>199</v>
      </c>
      <c r="C3804" t="s">
        <v>6</v>
      </c>
      <c r="D3804">
        <f>IF(B3804=$AB$2,$AC$2,$AC$3)</f>
        <v>1</v>
      </c>
      <c r="E3804">
        <f>IF(ISBLANK(C3804),0,VLOOKUP(C3804,$AE$2:$AF$7,2,0))</f>
        <v>1</v>
      </c>
      <c r="F3804">
        <f t="shared" si="126"/>
        <v>1</v>
      </c>
    </row>
    <row r="3805" spans="1:6">
      <c r="A3805" s="30">
        <f t="shared" si="125"/>
        <v>46895</v>
      </c>
      <c r="B3805" s="32" t="s">
        <v>199</v>
      </c>
      <c r="C3805" t="s">
        <v>6</v>
      </c>
      <c r="D3805">
        <f>IF(B3805=$AB$2,$AC$2,$AC$3)</f>
        <v>1</v>
      </c>
      <c r="E3805">
        <f>IF(ISBLANK(C3805),0,VLOOKUP(C3805,$AE$2:$AF$7,2,0))</f>
        <v>1</v>
      </c>
      <c r="F3805">
        <f t="shared" si="126"/>
        <v>1</v>
      </c>
    </row>
    <row r="3806" spans="1:6">
      <c r="A3806" s="30">
        <f t="shared" si="125"/>
        <v>46896</v>
      </c>
      <c r="B3806" s="32" t="s">
        <v>199</v>
      </c>
      <c r="C3806" t="s">
        <v>6</v>
      </c>
      <c r="D3806">
        <f>IF(B3806=$AB$2,$AC$2,$AC$3)</f>
        <v>1</v>
      </c>
      <c r="E3806">
        <f>IF(ISBLANK(C3806),0,VLOOKUP(C3806,$AE$2:$AF$7,2,0))</f>
        <v>1</v>
      </c>
      <c r="F3806">
        <f t="shared" si="126"/>
        <v>1</v>
      </c>
    </row>
    <row r="3807" spans="1:6">
      <c r="A3807" s="30">
        <f t="shared" si="125"/>
        <v>46897</v>
      </c>
      <c r="B3807" s="32" t="s">
        <v>199</v>
      </c>
      <c r="C3807" t="s">
        <v>6</v>
      </c>
      <c r="D3807">
        <f>IF(B3807=$AB$2,$AC$2,$AC$3)</f>
        <v>1</v>
      </c>
      <c r="E3807">
        <f>IF(ISBLANK(C3807),0,VLOOKUP(C3807,$AE$2:$AF$7,2,0))</f>
        <v>1</v>
      </c>
      <c r="F3807">
        <f t="shared" si="126"/>
        <v>1</v>
      </c>
    </row>
    <row r="3808" spans="1:6">
      <c r="A3808" s="30">
        <f t="shared" si="125"/>
        <v>46898</v>
      </c>
      <c r="B3808" s="32" t="s">
        <v>199</v>
      </c>
      <c r="C3808" t="s">
        <v>6</v>
      </c>
      <c r="D3808">
        <f>IF(B3808=$AB$2,$AC$2,$AC$3)</f>
        <v>1</v>
      </c>
      <c r="E3808">
        <f>IF(ISBLANK(C3808),0,VLOOKUP(C3808,$AE$2:$AF$7,2,0))</f>
        <v>1</v>
      </c>
      <c r="F3808">
        <f t="shared" si="126"/>
        <v>1</v>
      </c>
    </row>
    <row r="3809" spans="1:6">
      <c r="A3809" s="30">
        <f t="shared" si="125"/>
        <v>46899</v>
      </c>
      <c r="B3809" s="32" t="s">
        <v>199</v>
      </c>
      <c r="C3809" t="s">
        <v>6</v>
      </c>
      <c r="D3809">
        <f>IF(B3809=$AB$2,$AC$2,$AC$3)</f>
        <v>1</v>
      </c>
      <c r="E3809">
        <f>IF(ISBLANK(C3809),0,VLOOKUP(C3809,$AE$2:$AF$7,2,0))</f>
        <v>1</v>
      </c>
      <c r="F3809">
        <f t="shared" si="126"/>
        <v>1</v>
      </c>
    </row>
    <row r="3810" spans="1:6">
      <c r="A3810" s="30">
        <f t="shared" si="125"/>
        <v>46900</v>
      </c>
      <c r="B3810" s="32" t="s">
        <v>199</v>
      </c>
      <c r="C3810" t="s">
        <v>6</v>
      </c>
      <c r="D3810">
        <f>IF(B3810=$AB$2,$AC$2,$AC$3)</f>
        <v>1</v>
      </c>
      <c r="E3810">
        <f>IF(ISBLANK(C3810),0,VLOOKUP(C3810,$AE$2:$AF$7,2,0))</f>
        <v>1</v>
      </c>
      <c r="F3810">
        <f t="shared" si="126"/>
        <v>1</v>
      </c>
    </row>
    <row r="3811" spans="1:6">
      <c r="A3811" s="30">
        <f t="shared" si="125"/>
        <v>46901</v>
      </c>
      <c r="B3811" s="32" t="s">
        <v>199</v>
      </c>
      <c r="C3811" t="s">
        <v>6</v>
      </c>
      <c r="D3811">
        <f>IF(B3811=$AB$2,$AC$2,$AC$3)</f>
        <v>1</v>
      </c>
      <c r="E3811">
        <f>IF(ISBLANK(C3811),0,VLOOKUP(C3811,$AE$2:$AF$7,2,0))</f>
        <v>1</v>
      </c>
      <c r="F3811">
        <f t="shared" si="126"/>
        <v>1</v>
      </c>
    </row>
    <row r="3812" spans="1:6">
      <c r="A3812" s="30">
        <f t="shared" si="125"/>
        <v>46902</v>
      </c>
      <c r="B3812" s="32" t="s">
        <v>199</v>
      </c>
      <c r="C3812" t="s">
        <v>6</v>
      </c>
      <c r="D3812">
        <f>IF(B3812=$AB$2,$AC$2,$AC$3)</f>
        <v>1</v>
      </c>
      <c r="E3812">
        <f>IF(ISBLANK(C3812),0,VLOOKUP(C3812,$AE$2:$AF$7,2,0))</f>
        <v>1</v>
      </c>
      <c r="F3812">
        <f t="shared" si="126"/>
        <v>1</v>
      </c>
    </row>
    <row r="3813" spans="1:6">
      <c r="A3813" s="30">
        <f t="shared" si="125"/>
        <v>46903</v>
      </c>
      <c r="B3813" s="32" t="s">
        <v>199</v>
      </c>
      <c r="C3813" t="s">
        <v>6</v>
      </c>
      <c r="D3813">
        <f>IF(B3813=$AB$2,$AC$2,$AC$3)</f>
        <v>1</v>
      </c>
      <c r="E3813">
        <f>IF(ISBLANK(C3813),0,VLOOKUP(C3813,$AE$2:$AF$7,2,0))</f>
        <v>1</v>
      </c>
      <c r="F3813">
        <f t="shared" si="126"/>
        <v>1</v>
      </c>
    </row>
    <row r="3814" spans="1:6">
      <c r="A3814" s="30">
        <f t="shared" si="125"/>
        <v>46904</v>
      </c>
      <c r="B3814" s="32" t="s">
        <v>199</v>
      </c>
      <c r="C3814" t="s">
        <v>6</v>
      </c>
      <c r="D3814">
        <f>IF(B3814=$AB$2,$AC$2,$AC$3)</f>
        <v>1</v>
      </c>
      <c r="E3814">
        <f>IF(ISBLANK(C3814),0,VLOOKUP(C3814,$AE$2:$AF$7,2,0))</f>
        <v>1</v>
      </c>
      <c r="F3814">
        <f t="shared" si="126"/>
        <v>1</v>
      </c>
    </row>
    <row r="3815" spans="1:6">
      <c r="A3815" s="30">
        <f t="shared" si="125"/>
        <v>46905</v>
      </c>
      <c r="B3815" s="32" t="s">
        <v>199</v>
      </c>
      <c r="C3815" t="s">
        <v>6</v>
      </c>
      <c r="D3815">
        <f>IF(B3815=$AB$2,$AC$2,$AC$3)</f>
        <v>1</v>
      </c>
      <c r="E3815">
        <f>IF(ISBLANK(C3815),0,VLOOKUP(C3815,$AE$2:$AF$7,2,0))</f>
        <v>1</v>
      </c>
      <c r="F3815">
        <f t="shared" si="126"/>
        <v>1</v>
      </c>
    </row>
    <row r="3816" spans="1:6">
      <c r="A3816" s="30">
        <f t="shared" si="125"/>
        <v>46906</v>
      </c>
      <c r="B3816" s="32" t="s">
        <v>199</v>
      </c>
      <c r="C3816" t="s">
        <v>6</v>
      </c>
      <c r="D3816">
        <f>IF(B3816=$AB$2,$AC$2,$AC$3)</f>
        <v>1</v>
      </c>
      <c r="E3816">
        <f>IF(ISBLANK(C3816),0,VLOOKUP(C3816,$AE$2:$AF$7,2,0))</f>
        <v>1</v>
      </c>
      <c r="F3816">
        <f t="shared" si="126"/>
        <v>1</v>
      </c>
    </row>
    <row r="3817" spans="1:6">
      <c r="A3817" s="30">
        <f t="shared" si="125"/>
        <v>46907</v>
      </c>
      <c r="B3817" s="32" t="s">
        <v>199</v>
      </c>
      <c r="C3817" t="s">
        <v>6</v>
      </c>
      <c r="D3817">
        <f>IF(B3817=$AB$2,$AC$2,$AC$3)</f>
        <v>1</v>
      </c>
      <c r="E3817">
        <f>IF(ISBLANK(C3817),0,VLOOKUP(C3817,$AE$2:$AF$7,2,0))</f>
        <v>1</v>
      </c>
      <c r="F3817">
        <f t="shared" si="126"/>
        <v>1</v>
      </c>
    </row>
    <row r="3818" spans="1:6">
      <c r="A3818" s="30">
        <f t="shared" si="125"/>
        <v>46908</v>
      </c>
      <c r="B3818" s="32" t="s">
        <v>199</v>
      </c>
      <c r="C3818" t="s">
        <v>6</v>
      </c>
      <c r="D3818">
        <f>IF(B3818=$AB$2,$AC$2,$AC$3)</f>
        <v>1</v>
      </c>
      <c r="E3818">
        <f>IF(ISBLANK(C3818),0,VLOOKUP(C3818,$AE$2:$AF$7,2,0))</f>
        <v>1</v>
      </c>
      <c r="F3818">
        <f t="shared" si="126"/>
        <v>1</v>
      </c>
    </row>
    <row r="3819" spans="1:6">
      <c r="A3819" s="30">
        <f t="shared" si="125"/>
        <v>46909</v>
      </c>
      <c r="B3819" s="32" t="s">
        <v>199</v>
      </c>
      <c r="C3819" t="s">
        <v>6</v>
      </c>
      <c r="D3819">
        <f>IF(B3819=$AB$2,$AC$2,$AC$3)</f>
        <v>1</v>
      </c>
      <c r="E3819">
        <f>IF(ISBLANK(C3819),0,VLOOKUP(C3819,$AE$2:$AF$7,2,0))</f>
        <v>1</v>
      </c>
      <c r="F3819">
        <f t="shared" si="126"/>
        <v>1</v>
      </c>
    </row>
    <row r="3820" spans="1:6">
      <c r="A3820" s="30">
        <f t="shared" si="125"/>
        <v>46910</v>
      </c>
      <c r="B3820" s="32" t="s">
        <v>199</v>
      </c>
      <c r="C3820" t="s">
        <v>6</v>
      </c>
      <c r="D3820">
        <f>IF(B3820=$AB$2,$AC$2,$AC$3)</f>
        <v>1</v>
      </c>
      <c r="E3820">
        <f>IF(ISBLANK(C3820),0,VLOOKUP(C3820,$AE$2:$AF$7,2,0))</f>
        <v>1</v>
      </c>
      <c r="F3820">
        <f t="shared" si="126"/>
        <v>1</v>
      </c>
    </row>
    <row r="3821" spans="1:6">
      <c r="A3821" s="30">
        <f t="shared" si="125"/>
        <v>46911</v>
      </c>
      <c r="B3821" s="32" t="s">
        <v>199</v>
      </c>
      <c r="C3821" t="s">
        <v>6</v>
      </c>
      <c r="D3821">
        <f>IF(B3821=$AB$2,$AC$2,$AC$3)</f>
        <v>1</v>
      </c>
      <c r="E3821">
        <f>IF(ISBLANK(C3821),0,VLOOKUP(C3821,$AE$2:$AF$7,2,0))</f>
        <v>1</v>
      </c>
      <c r="F3821">
        <f t="shared" si="126"/>
        <v>1</v>
      </c>
    </row>
    <row r="3822" spans="1:6">
      <c r="A3822" s="30">
        <f t="shared" si="125"/>
        <v>46912</v>
      </c>
      <c r="B3822" s="32" t="s">
        <v>199</v>
      </c>
      <c r="C3822" t="s">
        <v>6</v>
      </c>
      <c r="D3822">
        <f>IF(B3822=$AB$2,$AC$2,$AC$3)</f>
        <v>1</v>
      </c>
      <c r="E3822">
        <f>IF(ISBLANK(C3822),0,VLOOKUP(C3822,$AE$2:$AF$7,2,0))</f>
        <v>1</v>
      </c>
      <c r="F3822">
        <f t="shared" si="126"/>
        <v>1</v>
      </c>
    </row>
    <row r="3823" spans="1:6">
      <c r="A3823" s="30">
        <f t="shared" si="125"/>
        <v>46913</v>
      </c>
      <c r="B3823" s="32" t="s">
        <v>199</v>
      </c>
      <c r="C3823" t="s">
        <v>6</v>
      </c>
      <c r="D3823">
        <f>IF(B3823=$AB$2,$AC$2,$AC$3)</f>
        <v>1</v>
      </c>
      <c r="E3823">
        <f>IF(ISBLANK(C3823),0,VLOOKUP(C3823,$AE$2:$AF$7,2,0))</f>
        <v>1</v>
      </c>
      <c r="F3823">
        <f t="shared" si="126"/>
        <v>1</v>
      </c>
    </row>
    <row r="3824" spans="1:6">
      <c r="A3824" s="30">
        <f t="shared" si="125"/>
        <v>46914</v>
      </c>
      <c r="B3824" s="32" t="s">
        <v>199</v>
      </c>
      <c r="C3824" t="s">
        <v>6</v>
      </c>
      <c r="D3824">
        <f>IF(B3824=$AB$2,$AC$2,$AC$3)</f>
        <v>1</v>
      </c>
      <c r="E3824">
        <f>IF(ISBLANK(C3824),0,VLOOKUP(C3824,$AE$2:$AF$7,2,0))</f>
        <v>1</v>
      </c>
      <c r="F3824">
        <f t="shared" si="126"/>
        <v>1</v>
      </c>
    </row>
    <row r="3825" spans="1:6">
      <c r="A3825" s="30">
        <f t="shared" si="125"/>
        <v>46915</v>
      </c>
      <c r="B3825" s="32" t="s">
        <v>199</v>
      </c>
      <c r="C3825" t="s">
        <v>6</v>
      </c>
      <c r="D3825">
        <f>IF(B3825=$AB$2,$AC$2,$AC$3)</f>
        <v>1</v>
      </c>
      <c r="E3825">
        <f>IF(ISBLANK(C3825),0,VLOOKUP(C3825,$AE$2:$AF$7,2,0))</f>
        <v>1</v>
      </c>
      <c r="F3825">
        <f t="shared" si="126"/>
        <v>1</v>
      </c>
    </row>
    <row r="3826" spans="1:6">
      <c r="A3826" s="30">
        <f t="shared" si="125"/>
        <v>46916</v>
      </c>
      <c r="B3826" s="32" t="s">
        <v>199</v>
      </c>
      <c r="C3826" t="s">
        <v>6</v>
      </c>
      <c r="D3826">
        <f>IF(B3826=$AB$2,$AC$2,$AC$3)</f>
        <v>1</v>
      </c>
      <c r="E3826">
        <f>IF(ISBLANK(C3826),0,VLOOKUP(C3826,$AE$2:$AF$7,2,0))</f>
        <v>1</v>
      </c>
      <c r="F3826">
        <f t="shared" si="126"/>
        <v>1</v>
      </c>
    </row>
    <row r="3827" spans="1:6">
      <c r="A3827" s="30">
        <f t="shared" si="125"/>
        <v>46917</v>
      </c>
      <c r="B3827" s="32" t="s">
        <v>199</v>
      </c>
      <c r="C3827" t="s">
        <v>6</v>
      </c>
      <c r="D3827">
        <f>IF(B3827=$AB$2,$AC$2,$AC$3)</f>
        <v>1</v>
      </c>
      <c r="E3827">
        <f>IF(ISBLANK(C3827),0,VLOOKUP(C3827,$AE$2:$AF$7,2,0))</f>
        <v>1</v>
      </c>
      <c r="F3827">
        <f t="shared" si="126"/>
        <v>1</v>
      </c>
    </row>
    <row r="3828" spans="1:6">
      <c r="A3828" s="30">
        <f t="shared" si="125"/>
        <v>46918</v>
      </c>
      <c r="B3828" s="32" t="s">
        <v>199</v>
      </c>
      <c r="C3828" t="s">
        <v>6</v>
      </c>
      <c r="D3828">
        <f>IF(B3828=$AB$2,$AC$2,$AC$3)</f>
        <v>1</v>
      </c>
      <c r="E3828">
        <f>IF(ISBLANK(C3828),0,VLOOKUP(C3828,$AE$2:$AF$7,2,0))</f>
        <v>1</v>
      </c>
      <c r="F3828">
        <f t="shared" si="126"/>
        <v>1</v>
      </c>
    </row>
    <row r="3829" spans="1:6">
      <c r="A3829" s="30">
        <f t="shared" si="125"/>
        <v>46919</v>
      </c>
      <c r="B3829" s="32" t="s">
        <v>199</v>
      </c>
      <c r="C3829" t="s">
        <v>6</v>
      </c>
      <c r="D3829">
        <f>IF(B3829=$AB$2,$AC$2,$AC$3)</f>
        <v>1</v>
      </c>
      <c r="E3829">
        <f>IF(ISBLANK(C3829),0,VLOOKUP(C3829,$AE$2:$AF$7,2,0))</f>
        <v>1</v>
      </c>
      <c r="F3829">
        <f t="shared" si="126"/>
        <v>1</v>
      </c>
    </row>
    <row r="3830" spans="1:6">
      <c r="A3830" s="30">
        <f t="shared" ref="A3830:A3878" si="127">A3829+1</f>
        <v>46920</v>
      </c>
      <c r="B3830" s="32" t="s">
        <v>199</v>
      </c>
      <c r="C3830" t="s">
        <v>6</v>
      </c>
      <c r="D3830">
        <f>IF(B3830=$AB$2,$AC$2,$AC$3)</f>
        <v>1</v>
      </c>
      <c r="E3830">
        <f>IF(ISBLANK(C3830),0,VLOOKUP(C3830,$AE$2:$AF$7,2,0))</f>
        <v>1</v>
      </c>
      <c r="F3830">
        <f t="shared" si="126"/>
        <v>1</v>
      </c>
    </row>
    <row r="3831" spans="1:6">
      <c r="A3831" s="30">
        <f t="shared" si="127"/>
        <v>46921</v>
      </c>
      <c r="B3831" s="32" t="s">
        <v>199</v>
      </c>
      <c r="C3831" t="s">
        <v>6</v>
      </c>
      <c r="D3831">
        <f>IF(B3831=$AB$2,$AC$2,$AC$3)</f>
        <v>1</v>
      </c>
      <c r="E3831">
        <f>IF(ISBLANK(C3831),0,VLOOKUP(C3831,$AE$2:$AF$7,2,0))</f>
        <v>1</v>
      </c>
      <c r="F3831">
        <f t="shared" si="126"/>
        <v>1</v>
      </c>
    </row>
    <row r="3832" spans="1:6">
      <c r="A3832" s="30">
        <f t="shared" si="127"/>
        <v>46922</v>
      </c>
      <c r="B3832" s="32" t="s">
        <v>199</v>
      </c>
      <c r="C3832" t="s">
        <v>6</v>
      </c>
      <c r="D3832">
        <f>IF(B3832=$AB$2,$AC$2,$AC$3)</f>
        <v>1</v>
      </c>
      <c r="E3832">
        <f>IF(ISBLANK(C3832),0,VLOOKUP(C3832,$AE$2:$AF$7,2,0))</f>
        <v>1</v>
      </c>
      <c r="F3832">
        <f t="shared" si="126"/>
        <v>1</v>
      </c>
    </row>
    <row r="3833" spans="1:6">
      <c r="A3833" s="30">
        <f t="shared" si="127"/>
        <v>46923</v>
      </c>
      <c r="B3833" s="32" t="s">
        <v>199</v>
      </c>
      <c r="C3833" t="s">
        <v>6</v>
      </c>
      <c r="D3833">
        <f>IF(B3833=$AB$2,$AC$2,$AC$3)</f>
        <v>1</v>
      </c>
      <c r="E3833">
        <f>IF(ISBLANK(C3833),0,VLOOKUP(C3833,$AE$2:$AF$7,2,0))</f>
        <v>1</v>
      </c>
      <c r="F3833">
        <f t="shared" si="126"/>
        <v>1</v>
      </c>
    </row>
    <row r="3834" spans="1:6">
      <c r="A3834" s="30">
        <f t="shared" si="127"/>
        <v>46924</v>
      </c>
      <c r="B3834" s="32" t="s">
        <v>199</v>
      </c>
      <c r="C3834" t="s">
        <v>6</v>
      </c>
      <c r="D3834">
        <f>IF(B3834=$AB$2,$AC$2,$AC$3)</f>
        <v>1</v>
      </c>
      <c r="E3834">
        <f>IF(ISBLANK(C3834),0,VLOOKUP(C3834,$AE$2:$AF$7,2,0))</f>
        <v>1</v>
      </c>
      <c r="F3834">
        <f t="shared" si="126"/>
        <v>1</v>
      </c>
    </row>
    <row r="3835" spans="1:6">
      <c r="A3835" s="30">
        <f t="shared" si="127"/>
        <v>46925</v>
      </c>
      <c r="B3835" s="32" t="s">
        <v>199</v>
      </c>
      <c r="C3835" t="s">
        <v>6</v>
      </c>
      <c r="D3835">
        <f>IF(B3835=$AB$2,$AC$2,$AC$3)</f>
        <v>1</v>
      </c>
      <c r="E3835">
        <f>IF(ISBLANK(C3835),0,VLOOKUP(C3835,$AE$2:$AF$7,2,0))</f>
        <v>1</v>
      </c>
      <c r="F3835">
        <f t="shared" si="126"/>
        <v>1</v>
      </c>
    </row>
    <row r="3836" spans="1:6">
      <c r="A3836" s="30">
        <f t="shared" si="127"/>
        <v>46926</v>
      </c>
      <c r="B3836" s="32" t="s">
        <v>199</v>
      </c>
      <c r="C3836" t="s">
        <v>6</v>
      </c>
      <c r="D3836">
        <f>IF(B3836=$AB$2,$AC$2,$AC$3)</f>
        <v>1</v>
      </c>
      <c r="E3836">
        <f>IF(ISBLANK(C3836),0,VLOOKUP(C3836,$AE$2:$AF$7,2,0))</f>
        <v>1</v>
      </c>
      <c r="F3836">
        <f t="shared" si="126"/>
        <v>1</v>
      </c>
    </row>
    <row r="3837" spans="1:6">
      <c r="A3837" s="30">
        <f t="shared" si="127"/>
        <v>46927</v>
      </c>
      <c r="B3837" s="32" t="s">
        <v>199</v>
      </c>
      <c r="C3837" t="s">
        <v>6</v>
      </c>
      <c r="D3837">
        <f>IF(B3837=$AB$2,$AC$2,$AC$3)</f>
        <v>1</v>
      </c>
      <c r="E3837">
        <f>IF(ISBLANK(C3837),0,VLOOKUP(C3837,$AE$2:$AF$7,2,0))</f>
        <v>1</v>
      </c>
      <c r="F3837">
        <f t="shared" si="126"/>
        <v>1</v>
      </c>
    </row>
    <row r="3838" spans="1:6">
      <c r="A3838" s="30">
        <f t="shared" si="127"/>
        <v>46928</v>
      </c>
      <c r="B3838" s="32" t="s">
        <v>199</v>
      </c>
      <c r="C3838" t="s">
        <v>6</v>
      </c>
      <c r="D3838">
        <f>IF(B3838=$AB$2,$AC$2,$AC$3)</f>
        <v>1</v>
      </c>
      <c r="E3838">
        <f>IF(ISBLANK(C3838),0,VLOOKUP(C3838,$AE$2:$AF$7,2,0))</f>
        <v>1</v>
      </c>
      <c r="F3838">
        <f t="shared" si="126"/>
        <v>1</v>
      </c>
    </row>
    <row r="3839" spans="1:6">
      <c r="A3839" s="30">
        <f t="shared" si="127"/>
        <v>46929</v>
      </c>
      <c r="B3839" s="32" t="s">
        <v>199</v>
      </c>
      <c r="C3839" t="s">
        <v>6</v>
      </c>
      <c r="D3839">
        <f>IF(B3839=$AB$2,$AC$2,$AC$3)</f>
        <v>1</v>
      </c>
      <c r="E3839">
        <f>IF(ISBLANK(C3839),0,VLOOKUP(C3839,$AE$2:$AF$7,2,0))</f>
        <v>1</v>
      </c>
      <c r="F3839">
        <f t="shared" si="126"/>
        <v>1</v>
      </c>
    </row>
    <row r="3840" spans="1:6">
      <c r="A3840" s="30">
        <f t="shared" si="127"/>
        <v>46930</v>
      </c>
      <c r="B3840" s="32" t="s">
        <v>199</v>
      </c>
      <c r="C3840" t="s">
        <v>6</v>
      </c>
      <c r="D3840">
        <f>IF(B3840=$AB$2,$AC$2,$AC$3)</f>
        <v>1</v>
      </c>
      <c r="E3840">
        <f>IF(ISBLANK(C3840),0,VLOOKUP(C3840,$AE$2:$AF$7,2,0))</f>
        <v>1</v>
      </c>
      <c r="F3840">
        <f t="shared" si="126"/>
        <v>1</v>
      </c>
    </row>
    <row r="3841" spans="1:6">
      <c r="A3841" s="30">
        <f t="shared" si="127"/>
        <v>46931</v>
      </c>
      <c r="B3841" s="32" t="s">
        <v>199</v>
      </c>
      <c r="C3841" t="s">
        <v>6</v>
      </c>
      <c r="D3841">
        <f>IF(B3841=$AB$2,$AC$2,$AC$3)</f>
        <v>1</v>
      </c>
      <c r="E3841">
        <f>IF(ISBLANK(C3841),0,VLOOKUP(C3841,$AE$2:$AF$7,2,0))</f>
        <v>1</v>
      </c>
      <c r="F3841">
        <f t="shared" si="126"/>
        <v>1</v>
      </c>
    </row>
    <row r="3842" spans="1:6">
      <c r="A3842" s="30">
        <f t="shared" si="127"/>
        <v>46932</v>
      </c>
      <c r="B3842" s="32" t="s">
        <v>199</v>
      </c>
      <c r="C3842" t="s">
        <v>6</v>
      </c>
      <c r="D3842">
        <f>IF(B3842=$AB$2,$AC$2,$AC$3)</f>
        <v>1</v>
      </c>
      <c r="E3842">
        <f>IF(ISBLANK(C3842),0,VLOOKUP(C3842,$AE$2:$AF$7,2,0))</f>
        <v>1</v>
      </c>
      <c r="F3842">
        <f t="shared" si="126"/>
        <v>1</v>
      </c>
    </row>
    <row r="3843" spans="1:6">
      <c r="A3843" s="30">
        <f t="shared" si="127"/>
        <v>46933</v>
      </c>
      <c r="B3843" s="32" t="s">
        <v>199</v>
      </c>
      <c r="C3843" t="s">
        <v>6</v>
      </c>
      <c r="D3843">
        <f>IF(B3843=$AB$2,$AC$2,$AC$3)</f>
        <v>1</v>
      </c>
      <c r="E3843">
        <f>IF(ISBLANK(C3843),0,VLOOKUP(C3843,$AE$2:$AF$7,2,0))</f>
        <v>1</v>
      </c>
      <c r="F3843">
        <f t="shared" ref="F3843:F3906" si="128">D3843*E3843</f>
        <v>1</v>
      </c>
    </row>
    <row r="3844" spans="1:6">
      <c r="A3844" s="30">
        <f t="shared" si="127"/>
        <v>46934</v>
      </c>
      <c r="B3844" s="32" t="s">
        <v>199</v>
      </c>
      <c r="C3844" t="s">
        <v>6</v>
      </c>
      <c r="D3844">
        <f>IF(B3844=$AB$2,$AC$2,$AC$3)</f>
        <v>1</v>
      </c>
      <c r="E3844">
        <f>IF(ISBLANK(C3844),0,VLOOKUP(C3844,$AE$2:$AF$7,2,0))</f>
        <v>1</v>
      </c>
      <c r="F3844">
        <f t="shared" si="128"/>
        <v>1</v>
      </c>
    </row>
    <row r="3845" spans="1:6">
      <c r="A3845" s="30">
        <f t="shared" si="127"/>
        <v>46935</v>
      </c>
      <c r="B3845" s="32" t="s">
        <v>199</v>
      </c>
      <c r="C3845" t="s">
        <v>6</v>
      </c>
      <c r="D3845">
        <f>IF(B3845=$AB$2,$AC$2,$AC$3)</f>
        <v>1</v>
      </c>
      <c r="E3845">
        <f>IF(ISBLANK(C3845),0,VLOOKUP(C3845,$AE$2:$AF$7,2,0))</f>
        <v>1</v>
      </c>
      <c r="F3845">
        <f t="shared" si="128"/>
        <v>1</v>
      </c>
    </row>
    <row r="3846" spans="1:6">
      <c r="A3846" s="30">
        <f t="shared" si="127"/>
        <v>46936</v>
      </c>
      <c r="B3846" s="32" t="s">
        <v>199</v>
      </c>
      <c r="C3846" t="s">
        <v>6</v>
      </c>
      <c r="D3846">
        <f>IF(B3846=$AB$2,$AC$2,$AC$3)</f>
        <v>1</v>
      </c>
      <c r="E3846">
        <f>IF(ISBLANK(C3846),0,VLOOKUP(C3846,$AE$2:$AF$7,2,0))</f>
        <v>1</v>
      </c>
      <c r="F3846">
        <f t="shared" si="128"/>
        <v>1</v>
      </c>
    </row>
    <row r="3847" spans="1:6">
      <c r="A3847" s="30">
        <f t="shared" si="127"/>
        <v>46937</v>
      </c>
      <c r="B3847" s="32" t="s">
        <v>199</v>
      </c>
      <c r="C3847" t="s">
        <v>6</v>
      </c>
      <c r="D3847">
        <f>IF(B3847=$AB$2,$AC$2,$AC$3)</f>
        <v>1</v>
      </c>
      <c r="E3847">
        <f>IF(ISBLANK(C3847),0,VLOOKUP(C3847,$AE$2:$AF$7,2,0))</f>
        <v>1</v>
      </c>
      <c r="F3847">
        <f t="shared" si="128"/>
        <v>1</v>
      </c>
    </row>
    <row r="3848" spans="1:6">
      <c r="A3848" s="30">
        <f t="shared" si="127"/>
        <v>46938</v>
      </c>
      <c r="B3848" s="32" t="s">
        <v>199</v>
      </c>
      <c r="C3848" t="s">
        <v>6</v>
      </c>
      <c r="D3848">
        <f>IF(B3848=$AB$2,$AC$2,$AC$3)</f>
        <v>1</v>
      </c>
      <c r="E3848">
        <f>IF(ISBLANK(C3848),0,VLOOKUP(C3848,$AE$2:$AF$7,2,0))</f>
        <v>1</v>
      </c>
      <c r="F3848">
        <f t="shared" si="128"/>
        <v>1</v>
      </c>
    </row>
    <row r="3849" spans="1:6">
      <c r="A3849" s="30">
        <f t="shared" si="127"/>
        <v>46939</v>
      </c>
      <c r="B3849" s="32" t="s">
        <v>199</v>
      </c>
      <c r="C3849" t="s">
        <v>6</v>
      </c>
      <c r="D3849">
        <f>IF(B3849=$AB$2,$AC$2,$AC$3)</f>
        <v>1</v>
      </c>
      <c r="E3849">
        <f>IF(ISBLANK(C3849),0,VLOOKUP(C3849,$AE$2:$AF$7,2,0))</f>
        <v>1</v>
      </c>
      <c r="F3849">
        <f t="shared" si="128"/>
        <v>1</v>
      </c>
    </row>
    <row r="3850" spans="1:6">
      <c r="A3850" s="30">
        <f t="shared" si="127"/>
        <v>46940</v>
      </c>
      <c r="B3850" s="32" t="s">
        <v>199</v>
      </c>
      <c r="C3850" t="s">
        <v>6</v>
      </c>
      <c r="D3850">
        <f>IF(B3850=$AB$2,$AC$2,$AC$3)</f>
        <v>1</v>
      </c>
      <c r="E3850">
        <f>IF(ISBLANK(C3850),0,VLOOKUP(C3850,$AE$2:$AF$7,2,0))</f>
        <v>1</v>
      </c>
      <c r="F3850">
        <f t="shared" si="128"/>
        <v>1</v>
      </c>
    </row>
    <row r="3851" spans="1:6">
      <c r="A3851" s="30">
        <f t="shared" si="127"/>
        <v>46941</v>
      </c>
      <c r="B3851" s="32" t="s">
        <v>199</v>
      </c>
      <c r="C3851" t="s">
        <v>6</v>
      </c>
      <c r="D3851">
        <f>IF(B3851=$AB$2,$AC$2,$AC$3)</f>
        <v>1</v>
      </c>
      <c r="E3851">
        <f>IF(ISBLANK(C3851),0,VLOOKUP(C3851,$AE$2:$AF$7,2,0))</f>
        <v>1</v>
      </c>
      <c r="F3851">
        <f t="shared" si="128"/>
        <v>1</v>
      </c>
    </row>
    <row r="3852" spans="1:6">
      <c r="A3852" s="30">
        <f t="shared" si="127"/>
        <v>46942</v>
      </c>
      <c r="B3852" s="32" t="s">
        <v>199</v>
      </c>
      <c r="C3852" t="s">
        <v>6</v>
      </c>
      <c r="D3852">
        <f>IF(B3852=$AB$2,$AC$2,$AC$3)</f>
        <v>1</v>
      </c>
      <c r="E3852">
        <f>IF(ISBLANK(C3852),0,VLOOKUP(C3852,$AE$2:$AF$7,2,0))</f>
        <v>1</v>
      </c>
      <c r="F3852">
        <f t="shared" si="128"/>
        <v>1</v>
      </c>
    </row>
    <row r="3853" spans="1:6">
      <c r="A3853" s="30">
        <f t="shared" si="127"/>
        <v>46943</v>
      </c>
      <c r="B3853" s="32" t="s">
        <v>199</v>
      </c>
      <c r="C3853" t="s">
        <v>6</v>
      </c>
      <c r="D3853">
        <f>IF(B3853=$AB$2,$AC$2,$AC$3)</f>
        <v>1</v>
      </c>
      <c r="E3853">
        <f>IF(ISBLANK(C3853),0,VLOOKUP(C3853,$AE$2:$AF$7,2,0))</f>
        <v>1</v>
      </c>
      <c r="F3853">
        <f t="shared" si="128"/>
        <v>1</v>
      </c>
    </row>
    <row r="3854" spans="1:6">
      <c r="A3854" s="30">
        <f t="shared" si="127"/>
        <v>46944</v>
      </c>
      <c r="B3854" s="32" t="s">
        <v>199</v>
      </c>
      <c r="C3854" t="s">
        <v>6</v>
      </c>
      <c r="D3854">
        <f>IF(B3854=$AB$2,$AC$2,$AC$3)</f>
        <v>1</v>
      </c>
      <c r="E3854">
        <f>IF(ISBLANK(C3854),0,VLOOKUP(C3854,$AE$2:$AF$7,2,0))</f>
        <v>1</v>
      </c>
      <c r="F3854">
        <f t="shared" si="128"/>
        <v>1</v>
      </c>
    </row>
    <row r="3855" spans="1:6">
      <c r="A3855" s="30">
        <f t="shared" si="127"/>
        <v>46945</v>
      </c>
      <c r="B3855" s="32" t="s">
        <v>199</v>
      </c>
      <c r="C3855" t="s">
        <v>6</v>
      </c>
      <c r="D3855">
        <f>IF(B3855=$AB$2,$AC$2,$AC$3)</f>
        <v>1</v>
      </c>
      <c r="E3855">
        <f>IF(ISBLANK(C3855),0,VLOOKUP(C3855,$AE$2:$AF$7,2,0))</f>
        <v>1</v>
      </c>
      <c r="F3855">
        <f t="shared" si="128"/>
        <v>1</v>
      </c>
    </row>
    <row r="3856" spans="1:6">
      <c r="A3856" s="30">
        <f t="shared" si="127"/>
        <v>46946</v>
      </c>
      <c r="B3856" s="32" t="s">
        <v>199</v>
      </c>
      <c r="C3856" t="s">
        <v>6</v>
      </c>
      <c r="D3856">
        <f>IF(B3856=$AB$2,$AC$2,$AC$3)</f>
        <v>1</v>
      </c>
      <c r="E3856">
        <f>IF(ISBLANK(C3856),0,VLOOKUP(C3856,$AE$2:$AF$7,2,0))</f>
        <v>1</v>
      </c>
      <c r="F3856">
        <f t="shared" si="128"/>
        <v>1</v>
      </c>
    </row>
    <row r="3857" spans="1:6">
      <c r="A3857" s="30">
        <f t="shared" si="127"/>
        <v>46947</v>
      </c>
      <c r="B3857" s="32" t="s">
        <v>199</v>
      </c>
      <c r="C3857" t="s">
        <v>6</v>
      </c>
      <c r="D3857">
        <f>IF(B3857=$AB$2,$AC$2,$AC$3)</f>
        <v>1</v>
      </c>
      <c r="E3857">
        <f>IF(ISBLANK(C3857),0,VLOOKUP(C3857,$AE$2:$AF$7,2,0))</f>
        <v>1</v>
      </c>
      <c r="F3857">
        <f t="shared" si="128"/>
        <v>1</v>
      </c>
    </row>
    <row r="3858" spans="1:6">
      <c r="A3858" s="30">
        <f t="shared" si="127"/>
        <v>46948</v>
      </c>
      <c r="B3858" s="32" t="s">
        <v>199</v>
      </c>
      <c r="C3858" t="s">
        <v>6</v>
      </c>
      <c r="D3858">
        <f>IF(B3858=$AB$2,$AC$2,$AC$3)</f>
        <v>1</v>
      </c>
      <c r="E3858">
        <f>IF(ISBLANK(C3858),0,VLOOKUP(C3858,$AE$2:$AF$7,2,0))</f>
        <v>1</v>
      </c>
      <c r="F3858">
        <f t="shared" si="128"/>
        <v>1</v>
      </c>
    </row>
    <row r="3859" spans="1:6">
      <c r="A3859" s="30">
        <f t="shared" si="127"/>
        <v>46949</v>
      </c>
      <c r="B3859" s="32" t="s">
        <v>199</v>
      </c>
      <c r="C3859" t="s">
        <v>6</v>
      </c>
      <c r="D3859">
        <f>IF(B3859=$AB$2,$AC$2,$AC$3)</f>
        <v>1</v>
      </c>
      <c r="E3859">
        <f>IF(ISBLANK(C3859),0,VLOOKUP(C3859,$AE$2:$AF$7,2,0))</f>
        <v>1</v>
      </c>
      <c r="F3859">
        <f t="shared" si="128"/>
        <v>1</v>
      </c>
    </row>
    <row r="3860" spans="1:6">
      <c r="A3860" s="30">
        <f t="shared" si="127"/>
        <v>46950</v>
      </c>
      <c r="B3860" s="32" t="s">
        <v>199</v>
      </c>
      <c r="C3860" t="s">
        <v>6</v>
      </c>
      <c r="D3860">
        <f>IF(B3860=$AB$2,$AC$2,$AC$3)</f>
        <v>1</v>
      </c>
      <c r="E3860">
        <f>IF(ISBLANK(C3860),0,VLOOKUP(C3860,$AE$2:$AF$7,2,0))</f>
        <v>1</v>
      </c>
      <c r="F3860">
        <f t="shared" si="128"/>
        <v>1</v>
      </c>
    </row>
    <row r="3861" spans="1:6">
      <c r="A3861" s="30">
        <f t="shared" si="127"/>
        <v>46951</v>
      </c>
      <c r="B3861" s="32" t="s">
        <v>199</v>
      </c>
      <c r="C3861" t="s">
        <v>6</v>
      </c>
      <c r="D3861">
        <f>IF(B3861=$AB$2,$AC$2,$AC$3)</f>
        <v>1</v>
      </c>
      <c r="E3861">
        <f>IF(ISBLANK(C3861),0,VLOOKUP(C3861,$AE$2:$AF$7,2,0))</f>
        <v>1</v>
      </c>
      <c r="F3861">
        <f t="shared" si="128"/>
        <v>1</v>
      </c>
    </row>
    <row r="3862" spans="1:6">
      <c r="A3862" s="30">
        <f t="shared" si="127"/>
        <v>46952</v>
      </c>
      <c r="B3862" s="32" t="s">
        <v>199</v>
      </c>
      <c r="C3862" t="s">
        <v>6</v>
      </c>
      <c r="D3862">
        <f>IF(B3862=$AB$2,$AC$2,$AC$3)</f>
        <v>1</v>
      </c>
      <c r="E3862">
        <f>IF(ISBLANK(C3862),0,VLOOKUP(C3862,$AE$2:$AF$7,2,0))</f>
        <v>1</v>
      </c>
      <c r="F3862">
        <f t="shared" si="128"/>
        <v>1</v>
      </c>
    </row>
    <row r="3863" spans="1:6">
      <c r="A3863" s="30">
        <f t="shared" si="127"/>
        <v>46953</v>
      </c>
      <c r="B3863" s="32" t="s">
        <v>199</v>
      </c>
      <c r="C3863" t="s">
        <v>6</v>
      </c>
      <c r="D3863">
        <f>IF(B3863=$AB$2,$AC$2,$AC$3)</f>
        <v>1</v>
      </c>
      <c r="E3863">
        <f>IF(ISBLANK(C3863),0,VLOOKUP(C3863,$AE$2:$AF$7,2,0))</f>
        <v>1</v>
      </c>
      <c r="F3863">
        <f t="shared" si="128"/>
        <v>1</v>
      </c>
    </row>
    <row r="3864" spans="1:6">
      <c r="A3864" s="30">
        <f t="shared" si="127"/>
        <v>46954</v>
      </c>
      <c r="B3864" s="32" t="s">
        <v>199</v>
      </c>
      <c r="C3864" t="s">
        <v>6</v>
      </c>
      <c r="D3864">
        <f>IF(B3864=$AB$2,$AC$2,$AC$3)</f>
        <v>1</v>
      </c>
      <c r="E3864">
        <f>IF(ISBLANK(C3864),0,VLOOKUP(C3864,$AE$2:$AF$7,2,0))</f>
        <v>1</v>
      </c>
      <c r="F3864">
        <f t="shared" si="128"/>
        <v>1</v>
      </c>
    </row>
    <row r="3865" spans="1:6">
      <c r="A3865" s="30">
        <f t="shared" si="127"/>
        <v>46955</v>
      </c>
      <c r="B3865" s="32" t="s">
        <v>199</v>
      </c>
      <c r="C3865" t="s">
        <v>6</v>
      </c>
      <c r="D3865">
        <f>IF(B3865=$AB$2,$AC$2,$AC$3)</f>
        <v>1</v>
      </c>
      <c r="E3865">
        <f>IF(ISBLANK(C3865),0,VLOOKUP(C3865,$AE$2:$AF$7,2,0))</f>
        <v>1</v>
      </c>
      <c r="F3865">
        <f t="shared" si="128"/>
        <v>1</v>
      </c>
    </row>
    <row r="3866" spans="1:6">
      <c r="A3866" s="30">
        <f t="shared" si="127"/>
        <v>46956</v>
      </c>
      <c r="B3866" s="32" t="s">
        <v>199</v>
      </c>
      <c r="C3866" t="s">
        <v>6</v>
      </c>
      <c r="D3866">
        <f>IF(B3866=$AB$2,$AC$2,$AC$3)</f>
        <v>1</v>
      </c>
      <c r="E3866">
        <f>IF(ISBLANK(C3866),0,VLOOKUP(C3866,$AE$2:$AF$7,2,0))</f>
        <v>1</v>
      </c>
      <c r="F3866">
        <f t="shared" si="128"/>
        <v>1</v>
      </c>
    </row>
    <row r="3867" spans="1:6">
      <c r="A3867" s="30">
        <f t="shared" si="127"/>
        <v>46957</v>
      </c>
      <c r="B3867" s="32" t="s">
        <v>199</v>
      </c>
      <c r="C3867" t="s">
        <v>6</v>
      </c>
      <c r="D3867">
        <f>IF(B3867=$AB$2,$AC$2,$AC$3)</f>
        <v>1</v>
      </c>
      <c r="E3867">
        <f>IF(ISBLANK(C3867),0,VLOOKUP(C3867,$AE$2:$AF$7,2,0))</f>
        <v>1</v>
      </c>
      <c r="F3867">
        <f t="shared" si="128"/>
        <v>1</v>
      </c>
    </row>
    <row r="3868" spans="1:6">
      <c r="A3868" s="30">
        <f t="shared" si="127"/>
        <v>46958</v>
      </c>
      <c r="B3868" s="32" t="s">
        <v>199</v>
      </c>
      <c r="C3868" t="s">
        <v>6</v>
      </c>
      <c r="D3868">
        <f>IF(B3868=$AB$2,$AC$2,$AC$3)</f>
        <v>1</v>
      </c>
      <c r="E3868">
        <f>IF(ISBLANK(C3868),0,VLOOKUP(C3868,$AE$2:$AF$7,2,0))</f>
        <v>1</v>
      </c>
      <c r="F3868">
        <f t="shared" si="128"/>
        <v>1</v>
      </c>
    </row>
    <row r="3869" spans="1:6">
      <c r="A3869" s="30">
        <f t="shared" si="127"/>
        <v>46959</v>
      </c>
      <c r="B3869" s="32" t="s">
        <v>199</v>
      </c>
      <c r="C3869" t="s">
        <v>6</v>
      </c>
      <c r="D3869">
        <f>IF(B3869=$AB$2,$AC$2,$AC$3)</f>
        <v>1</v>
      </c>
      <c r="E3869">
        <f>IF(ISBLANK(C3869),0,VLOOKUP(C3869,$AE$2:$AF$7,2,0))</f>
        <v>1</v>
      </c>
      <c r="F3869">
        <f t="shared" si="128"/>
        <v>1</v>
      </c>
    </row>
    <row r="3870" spans="1:6">
      <c r="A3870" s="30">
        <f t="shared" si="127"/>
        <v>46960</v>
      </c>
      <c r="B3870" s="32" t="s">
        <v>199</v>
      </c>
      <c r="C3870" t="s">
        <v>6</v>
      </c>
      <c r="D3870">
        <f>IF(B3870=$AB$2,$AC$2,$AC$3)</f>
        <v>1</v>
      </c>
      <c r="E3870">
        <f>IF(ISBLANK(C3870),0,VLOOKUP(C3870,$AE$2:$AF$7,2,0))</f>
        <v>1</v>
      </c>
      <c r="F3870">
        <f t="shared" si="128"/>
        <v>1</v>
      </c>
    </row>
    <row r="3871" spans="1:6">
      <c r="A3871" s="30">
        <f t="shared" si="127"/>
        <v>46961</v>
      </c>
      <c r="B3871" s="32" t="s">
        <v>199</v>
      </c>
      <c r="C3871" t="s">
        <v>6</v>
      </c>
      <c r="D3871">
        <f>IF(B3871=$AB$2,$AC$2,$AC$3)</f>
        <v>1</v>
      </c>
      <c r="E3871">
        <f>IF(ISBLANK(C3871),0,VLOOKUP(C3871,$AE$2:$AF$7,2,0))</f>
        <v>1</v>
      </c>
      <c r="F3871">
        <f t="shared" si="128"/>
        <v>1</v>
      </c>
    </row>
    <row r="3872" spans="1:6">
      <c r="A3872" s="30">
        <f t="shared" si="127"/>
        <v>46962</v>
      </c>
      <c r="B3872" s="32" t="s">
        <v>199</v>
      </c>
      <c r="C3872" t="s">
        <v>6</v>
      </c>
      <c r="D3872">
        <f>IF(B3872=$AB$2,$AC$2,$AC$3)</f>
        <v>1</v>
      </c>
      <c r="E3872">
        <f>IF(ISBLANK(C3872),0,VLOOKUP(C3872,$AE$2:$AF$7,2,0))</f>
        <v>1</v>
      </c>
      <c r="F3872">
        <f t="shared" si="128"/>
        <v>1</v>
      </c>
    </row>
    <row r="3873" spans="1:6">
      <c r="A3873" s="30">
        <f t="shared" si="127"/>
        <v>46963</v>
      </c>
      <c r="B3873" s="32" t="s">
        <v>199</v>
      </c>
      <c r="C3873" t="s">
        <v>6</v>
      </c>
      <c r="D3873">
        <f>IF(B3873=$AB$2,$AC$2,$AC$3)</f>
        <v>1</v>
      </c>
      <c r="E3873">
        <f>IF(ISBLANK(C3873),0,VLOOKUP(C3873,$AE$2:$AF$7,2,0))</f>
        <v>1</v>
      </c>
      <c r="F3873">
        <f t="shared" si="128"/>
        <v>1</v>
      </c>
    </row>
    <row r="3874" spans="1:6">
      <c r="A3874" s="30">
        <f t="shared" si="127"/>
        <v>46964</v>
      </c>
      <c r="B3874" s="32" t="s">
        <v>199</v>
      </c>
      <c r="C3874" t="s">
        <v>6</v>
      </c>
      <c r="D3874">
        <f>IF(B3874=$AB$2,$AC$2,$AC$3)</f>
        <v>1</v>
      </c>
      <c r="E3874">
        <f>IF(ISBLANK(C3874),0,VLOOKUP(C3874,$AE$2:$AF$7,2,0))</f>
        <v>1</v>
      </c>
      <c r="F3874">
        <f t="shared" si="128"/>
        <v>1</v>
      </c>
    </row>
    <row r="3875" spans="1:6">
      <c r="A3875" s="30">
        <f t="shared" si="127"/>
        <v>46965</v>
      </c>
      <c r="B3875" s="32" t="s">
        <v>199</v>
      </c>
      <c r="C3875" t="s">
        <v>6</v>
      </c>
      <c r="D3875">
        <f>IF(B3875=$AB$2,$AC$2,$AC$3)</f>
        <v>1</v>
      </c>
      <c r="E3875">
        <f>IF(ISBLANK(C3875),0,VLOOKUP(C3875,$AE$2:$AF$7,2,0))</f>
        <v>1</v>
      </c>
      <c r="F3875">
        <f t="shared" si="128"/>
        <v>1</v>
      </c>
    </row>
    <row r="3876" spans="1:6">
      <c r="A3876" s="30">
        <f t="shared" si="127"/>
        <v>46966</v>
      </c>
      <c r="B3876" s="32" t="s">
        <v>199</v>
      </c>
      <c r="C3876" t="s">
        <v>6</v>
      </c>
      <c r="D3876">
        <f>IF(B3876=$AB$2,$AC$2,$AC$3)</f>
        <v>1</v>
      </c>
      <c r="E3876">
        <f>IF(ISBLANK(C3876),0,VLOOKUP(C3876,$AE$2:$AF$7,2,0))</f>
        <v>1</v>
      </c>
      <c r="F3876">
        <f t="shared" si="128"/>
        <v>1</v>
      </c>
    </row>
    <row r="3877" spans="1:6">
      <c r="A3877" s="30">
        <f t="shared" si="127"/>
        <v>46967</v>
      </c>
      <c r="B3877" s="32" t="s">
        <v>199</v>
      </c>
      <c r="C3877" t="s">
        <v>6</v>
      </c>
      <c r="D3877">
        <f>IF(B3877=$AB$2,$AC$2,$AC$3)</f>
        <v>1</v>
      </c>
      <c r="E3877">
        <f>IF(ISBLANK(C3877),0,VLOOKUP(C3877,$AE$2:$AF$7,2,0))</f>
        <v>1</v>
      </c>
      <c r="F3877">
        <f t="shared" si="128"/>
        <v>1</v>
      </c>
    </row>
    <row r="3878" spans="1:6">
      <c r="A3878" s="30">
        <f t="shared" si="127"/>
        <v>46968</v>
      </c>
      <c r="B3878" s="32" t="s">
        <v>199</v>
      </c>
      <c r="C3878" t="s">
        <v>6</v>
      </c>
      <c r="D3878">
        <f>IF(B3878=$AB$2,$AC$2,$AC$3)</f>
        <v>1</v>
      </c>
      <c r="E3878">
        <f>IF(ISBLANK(C3878),0,VLOOKUP(C3878,$AE$2:$AF$7,2,0))</f>
        <v>1</v>
      </c>
      <c r="F3878">
        <f t="shared" si="128"/>
        <v>1</v>
      </c>
    </row>
    <row r="3879" spans="1:6">
      <c r="A3879" s="30">
        <f>A3878+1</f>
        <v>46969</v>
      </c>
      <c r="B3879" s="32" t="s">
        <v>199</v>
      </c>
      <c r="C3879" t="s">
        <v>6</v>
      </c>
      <c r="D3879">
        <f>IF(B3879=$AB$2,$AC$2,$AC$3)</f>
        <v>1</v>
      </c>
      <c r="E3879">
        <f>IF(ISBLANK(C3879),0,VLOOKUP(C3879,$AE$2:$AF$7,2,0))</f>
        <v>1</v>
      </c>
      <c r="F3879">
        <f t="shared" si="128"/>
        <v>1</v>
      </c>
    </row>
    <row r="3880" spans="1:6">
      <c r="A3880" s="30">
        <f t="shared" ref="A3880:A3943" si="129">A3879+1</f>
        <v>46970</v>
      </c>
      <c r="B3880" s="32" t="s">
        <v>199</v>
      </c>
      <c r="C3880" t="s">
        <v>6</v>
      </c>
      <c r="D3880">
        <f>IF(B3880=$AB$2,$AC$2,$AC$3)</f>
        <v>1</v>
      </c>
      <c r="E3880">
        <f>IF(ISBLANK(C3880),0,VLOOKUP(C3880,$AE$2:$AF$7,2,0))</f>
        <v>1</v>
      </c>
      <c r="F3880">
        <f t="shared" si="128"/>
        <v>1</v>
      </c>
    </row>
    <row r="3881" spans="1:6">
      <c r="A3881" s="30">
        <f t="shared" si="129"/>
        <v>46971</v>
      </c>
      <c r="B3881" s="32" t="s">
        <v>199</v>
      </c>
      <c r="C3881" t="s">
        <v>6</v>
      </c>
      <c r="D3881">
        <f>IF(B3881=$AB$2,$AC$2,$AC$3)</f>
        <v>1</v>
      </c>
      <c r="E3881">
        <f>IF(ISBLANK(C3881),0,VLOOKUP(C3881,$AE$2:$AF$7,2,0))</f>
        <v>1</v>
      </c>
      <c r="F3881">
        <f t="shared" si="128"/>
        <v>1</v>
      </c>
    </row>
    <row r="3882" spans="1:6">
      <c r="A3882" s="30">
        <f t="shared" si="129"/>
        <v>46972</v>
      </c>
      <c r="B3882" s="32" t="s">
        <v>199</v>
      </c>
      <c r="C3882" t="s">
        <v>6</v>
      </c>
      <c r="D3882">
        <f>IF(B3882=$AB$2,$AC$2,$AC$3)</f>
        <v>1</v>
      </c>
      <c r="E3882">
        <f>IF(ISBLANK(C3882),0,VLOOKUP(C3882,$AE$2:$AF$7,2,0))</f>
        <v>1</v>
      </c>
      <c r="F3882">
        <f t="shared" si="128"/>
        <v>1</v>
      </c>
    </row>
    <row r="3883" spans="1:6">
      <c r="A3883" s="30">
        <f t="shared" si="129"/>
        <v>46973</v>
      </c>
      <c r="B3883" s="32" t="s">
        <v>199</v>
      </c>
      <c r="C3883" t="s">
        <v>6</v>
      </c>
      <c r="D3883">
        <f>IF(B3883=$AB$2,$AC$2,$AC$3)</f>
        <v>1</v>
      </c>
      <c r="E3883">
        <f>IF(ISBLANK(C3883),0,VLOOKUP(C3883,$AE$2:$AF$7,2,0))</f>
        <v>1</v>
      </c>
      <c r="F3883">
        <f t="shared" si="128"/>
        <v>1</v>
      </c>
    </row>
    <row r="3884" spans="1:6">
      <c r="A3884" s="30">
        <f t="shared" si="129"/>
        <v>46974</v>
      </c>
      <c r="B3884" s="32" t="s">
        <v>199</v>
      </c>
      <c r="C3884" t="s">
        <v>6</v>
      </c>
      <c r="D3884">
        <f>IF(B3884=$AB$2,$AC$2,$AC$3)</f>
        <v>1</v>
      </c>
      <c r="E3884">
        <f>IF(ISBLANK(C3884),0,VLOOKUP(C3884,$AE$2:$AF$7,2,0))</f>
        <v>1</v>
      </c>
      <c r="F3884">
        <f t="shared" si="128"/>
        <v>1</v>
      </c>
    </row>
    <row r="3885" spans="1:6">
      <c r="A3885" s="30">
        <f t="shared" si="129"/>
        <v>46975</v>
      </c>
      <c r="B3885" s="32" t="s">
        <v>199</v>
      </c>
      <c r="C3885" t="s">
        <v>6</v>
      </c>
      <c r="D3885">
        <f>IF(B3885=$AB$2,$AC$2,$AC$3)</f>
        <v>1</v>
      </c>
      <c r="E3885">
        <f>IF(ISBLANK(C3885),0,VLOOKUP(C3885,$AE$2:$AF$7,2,0))</f>
        <v>1</v>
      </c>
      <c r="F3885">
        <f t="shared" si="128"/>
        <v>1</v>
      </c>
    </row>
    <row r="3886" spans="1:6">
      <c r="A3886" s="30">
        <f t="shared" si="129"/>
        <v>46976</v>
      </c>
      <c r="B3886" s="32" t="s">
        <v>199</v>
      </c>
      <c r="C3886" t="s">
        <v>6</v>
      </c>
      <c r="D3886">
        <f>IF(B3886=$AB$2,$AC$2,$AC$3)</f>
        <v>1</v>
      </c>
      <c r="E3886">
        <f>IF(ISBLANK(C3886),0,VLOOKUP(C3886,$AE$2:$AF$7,2,0))</f>
        <v>1</v>
      </c>
      <c r="F3886">
        <f t="shared" si="128"/>
        <v>1</v>
      </c>
    </row>
    <row r="3887" spans="1:6">
      <c r="A3887" s="30">
        <f t="shared" si="129"/>
        <v>46977</v>
      </c>
      <c r="B3887" s="32" t="s">
        <v>199</v>
      </c>
      <c r="C3887" t="s">
        <v>6</v>
      </c>
      <c r="D3887">
        <f>IF(B3887=$AB$2,$AC$2,$AC$3)</f>
        <v>1</v>
      </c>
      <c r="E3887">
        <f>IF(ISBLANK(C3887),0,VLOOKUP(C3887,$AE$2:$AF$7,2,0))</f>
        <v>1</v>
      </c>
      <c r="F3887">
        <f t="shared" si="128"/>
        <v>1</v>
      </c>
    </row>
    <row r="3888" spans="1:6">
      <c r="A3888" s="30">
        <f t="shared" si="129"/>
        <v>46978</v>
      </c>
      <c r="B3888" s="32" t="s">
        <v>199</v>
      </c>
      <c r="C3888" t="s">
        <v>6</v>
      </c>
      <c r="D3888">
        <f>IF(B3888=$AB$2,$AC$2,$AC$3)</f>
        <v>1</v>
      </c>
      <c r="E3888">
        <f>IF(ISBLANK(C3888),0,VLOOKUP(C3888,$AE$2:$AF$7,2,0))</f>
        <v>1</v>
      </c>
      <c r="F3888">
        <f t="shared" si="128"/>
        <v>1</v>
      </c>
    </row>
    <row r="3889" spans="1:6">
      <c r="A3889" s="30">
        <f t="shared" si="129"/>
        <v>46979</v>
      </c>
      <c r="B3889" s="32" t="s">
        <v>199</v>
      </c>
      <c r="C3889" t="s">
        <v>6</v>
      </c>
      <c r="D3889">
        <f>IF(B3889=$AB$2,$AC$2,$AC$3)</f>
        <v>1</v>
      </c>
      <c r="E3889">
        <f>IF(ISBLANK(C3889),0,VLOOKUP(C3889,$AE$2:$AF$7,2,0))</f>
        <v>1</v>
      </c>
      <c r="F3889">
        <f t="shared" si="128"/>
        <v>1</v>
      </c>
    </row>
    <row r="3890" spans="1:6">
      <c r="A3890" s="30">
        <f t="shared" si="129"/>
        <v>46980</v>
      </c>
      <c r="B3890" s="32" t="s">
        <v>199</v>
      </c>
      <c r="C3890" t="s">
        <v>6</v>
      </c>
      <c r="D3890">
        <f>IF(B3890=$AB$2,$AC$2,$AC$3)</f>
        <v>1</v>
      </c>
      <c r="E3890">
        <f>IF(ISBLANK(C3890),0,VLOOKUP(C3890,$AE$2:$AF$7,2,0))</f>
        <v>1</v>
      </c>
      <c r="F3890">
        <f t="shared" si="128"/>
        <v>1</v>
      </c>
    </row>
    <row r="3891" spans="1:6">
      <c r="A3891" s="30">
        <f t="shared" si="129"/>
        <v>46981</v>
      </c>
      <c r="B3891" s="32" t="s">
        <v>199</v>
      </c>
      <c r="C3891" t="s">
        <v>6</v>
      </c>
      <c r="D3891">
        <f>IF(B3891=$AB$2,$AC$2,$AC$3)</f>
        <v>1</v>
      </c>
      <c r="E3891">
        <f>IF(ISBLANK(C3891),0,VLOOKUP(C3891,$AE$2:$AF$7,2,0))</f>
        <v>1</v>
      </c>
      <c r="F3891">
        <f t="shared" si="128"/>
        <v>1</v>
      </c>
    </row>
    <row r="3892" spans="1:6">
      <c r="A3892" s="30">
        <f t="shared" si="129"/>
        <v>46982</v>
      </c>
      <c r="B3892" s="32" t="s">
        <v>199</v>
      </c>
      <c r="C3892" t="s">
        <v>6</v>
      </c>
      <c r="D3892">
        <f>IF(B3892=$AB$2,$AC$2,$AC$3)</f>
        <v>1</v>
      </c>
      <c r="E3892">
        <f>IF(ISBLANK(C3892),0,VLOOKUP(C3892,$AE$2:$AF$7,2,0))</f>
        <v>1</v>
      </c>
      <c r="F3892">
        <f t="shared" si="128"/>
        <v>1</v>
      </c>
    </row>
    <row r="3893" spans="1:6">
      <c r="A3893" s="30">
        <f t="shared" si="129"/>
        <v>46983</v>
      </c>
      <c r="B3893" s="32" t="s">
        <v>199</v>
      </c>
      <c r="C3893" t="s">
        <v>6</v>
      </c>
      <c r="D3893">
        <f>IF(B3893=$AB$2,$AC$2,$AC$3)</f>
        <v>1</v>
      </c>
      <c r="E3893">
        <f>IF(ISBLANK(C3893),0,VLOOKUP(C3893,$AE$2:$AF$7,2,0))</f>
        <v>1</v>
      </c>
      <c r="F3893">
        <f t="shared" si="128"/>
        <v>1</v>
      </c>
    </row>
    <row r="3894" spans="1:6">
      <c r="A3894" s="30">
        <f t="shared" si="129"/>
        <v>46984</v>
      </c>
      <c r="B3894" s="32" t="s">
        <v>199</v>
      </c>
      <c r="C3894" t="s">
        <v>6</v>
      </c>
      <c r="D3894">
        <f>IF(B3894=$AB$2,$AC$2,$AC$3)</f>
        <v>1</v>
      </c>
      <c r="E3894">
        <f>IF(ISBLANK(C3894),0,VLOOKUP(C3894,$AE$2:$AF$7,2,0))</f>
        <v>1</v>
      </c>
      <c r="F3894">
        <f t="shared" si="128"/>
        <v>1</v>
      </c>
    </row>
    <row r="3895" spans="1:6">
      <c r="A3895" s="30">
        <f t="shared" si="129"/>
        <v>46985</v>
      </c>
      <c r="B3895" s="32" t="s">
        <v>199</v>
      </c>
      <c r="C3895" t="s">
        <v>6</v>
      </c>
      <c r="D3895">
        <f>IF(B3895=$AB$2,$AC$2,$AC$3)</f>
        <v>1</v>
      </c>
      <c r="E3895">
        <f>IF(ISBLANK(C3895),0,VLOOKUP(C3895,$AE$2:$AF$7,2,0))</f>
        <v>1</v>
      </c>
      <c r="F3895">
        <f t="shared" si="128"/>
        <v>1</v>
      </c>
    </row>
    <row r="3896" spans="1:6">
      <c r="A3896" s="30">
        <f t="shared" si="129"/>
        <v>46986</v>
      </c>
      <c r="B3896" s="32" t="s">
        <v>199</v>
      </c>
      <c r="C3896" t="s">
        <v>6</v>
      </c>
      <c r="D3896">
        <f>IF(B3896=$AB$2,$AC$2,$AC$3)</f>
        <v>1</v>
      </c>
      <c r="E3896">
        <f>IF(ISBLANK(C3896),0,VLOOKUP(C3896,$AE$2:$AF$7,2,0))</f>
        <v>1</v>
      </c>
      <c r="F3896">
        <f t="shared" si="128"/>
        <v>1</v>
      </c>
    </row>
    <row r="3897" spans="1:6">
      <c r="A3897" s="30">
        <f t="shared" si="129"/>
        <v>46987</v>
      </c>
      <c r="B3897" s="32" t="s">
        <v>199</v>
      </c>
      <c r="C3897" t="s">
        <v>6</v>
      </c>
      <c r="D3897">
        <f>IF(B3897=$AB$2,$AC$2,$AC$3)</f>
        <v>1</v>
      </c>
      <c r="E3897">
        <f>IF(ISBLANK(C3897),0,VLOOKUP(C3897,$AE$2:$AF$7,2,0))</f>
        <v>1</v>
      </c>
      <c r="F3897">
        <f t="shared" si="128"/>
        <v>1</v>
      </c>
    </row>
    <row r="3898" spans="1:6">
      <c r="A3898" s="30">
        <f t="shared" si="129"/>
        <v>46988</v>
      </c>
      <c r="B3898" s="32" t="s">
        <v>199</v>
      </c>
      <c r="C3898" t="s">
        <v>6</v>
      </c>
      <c r="D3898">
        <f>IF(B3898=$AB$2,$AC$2,$AC$3)</f>
        <v>1</v>
      </c>
      <c r="E3898">
        <f>IF(ISBLANK(C3898),0,VLOOKUP(C3898,$AE$2:$AF$7,2,0))</f>
        <v>1</v>
      </c>
      <c r="F3898">
        <f t="shared" si="128"/>
        <v>1</v>
      </c>
    </row>
    <row r="3899" spans="1:6">
      <c r="A3899" s="30">
        <f t="shared" si="129"/>
        <v>46989</v>
      </c>
      <c r="B3899" s="32" t="s">
        <v>199</v>
      </c>
      <c r="C3899" t="s">
        <v>6</v>
      </c>
      <c r="D3899">
        <f>IF(B3899=$AB$2,$AC$2,$AC$3)</f>
        <v>1</v>
      </c>
      <c r="E3899">
        <f>IF(ISBLANK(C3899),0,VLOOKUP(C3899,$AE$2:$AF$7,2,0))</f>
        <v>1</v>
      </c>
      <c r="F3899">
        <f t="shared" si="128"/>
        <v>1</v>
      </c>
    </row>
    <row r="3900" spans="1:6">
      <c r="A3900" s="30">
        <f t="shared" si="129"/>
        <v>46990</v>
      </c>
      <c r="B3900" s="32" t="s">
        <v>199</v>
      </c>
      <c r="C3900" t="s">
        <v>6</v>
      </c>
      <c r="D3900">
        <f>IF(B3900=$AB$2,$AC$2,$AC$3)</f>
        <v>1</v>
      </c>
      <c r="E3900">
        <f>IF(ISBLANK(C3900),0,VLOOKUP(C3900,$AE$2:$AF$7,2,0))</f>
        <v>1</v>
      </c>
      <c r="F3900">
        <f t="shared" si="128"/>
        <v>1</v>
      </c>
    </row>
    <row r="3901" spans="1:6">
      <c r="A3901" s="30">
        <f t="shared" si="129"/>
        <v>46991</v>
      </c>
      <c r="B3901" s="32" t="s">
        <v>199</v>
      </c>
      <c r="C3901" t="s">
        <v>6</v>
      </c>
      <c r="D3901">
        <f>IF(B3901=$AB$2,$AC$2,$AC$3)</f>
        <v>1</v>
      </c>
      <c r="E3901">
        <f>IF(ISBLANK(C3901),0,VLOOKUP(C3901,$AE$2:$AF$7,2,0))</f>
        <v>1</v>
      </c>
      <c r="F3901">
        <f t="shared" si="128"/>
        <v>1</v>
      </c>
    </row>
    <row r="3902" spans="1:6">
      <c r="A3902" s="30">
        <f t="shared" si="129"/>
        <v>46992</v>
      </c>
      <c r="B3902" s="32" t="s">
        <v>199</v>
      </c>
      <c r="C3902" t="s">
        <v>6</v>
      </c>
      <c r="D3902">
        <f>IF(B3902=$AB$2,$AC$2,$AC$3)</f>
        <v>1</v>
      </c>
      <c r="E3902">
        <f>IF(ISBLANK(C3902),0,VLOOKUP(C3902,$AE$2:$AF$7,2,0))</f>
        <v>1</v>
      </c>
      <c r="F3902">
        <f t="shared" si="128"/>
        <v>1</v>
      </c>
    </row>
    <row r="3903" spans="1:6">
      <c r="A3903" s="30">
        <f t="shared" si="129"/>
        <v>46993</v>
      </c>
      <c r="B3903" s="32" t="s">
        <v>199</v>
      </c>
      <c r="C3903" t="s">
        <v>6</v>
      </c>
      <c r="D3903">
        <f>IF(B3903=$AB$2,$AC$2,$AC$3)</f>
        <v>1</v>
      </c>
      <c r="E3903">
        <f>IF(ISBLANK(C3903),0,VLOOKUP(C3903,$AE$2:$AF$7,2,0))</f>
        <v>1</v>
      </c>
      <c r="F3903">
        <f t="shared" si="128"/>
        <v>1</v>
      </c>
    </row>
    <row r="3904" spans="1:6">
      <c r="A3904" s="30">
        <f t="shared" si="129"/>
        <v>46994</v>
      </c>
      <c r="B3904" s="32" t="s">
        <v>199</v>
      </c>
      <c r="C3904" t="s">
        <v>6</v>
      </c>
      <c r="D3904">
        <f>IF(B3904=$AB$2,$AC$2,$AC$3)</f>
        <v>1</v>
      </c>
      <c r="E3904">
        <f>IF(ISBLANK(C3904),0,VLOOKUP(C3904,$AE$2:$AF$7,2,0))</f>
        <v>1</v>
      </c>
      <c r="F3904">
        <f t="shared" si="128"/>
        <v>1</v>
      </c>
    </row>
    <row r="3905" spans="1:6">
      <c r="A3905" s="30">
        <f t="shared" si="129"/>
        <v>46995</v>
      </c>
      <c r="B3905" s="32" t="s">
        <v>199</v>
      </c>
      <c r="C3905" t="s">
        <v>6</v>
      </c>
      <c r="D3905">
        <f>IF(B3905=$AB$2,$AC$2,$AC$3)</f>
        <v>1</v>
      </c>
      <c r="E3905">
        <f>IF(ISBLANK(C3905),0,VLOOKUP(C3905,$AE$2:$AF$7,2,0))</f>
        <v>1</v>
      </c>
      <c r="F3905">
        <f t="shared" si="128"/>
        <v>1</v>
      </c>
    </row>
    <row r="3906" spans="1:6">
      <c r="A3906" s="30">
        <f t="shared" si="129"/>
        <v>46996</v>
      </c>
      <c r="B3906" s="32" t="s">
        <v>199</v>
      </c>
      <c r="C3906" t="s">
        <v>6</v>
      </c>
      <c r="D3906">
        <f>IF(B3906=$AB$2,$AC$2,$AC$3)</f>
        <v>1</v>
      </c>
      <c r="E3906">
        <f>IF(ISBLANK(C3906),0,VLOOKUP(C3906,$AE$2:$AF$7,2,0))</f>
        <v>1</v>
      </c>
      <c r="F3906">
        <f t="shared" si="128"/>
        <v>1</v>
      </c>
    </row>
    <row r="3907" spans="1:6">
      <c r="A3907" s="30">
        <f t="shared" si="129"/>
        <v>46997</v>
      </c>
      <c r="B3907" s="32" t="s">
        <v>199</v>
      </c>
      <c r="C3907" t="s">
        <v>6</v>
      </c>
      <c r="D3907">
        <f>IF(B3907=$AB$2,$AC$2,$AC$3)</f>
        <v>1</v>
      </c>
      <c r="E3907">
        <f>IF(ISBLANK(C3907),0,VLOOKUP(C3907,$AE$2:$AF$7,2,0))</f>
        <v>1</v>
      </c>
      <c r="F3907">
        <f t="shared" ref="F3907:F3970" si="130">D3907*E3907</f>
        <v>1</v>
      </c>
    </row>
    <row r="3908" spans="1:6">
      <c r="A3908" s="30">
        <f t="shared" si="129"/>
        <v>46998</v>
      </c>
      <c r="B3908" s="32" t="s">
        <v>199</v>
      </c>
      <c r="C3908" t="s">
        <v>6</v>
      </c>
      <c r="D3908">
        <f>IF(B3908=$AB$2,$AC$2,$AC$3)</f>
        <v>1</v>
      </c>
      <c r="E3908">
        <f>IF(ISBLANK(C3908),0,VLOOKUP(C3908,$AE$2:$AF$7,2,0))</f>
        <v>1</v>
      </c>
      <c r="F3908">
        <f t="shared" si="130"/>
        <v>1</v>
      </c>
    </row>
    <row r="3909" spans="1:6">
      <c r="A3909" s="30">
        <f t="shared" si="129"/>
        <v>46999</v>
      </c>
      <c r="B3909" s="32" t="s">
        <v>199</v>
      </c>
      <c r="C3909" t="s">
        <v>6</v>
      </c>
      <c r="D3909">
        <f>IF(B3909=$AB$2,$AC$2,$AC$3)</f>
        <v>1</v>
      </c>
      <c r="E3909">
        <f>IF(ISBLANK(C3909),0,VLOOKUP(C3909,$AE$2:$AF$7,2,0))</f>
        <v>1</v>
      </c>
      <c r="F3909">
        <f t="shared" si="130"/>
        <v>1</v>
      </c>
    </row>
    <row r="3910" spans="1:6">
      <c r="A3910" s="30">
        <f t="shared" si="129"/>
        <v>47000</v>
      </c>
      <c r="B3910" s="32" t="s">
        <v>199</v>
      </c>
      <c r="C3910" t="s">
        <v>6</v>
      </c>
      <c r="D3910">
        <f>IF(B3910=$AB$2,$AC$2,$AC$3)</f>
        <v>1</v>
      </c>
      <c r="E3910">
        <f>IF(ISBLANK(C3910),0,VLOOKUP(C3910,$AE$2:$AF$7,2,0))</f>
        <v>1</v>
      </c>
      <c r="F3910">
        <f t="shared" si="130"/>
        <v>1</v>
      </c>
    </row>
    <row r="3911" spans="1:6">
      <c r="A3911" s="30">
        <f t="shared" si="129"/>
        <v>47001</v>
      </c>
      <c r="B3911" s="32" t="s">
        <v>199</v>
      </c>
      <c r="C3911" t="s">
        <v>6</v>
      </c>
      <c r="D3911">
        <f>IF(B3911=$AB$2,$AC$2,$AC$3)</f>
        <v>1</v>
      </c>
      <c r="E3911">
        <f>IF(ISBLANK(C3911),0,VLOOKUP(C3911,$AE$2:$AF$7,2,0))</f>
        <v>1</v>
      </c>
      <c r="F3911">
        <f t="shared" si="130"/>
        <v>1</v>
      </c>
    </row>
    <row r="3912" spans="1:6">
      <c r="A3912" s="30">
        <f t="shared" si="129"/>
        <v>47002</v>
      </c>
      <c r="B3912" s="32" t="s">
        <v>199</v>
      </c>
      <c r="C3912" t="s">
        <v>6</v>
      </c>
      <c r="D3912">
        <f>IF(B3912=$AB$2,$AC$2,$AC$3)</f>
        <v>1</v>
      </c>
      <c r="E3912">
        <f>IF(ISBLANK(C3912),0,VLOOKUP(C3912,$AE$2:$AF$7,2,0))</f>
        <v>1</v>
      </c>
      <c r="F3912">
        <f t="shared" si="130"/>
        <v>1</v>
      </c>
    </row>
    <row r="3913" spans="1:6">
      <c r="A3913" s="30">
        <f t="shared" si="129"/>
        <v>47003</v>
      </c>
      <c r="B3913" s="32" t="s">
        <v>199</v>
      </c>
      <c r="C3913" t="s">
        <v>6</v>
      </c>
      <c r="D3913">
        <f>IF(B3913=$AB$2,$AC$2,$AC$3)</f>
        <v>1</v>
      </c>
      <c r="E3913">
        <f>IF(ISBLANK(C3913),0,VLOOKUP(C3913,$AE$2:$AF$7,2,0))</f>
        <v>1</v>
      </c>
      <c r="F3913">
        <f t="shared" si="130"/>
        <v>1</v>
      </c>
    </row>
    <row r="3914" spans="1:6">
      <c r="A3914" s="30">
        <f t="shared" si="129"/>
        <v>47004</v>
      </c>
      <c r="B3914" s="32" t="s">
        <v>199</v>
      </c>
      <c r="C3914" t="s">
        <v>6</v>
      </c>
      <c r="D3914">
        <f>IF(B3914=$AB$2,$AC$2,$AC$3)</f>
        <v>1</v>
      </c>
      <c r="E3914">
        <f>IF(ISBLANK(C3914),0,VLOOKUP(C3914,$AE$2:$AF$7,2,0))</f>
        <v>1</v>
      </c>
      <c r="F3914">
        <f t="shared" si="130"/>
        <v>1</v>
      </c>
    </row>
    <row r="3915" spans="1:6">
      <c r="A3915" s="30">
        <f t="shared" si="129"/>
        <v>47005</v>
      </c>
      <c r="B3915" s="32" t="s">
        <v>199</v>
      </c>
      <c r="C3915" t="s">
        <v>6</v>
      </c>
      <c r="D3915">
        <f>IF(B3915=$AB$2,$AC$2,$AC$3)</f>
        <v>1</v>
      </c>
      <c r="E3915">
        <f>IF(ISBLANK(C3915),0,VLOOKUP(C3915,$AE$2:$AF$7,2,0))</f>
        <v>1</v>
      </c>
      <c r="F3915">
        <f t="shared" si="130"/>
        <v>1</v>
      </c>
    </row>
    <row r="3916" spans="1:6">
      <c r="A3916" s="30">
        <f t="shared" si="129"/>
        <v>47006</v>
      </c>
      <c r="B3916" s="32" t="s">
        <v>199</v>
      </c>
      <c r="C3916" t="s">
        <v>6</v>
      </c>
      <c r="D3916">
        <f>IF(B3916=$AB$2,$AC$2,$AC$3)</f>
        <v>1</v>
      </c>
      <c r="E3916">
        <f>IF(ISBLANK(C3916),0,VLOOKUP(C3916,$AE$2:$AF$7,2,0))</f>
        <v>1</v>
      </c>
      <c r="F3916">
        <f t="shared" si="130"/>
        <v>1</v>
      </c>
    </row>
    <row r="3917" spans="1:6">
      <c r="A3917" s="30">
        <f t="shared" si="129"/>
        <v>47007</v>
      </c>
      <c r="B3917" s="32" t="s">
        <v>199</v>
      </c>
      <c r="C3917" t="s">
        <v>6</v>
      </c>
      <c r="D3917">
        <f>IF(B3917=$AB$2,$AC$2,$AC$3)</f>
        <v>1</v>
      </c>
      <c r="E3917">
        <f>IF(ISBLANK(C3917),0,VLOOKUP(C3917,$AE$2:$AF$7,2,0))</f>
        <v>1</v>
      </c>
      <c r="F3917">
        <f t="shared" si="130"/>
        <v>1</v>
      </c>
    </row>
    <row r="3918" spans="1:6">
      <c r="A3918" s="30">
        <f t="shared" si="129"/>
        <v>47008</v>
      </c>
      <c r="B3918" s="32" t="s">
        <v>199</v>
      </c>
      <c r="C3918" t="s">
        <v>6</v>
      </c>
      <c r="D3918">
        <f>IF(B3918=$AB$2,$AC$2,$AC$3)</f>
        <v>1</v>
      </c>
      <c r="E3918">
        <f>IF(ISBLANK(C3918),0,VLOOKUP(C3918,$AE$2:$AF$7,2,0))</f>
        <v>1</v>
      </c>
      <c r="F3918">
        <f t="shared" si="130"/>
        <v>1</v>
      </c>
    </row>
    <row r="3919" spans="1:6">
      <c r="A3919" s="30">
        <f t="shared" si="129"/>
        <v>47009</v>
      </c>
      <c r="B3919" s="32" t="s">
        <v>199</v>
      </c>
      <c r="C3919" t="s">
        <v>6</v>
      </c>
      <c r="D3919">
        <f>IF(B3919=$AB$2,$AC$2,$AC$3)</f>
        <v>1</v>
      </c>
      <c r="E3919">
        <f>IF(ISBLANK(C3919),0,VLOOKUP(C3919,$AE$2:$AF$7,2,0))</f>
        <v>1</v>
      </c>
      <c r="F3919">
        <f t="shared" si="130"/>
        <v>1</v>
      </c>
    </row>
    <row r="3920" spans="1:6">
      <c r="A3920" s="30">
        <f t="shared" si="129"/>
        <v>47010</v>
      </c>
      <c r="B3920" s="32" t="s">
        <v>199</v>
      </c>
      <c r="C3920" t="s">
        <v>6</v>
      </c>
      <c r="D3920">
        <f>IF(B3920=$AB$2,$AC$2,$AC$3)</f>
        <v>1</v>
      </c>
      <c r="E3920">
        <f>IF(ISBLANK(C3920),0,VLOOKUP(C3920,$AE$2:$AF$7,2,0))</f>
        <v>1</v>
      </c>
      <c r="F3920">
        <f t="shared" si="130"/>
        <v>1</v>
      </c>
    </row>
    <row r="3921" spans="1:6">
      <c r="A3921" s="30">
        <f t="shared" si="129"/>
        <v>47011</v>
      </c>
      <c r="B3921" s="32" t="s">
        <v>199</v>
      </c>
      <c r="C3921" t="s">
        <v>6</v>
      </c>
      <c r="D3921">
        <f>IF(B3921=$AB$2,$AC$2,$AC$3)</f>
        <v>1</v>
      </c>
      <c r="E3921">
        <f>IF(ISBLANK(C3921),0,VLOOKUP(C3921,$AE$2:$AF$7,2,0))</f>
        <v>1</v>
      </c>
      <c r="F3921">
        <f t="shared" si="130"/>
        <v>1</v>
      </c>
    </row>
    <row r="3922" spans="1:6">
      <c r="A3922" s="30">
        <f t="shared" si="129"/>
        <v>47012</v>
      </c>
      <c r="B3922" s="32" t="s">
        <v>199</v>
      </c>
      <c r="C3922" t="s">
        <v>6</v>
      </c>
      <c r="D3922">
        <f>IF(B3922=$AB$2,$AC$2,$AC$3)</f>
        <v>1</v>
      </c>
      <c r="E3922">
        <f>IF(ISBLANK(C3922),0,VLOOKUP(C3922,$AE$2:$AF$7,2,0))</f>
        <v>1</v>
      </c>
      <c r="F3922">
        <f t="shared" si="130"/>
        <v>1</v>
      </c>
    </row>
    <row r="3923" spans="1:6">
      <c r="A3923" s="30">
        <f t="shared" si="129"/>
        <v>47013</v>
      </c>
      <c r="B3923" s="32" t="s">
        <v>199</v>
      </c>
      <c r="C3923" t="s">
        <v>6</v>
      </c>
      <c r="D3923">
        <f>IF(B3923=$AB$2,$AC$2,$AC$3)</f>
        <v>1</v>
      </c>
      <c r="E3923">
        <f>IF(ISBLANK(C3923),0,VLOOKUP(C3923,$AE$2:$AF$7,2,0))</f>
        <v>1</v>
      </c>
      <c r="F3923">
        <f t="shared" si="130"/>
        <v>1</v>
      </c>
    </row>
    <row r="3924" spans="1:6">
      <c r="A3924" s="30">
        <f t="shared" si="129"/>
        <v>47014</v>
      </c>
      <c r="B3924" s="32" t="s">
        <v>199</v>
      </c>
      <c r="C3924" t="s">
        <v>6</v>
      </c>
      <c r="D3924">
        <f>IF(B3924=$AB$2,$AC$2,$AC$3)</f>
        <v>1</v>
      </c>
      <c r="E3924">
        <f>IF(ISBLANK(C3924),0,VLOOKUP(C3924,$AE$2:$AF$7,2,0))</f>
        <v>1</v>
      </c>
      <c r="F3924">
        <f t="shared" si="130"/>
        <v>1</v>
      </c>
    </row>
    <row r="3925" spans="1:6">
      <c r="A3925" s="30">
        <f t="shared" si="129"/>
        <v>47015</v>
      </c>
      <c r="B3925" s="32" t="s">
        <v>199</v>
      </c>
      <c r="C3925" t="s">
        <v>6</v>
      </c>
      <c r="D3925">
        <f>IF(B3925=$AB$2,$AC$2,$AC$3)</f>
        <v>1</v>
      </c>
      <c r="E3925">
        <f>IF(ISBLANK(C3925),0,VLOOKUP(C3925,$AE$2:$AF$7,2,0))</f>
        <v>1</v>
      </c>
      <c r="F3925">
        <f t="shared" si="130"/>
        <v>1</v>
      </c>
    </row>
    <row r="3926" spans="1:6">
      <c r="A3926" s="30">
        <f t="shared" si="129"/>
        <v>47016</v>
      </c>
      <c r="B3926" s="32" t="s">
        <v>199</v>
      </c>
      <c r="C3926" t="s">
        <v>6</v>
      </c>
      <c r="D3926">
        <f>IF(B3926=$AB$2,$AC$2,$AC$3)</f>
        <v>1</v>
      </c>
      <c r="E3926">
        <f>IF(ISBLANK(C3926),0,VLOOKUP(C3926,$AE$2:$AF$7,2,0))</f>
        <v>1</v>
      </c>
      <c r="F3926">
        <f t="shared" si="130"/>
        <v>1</v>
      </c>
    </row>
    <row r="3927" spans="1:6">
      <c r="A3927" s="30">
        <f t="shared" si="129"/>
        <v>47017</v>
      </c>
      <c r="B3927" s="32" t="s">
        <v>199</v>
      </c>
      <c r="C3927" t="s">
        <v>6</v>
      </c>
      <c r="D3927">
        <f>IF(B3927=$AB$2,$AC$2,$AC$3)</f>
        <v>1</v>
      </c>
      <c r="E3927">
        <f>IF(ISBLANK(C3927),0,VLOOKUP(C3927,$AE$2:$AF$7,2,0))</f>
        <v>1</v>
      </c>
      <c r="F3927">
        <f t="shared" si="130"/>
        <v>1</v>
      </c>
    </row>
    <row r="3928" spans="1:6">
      <c r="A3928" s="30">
        <f t="shared" si="129"/>
        <v>47018</v>
      </c>
      <c r="B3928" s="32" t="s">
        <v>199</v>
      </c>
      <c r="C3928" t="s">
        <v>6</v>
      </c>
      <c r="D3928">
        <f>IF(B3928=$AB$2,$AC$2,$AC$3)</f>
        <v>1</v>
      </c>
      <c r="E3928">
        <f>IF(ISBLANK(C3928),0,VLOOKUP(C3928,$AE$2:$AF$7,2,0))</f>
        <v>1</v>
      </c>
      <c r="F3928">
        <f t="shared" si="130"/>
        <v>1</v>
      </c>
    </row>
    <row r="3929" spans="1:6">
      <c r="A3929" s="30">
        <f t="shared" si="129"/>
        <v>47019</v>
      </c>
      <c r="B3929" s="32" t="s">
        <v>199</v>
      </c>
      <c r="C3929" t="s">
        <v>6</v>
      </c>
      <c r="D3929">
        <f>IF(B3929=$AB$2,$AC$2,$AC$3)</f>
        <v>1</v>
      </c>
      <c r="E3929">
        <f>IF(ISBLANK(C3929),0,VLOOKUP(C3929,$AE$2:$AF$7,2,0))</f>
        <v>1</v>
      </c>
      <c r="F3929">
        <f t="shared" si="130"/>
        <v>1</v>
      </c>
    </row>
    <row r="3930" spans="1:6">
      <c r="A3930" s="30">
        <f t="shared" si="129"/>
        <v>47020</v>
      </c>
      <c r="B3930" s="32" t="s">
        <v>199</v>
      </c>
      <c r="C3930" t="s">
        <v>6</v>
      </c>
      <c r="D3930">
        <f>IF(B3930=$AB$2,$AC$2,$AC$3)</f>
        <v>1</v>
      </c>
      <c r="E3930">
        <f>IF(ISBLANK(C3930),0,VLOOKUP(C3930,$AE$2:$AF$7,2,0))</f>
        <v>1</v>
      </c>
      <c r="F3930">
        <f t="shared" si="130"/>
        <v>1</v>
      </c>
    </row>
    <row r="3931" spans="1:6">
      <c r="A3931" s="30">
        <f t="shared" si="129"/>
        <v>47021</v>
      </c>
      <c r="B3931" s="32" t="s">
        <v>199</v>
      </c>
      <c r="C3931" t="s">
        <v>6</v>
      </c>
      <c r="D3931">
        <f>IF(B3931=$AB$2,$AC$2,$AC$3)</f>
        <v>1</v>
      </c>
      <c r="E3931">
        <f>IF(ISBLANK(C3931),0,VLOOKUP(C3931,$AE$2:$AF$7,2,0))</f>
        <v>1</v>
      </c>
      <c r="F3931">
        <f t="shared" si="130"/>
        <v>1</v>
      </c>
    </row>
    <row r="3932" spans="1:6">
      <c r="A3932" s="30">
        <f t="shared" si="129"/>
        <v>47022</v>
      </c>
      <c r="B3932" s="32" t="s">
        <v>199</v>
      </c>
      <c r="C3932" t="s">
        <v>6</v>
      </c>
      <c r="D3932">
        <f>IF(B3932=$AB$2,$AC$2,$AC$3)</f>
        <v>1</v>
      </c>
      <c r="E3932">
        <f>IF(ISBLANK(C3932),0,VLOOKUP(C3932,$AE$2:$AF$7,2,0))</f>
        <v>1</v>
      </c>
      <c r="F3932">
        <f t="shared" si="130"/>
        <v>1</v>
      </c>
    </row>
    <row r="3933" spans="1:6">
      <c r="A3933" s="30">
        <f t="shared" si="129"/>
        <v>47023</v>
      </c>
      <c r="B3933" s="32" t="s">
        <v>199</v>
      </c>
      <c r="C3933" t="s">
        <v>6</v>
      </c>
      <c r="D3933">
        <f>IF(B3933=$AB$2,$AC$2,$AC$3)</f>
        <v>1</v>
      </c>
      <c r="E3933">
        <f>IF(ISBLANK(C3933),0,VLOOKUP(C3933,$AE$2:$AF$7,2,0))</f>
        <v>1</v>
      </c>
      <c r="F3933">
        <f t="shared" si="130"/>
        <v>1</v>
      </c>
    </row>
    <row r="3934" spans="1:6">
      <c r="A3934" s="30">
        <f t="shared" si="129"/>
        <v>47024</v>
      </c>
      <c r="B3934" s="32" t="s">
        <v>199</v>
      </c>
      <c r="C3934" t="s">
        <v>6</v>
      </c>
      <c r="D3934">
        <f>IF(B3934=$AB$2,$AC$2,$AC$3)</f>
        <v>1</v>
      </c>
      <c r="E3934">
        <f>IF(ISBLANK(C3934),0,VLOOKUP(C3934,$AE$2:$AF$7,2,0))</f>
        <v>1</v>
      </c>
      <c r="F3934">
        <f t="shared" si="130"/>
        <v>1</v>
      </c>
    </row>
    <row r="3935" spans="1:6">
      <c r="A3935" s="30">
        <f t="shared" si="129"/>
        <v>47025</v>
      </c>
      <c r="B3935" s="32" t="s">
        <v>199</v>
      </c>
      <c r="C3935" t="s">
        <v>6</v>
      </c>
      <c r="D3935">
        <f>IF(B3935=$AB$2,$AC$2,$AC$3)</f>
        <v>1</v>
      </c>
      <c r="E3935">
        <f>IF(ISBLANK(C3935),0,VLOOKUP(C3935,$AE$2:$AF$7,2,0))</f>
        <v>1</v>
      </c>
      <c r="F3935">
        <f t="shared" si="130"/>
        <v>1</v>
      </c>
    </row>
    <row r="3936" spans="1:6">
      <c r="A3936" s="30">
        <f t="shared" si="129"/>
        <v>47026</v>
      </c>
      <c r="B3936" s="32" t="s">
        <v>199</v>
      </c>
      <c r="C3936" t="s">
        <v>6</v>
      </c>
      <c r="D3936">
        <f>IF(B3936=$AB$2,$AC$2,$AC$3)</f>
        <v>1</v>
      </c>
      <c r="E3936">
        <f>IF(ISBLANK(C3936),0,VLOOKUP(C3936,$AE$2:$AF$7,2,0))</f>
        <v>1</v>
      </c>
      <c r="F3936">
        <f t="shared" si="130"/>
        <v>1</v>
      </c>
    </row>
    <row r="3937" spans="1:6">
      <c r="A3937" s="30">
        <f t="shared" si="129"/>
        <v>47027</v>
      </c>
      <c r="B3937" s="32" t="s">
        <v>199</v>
      </c>
      <c r="C3937" t="s">
        <v>6</v>
      </c>
      <c r="D3937">
        <f>IF(B3937=$AB$2,$AC$2,$AC$3)</f>
        <v>1</v>
      </c>
      <c r="E3937">
        <f>IF(ISBLANK(C3937),0,VLOOKUP(C3937,$AE$2:$AF$7,2,0))</f>
        <v>1</v>
      </c>
      <c r="F3937">
        <f t="shared" si="130"/>
        <v>1</v>
      </c>
    </row>
    <row r="3938" spans="1:6">
      <c r="A3938" s="30">
        <f t="shared" si="129"/>
        <v>47028</v>
      </c>
      <c r="B3938" s="32" t="s">
        <v>199</v>
      </c>
      <c r="C3938" t="s">
        <v>6</v>
      </c>
      <c r="D3938">
        <f>IF(B3938=$AB$2,$AC$2,$AC$3)</f>
        <v>1</v>
      </c>
      <c r="E3938">
        <f>IF(ISBLANK(C3938),0,VLOOKUP(C3938,$AE$2:$AF$7,2,0))</f>
        <v>1</v>
      </c>
      <c r="F3938">
        <f t="shared" si="130"/>
        <v>1</v>
      </c>
    </row>
    <row r="3939" spans="1:6">
      <c r="A3939" s="30">
        <f t="shared" si="129"/>
        <v>47029</v>
      </c>
      <c r="B3939" s="32" t="s">
        <v>199</v>
      </c>
      <c r="C3939" t="s">
        <v>6</v>
      </c>
      <c r="D3939">
        <f>IF(B3939=$AB$2,$AC$2,$AC$3)</f>
        <v>1</v>
      </c>
      <c r="E3939">
        <f>IF(ISBLANK(C3939),0,VLOOKUP(C3939,$AE$2:$AF$7,2,0))</f>
        <v>1</v>
      </c>
      <c r="F3939">
        <f t="shared" si="130"/>
        <v>1</v>
      </c>
    </row>
    <row r="3940" spans="1:6">
      <c r="A3940" s="30">
        <f t="shared" si="129"/>
        <v>47030</v>
      </c>
      <c r="B3940" s="32" t="s">
        <v>199</v>
      </c>
      <c r="C3940" t="s">
        <v>6</v>
      </c>
      <c r="D3940">
        <f>IF(B3940=$AB$2,$AC$2,$AC$3)</f>
        <v>1</v>
      </c>
      <c r="E3940">
        <f>IF(ISBLANK(C3940),0,VLOOKUP(C3940,$AE$2:$AF$7,2,0))</f>
        <v>1</v>
      </c>
      <c r="F3940">
        <f t="shared" si="130"/>
        <v>1</v>
      </c>
    </row>
    <row r="3941" spans="1:6">
      <c r="A3941" s="30">
        <f t="shared" si="129"/>
        <v>47031</v>
      </c>
      <c r="B3941" s="32" t="s">
        <v>199</v>
      </c>
      <c r="C3941" t="s">
        <v>6</v>
      </c>
      <c r="D3941">
        <f>IF(B3941=$AB$2,$AC$2,$AC$3)</f>
        <v>1</v>
      </c>
      <c r="E3941">
        <f>IF(ISBLANK(C3941),0,VLOOKUP(C3941,$AE$2:$AF$7,2,0))</f>
        <v>1</v>
      </c>
      <c r="F3941">
        <f t="shared" si="130"/>
        <v>1</v>
      </c>
    </row>
    <row r="3942" spans="1:6">
      <c r="A3942" s="30">
        <f t="shared" si="129"/>
        <v>47032</v>
      </c>
      <c r="B3942" s="32" t="s">
        <v>199</v>
      </c>
      <c r="C3942" t="s">
        <v>6</v>
      </c>
      <c r="D3942">
        <f>IF(B3942=$AB$2,$AC$2,$AC$3)</f>
        <v>1</v>
      </c>
      <c r="E3942">
        <f>IF(ISBLANK(C3942),0,VLOOKUP(C3942,$AE$2:$AF$7,2,0))</f>
        <v>1</v>
      </c>
      <c r="F3942">
        <f t="shared" si="130"/>
        <v>1</v>
      </c>
    </row>
    <row r="3943" spans="1:6">
      <c r="A3943" s="30">
        <f t="shared" si="129"/>
        <v>47033</v>
      </c>
      <c r="B3943" s="32" t="s">
        <v>199</v>
      </c>
      <c r="C3943" t="s">
        <v>6</v>
      </c>
      <c r="D3943">
        <f>IF(B3943=$AB$2,$AC$2,$AC$3)</f>
        <v>1</v>
      </c>
      <c r="E3943">
        <f>IF(ISBLANK(C3943),0,VLOOKUP(C3943,$AE$2:$AF$7,2,0))</f>
        <v>1</v>
      </c>
      <c r="F3943">
        <f t="shared" si="130"/>
        <v>1</v>
      </c>
    </row>
    <row r="3944" spans="1:6">
      <c r="A3944" s="30">
        <f t="shared" ref="A3944:A3992" si="131">A3943+1</f>
        <v>47034</v>
      </c>
      <c r="B3944" s="32" t="s">
        <v>199</v>
      </c>
      <c r="C3944" t="s">
        <v>6</v>
      </c>
      <c r="D3944">
        <f>IF(B3944=$AB$2,$AC$2,$AC$3)</f>
        <v>1</v>
      </c>
      <c r="E3944">
        <f>IF(ISBLANK(C3944),0,VLOOKUP(C3944,$AE$2:$AF$7,2,0))</f>
        <v>1</v>
      </c>
      <c r="F3944">
        <f t="shared" si="130"/>
        <v>1</v>
      </c>
    </row>
    <row r="3945" spans="1:6">
      <c r="A3945" s="30">
        <f t="shared" si="131"/>
        <v>47035</v>
      </c>
      <c r="B3945" s="32" t="s">
        <v>199</v>
      </c>
      <c r="C3945" t="s">
        <v>6</v>
      </c>
      <c r="D3945">
        <f>IF(B3945=$AB$2,$AC$2,$AC$3)</f>
        <v>1</v>
      </c>
      <c r="E3945">
        <f>IF(ISBLANK(C3945),0,VLOOKUP(C3945,$AE$2:$AF$7,2,0))</f>
        <v>1</v>
      </c>
      <c r="F3945">
        <f t="shared" si="130"/>
        <v>1</v>
      </c>
    </row>
    <row r="3946" spans="1:6">
      <c r="A3946" s="30">
        <f t="shared" si="131"/>
        <v>47036</v>
      </c>
      <c r="B3946" s="32" t="s">
        <v>199</v>
      </c>
      <c r="C3946" t="s">
        <v>6</v>
      </c>
      <c r="D3946">
        <f>IF(B3946=$AB$2,$AC$2,$AC$3)</f>
        <v>1</v>
      </c>
      <c r="E3946">
        <f>IF(ISBLANK(C3946),0,VLOOKUP(C3946,$AE$2:$AF$7,2,0))</f>
        <v>1</v>
      </c>
      <c r="F3946">
        <f t="shared" si="130"/>
        <v>1</v>
      </c>
    </row>
    <row r="3947" spans="1:6">
      <c r="A3947" s="30">
        <f t="shared" si="131"/>
        <v>47037</v>
      </c>
      <c r="B3947" s="32" t="s">
        <v>199</v>
      </c>
      <c r="C3947" t="s">
        <v>6</v>
      </c>
      <c r="D3947">
        <f>IF(B3947=$AB$2,$AC$2,$AC$3)</f>
        <v>1</v>
      </c>
      <c r="E3947">
        <f>IF(ISBLANK(C3947),0,VLOOKUP(C3947,$AE$2:$AF$7,2,0))</f>
        <v>1</v>
      </c>
      <c r="F3947">
        <f t="shared" si="130"/>
        <v>1</v>
      </c>
    </row>
    <row r="3948" spans="1:6">
      <c r="A3948" s="30">
        <f t="shared" si="131"/>
        <v>47038</v>
      </c>
      <c r="B3948" s="32" t="s">
        <v>199</v>
      </c>
      <c r="C3948" t="s">
        <v>6</v>
      </c>
      <c r="D3948">
        <f>IF(B3948=$AB$2,$AC$2,$AC$3)</f>
        <v>1</v>
      </c>
      <c r="E3948">
        <f>IF(ISBLANK(C3948),0,VLOOKUP(C3948,$AE$2:$AF$7,2,0))</f>
        <v>1</v>
      </c>
      <c r="F3948">
        <f t="shared" si="130"/>
        <v>1</v>
      </c>
    </row>
    <row r="3949" spans="1:6">
      <c r="A3949" s="30">
        <f t="shared" si="131"/>
        <v>47039</v>
      </c>
      <c r="B3949" s="32" t="s">
        <v>199</v>
      </c>
      <c r="C3949" t="s">
        <v>6</v>
      </c>
      <c r="D3949">
        <f>IF(B3949=$AB$2,$AC$2,$AC$3)</f>
        <v>1</v>
      </c>
      <c r="E3949">
        <f>IF(ISBLANK(C3949),0,VLOOKUP(C3949,$AE$2:$AF$7,2,0))</f>
        <v>1</v>
      </c>
      <c r="F3949">
        <f t="shared" si="130"/>
        <v>1</v>
      </c>
    </row>
    <row r="3950" spans="1:6">
      <c r="A3950" s="30">
        <f t="shared" si="131"/>
        <v>47040</v>
      </c>
      <c r="B3950" s="32" t="s">
        <v>199</v>
      </c>
      <c r="C3950" t="s">
        <v>6</v>
      </c>
      <c r="D3950">
        <f>IF(B3950=$AB$2,$AC$2,$AC$3)</f>
        <v>1</v>
      </c>
      <c r="E3950">
        <f>IF(ISBLANK(C3950),0,VLOOKUP(C3950,$AE$2:$AF$7,2,0))</f>
        <v>1</v>
      </c>
      <c r="F3950">
        <f t="shared" si="130"/>
        <v>1</v>
      </c>
    </row>
    <row r="3951" spans="1:6">
      <c r="A3951" s="30">
        <f t="shared" si="131"/>
        <v>47041</v>
      </c>
      <c r="B3951" s="32" t="s">
        <v>199</v>
      </c>
      <c r="C3951" t="s">
        <v>6</v>
      </c>
      <c r="D3951">
        <f>IF(B3951=$AB$2,$AC$2,$AC$3)</f>
        <v>1</v>
      </c>
      <c r="E3951">
        <f>IF(ISBLANK(C3951),0,VLOOKUP(C3951,$AE$2:$AF$7,2,0))</f>
        <v>1</v>
      </c>
      <c r="F3951">
        <f t="shared" si="130"/>
        <v>1</v>
      </c>
    </row>
    <row r="3952" spans="1:6">
      <c r="A3952" s="30">
        <f t="shared" si="131"/>
        <v>47042</v>
      </c>
      <c r="B3952" s="32" t="s">
        <v>199</v>
      </c>
      <c r="C3952" t="s">
        <v>6</v>
      </c>
      <c r="D3952">
        <f>IF(B3952=$AB$2,$AC$2,$AC$3)</f>
        <v>1</v>
      </c>
      <c r="E3952">
        <f>IF(ISBLANK(C3952),0,VLOOKUP(C3952,$AE$2:$AF$7,2,0))</f>
        <v>1</v>
      </c>
      <c r="F3952">
        <f t="shared" si="130"/>
        <v>1</v>
      </c>
    </row>
    <row r="3953" spans="1:6">
      <c r="A3953" s="30">
        <f t="shared" si="131"/>
        <v>47043</v>
      </c>
      <c r="B3953" s="32" t="s">
        <v>199</v>
      </c>
      <c r="C3953" t="s">
        <v>6</v>
      </c>
      <c r="D3953">
        <f>IF(B3953=$AB$2,$AC$2,$AC$3)</f>
        <v>1</v>
      </c>
      <c r="E3953">
        <f>IF(ISBLANK(C3953),0,VLOOKUP(C3953,$AE$2:$AF$7,2,0))</f>
        <v>1</v>
      </c>
      <c r="F3953">
        <f t="shared" si="130"/>
        <v>1</v>
      </c>
    </row>
    <row r="3954" spans="1:6">
      <c r="A3954" s="30">
        <f t="shared" si="131"/>
        <v>47044</v>
      </c>
      <c r="B3954" s="32" t="s">
        <v>199</v>
      </c>
      <c r="C3954" t="s">
        <v>6</v>
      </c>
      <c r="D3954">
        <f>IF(B3954=$AB$2,$AC$2,$AC$3)</f>
        <v>1</v>
      </c>
      <c r="E3954">
        <f>IF(ISBLANK(C3954),0,VLOOKUP(C3954,$AE$2:$AF$7,2,0))</f>
        <v>1</v>
      </c>
      <c r="F3954">
        <f t="shared" si="130"/>
        <v>1</v>
      </c>
    </row>
    <row r="3955" spans="1:6">
      <c r="A3955" s="30">
        <f t="shared" si="131"/>
        <v>47045</v>
      </c>
      <c r="B3955" s="32" t="s">
        <v>199</v>
      </c>
      <c r="C3955" t="s">
        <v>6</v>
      </c>
      <c r="D3955">
        <f>IF(B3955=$AB$2,$AC$2,$AC$3)</f>
        <v>1</v>
      </c>
      <c r="E3955">
        <f>IF(ISBLANK(C3955),0,VLOOKUP(C3955,$AE$2:$AF$7,2,0))</f>
        <v>1</v>
      </c>
      <c r="F3955">
        <f t="shared" si="130"/>
        <v>1</v>
      </c>
    </row>
    <row r="3956" spans="1:6">
      <c r="A3956" s="30">
        <f t="shared" si="131"/>
        <v>47046</v>
      </c>
      <c r="B3956" s="32" t="s">
        <v>199</v>
      </c>
      <c r="C3956" t="s">
        <v>6</v>
      </c>
      <c r="D3956">
        <f>IF(B3956=$AB$2,$AC$2,$AC$3)</f>
        <v>1</v>
      </c>
      <c r="E3956">
        <f>IF(ISBLANK(C3956),0,VLOOKUP(C3956,$AE$2:$AF$7,2,0))</f>
        <v>1</v>
      </c>
      <c r="F3956">
        <f t="shared" si="130"/>
        <v>1</v>
      </c>
    </row>
    <row r="3957" spans="1:6">
      <c r="A3957" s="30">
        <f t="shared" si="131"/>
        <v>47047</v>
      </c>
      <c r="B3957" s="32" t="s">
        <v>199</v>
      </c>
      <c r="C3957" t="s">
        <v>6</v>
      </c>
      <c r="D3957">
        <f>IF(B3957=$AB$2,$AC$2,$AC$3)</f>
        <v>1</v>
      </c>
      <c r="E3957">
        <f>IF(ISBLANK(C3957),0,VLOOKUP(C3957,$AE$2:$AF$7,2,0))</f>
        <v>1</v>
      </c>
      <c r="F3957">
        <f t="shared" si="130"/>
        <v>1</v>
      </c>
    </row>
    <row r="3958" spans="1:6">
      <c r="A3958" s="30">
        <f t="shared" si="131"/>
        <v>47048</v>
      </c>
      <c r="B3958" s="32" t="s">
        <v>199</v>
      </c>
      <c r="C3958" t="s">
        <v>6</v>
      </c>
      <c r="D3958">
        <f>IF(B3958=$AB$2,$AC$2,$AC$3)</f>
        <v>1</v>
      </c>
      <c r="E3958">
        <f>IF(ISBLANK(C3958),0,VLOOKUP(C3958,$AE$2:$AF$7,2,0))</f>
        <v>1</v>
      </c>
      <c r="F3958">
        <f t="shared" si="130"/>
        <v>1</v>
      </c>
    </row>
    <row r="3959" spans="1:6">
      <c r="A3959" s="30">
        <f t="shared" si="131"/>
        <v>47049</v>
      </c>
      <c r="B3959" s="32" t="s">
        <v>199</v>
      </c>
      <c r="C3959" t="s">
        <v>6</v>
      </c>
      <c r="D3959">
        <f>IF(B3959=$AB$2,$AC$2,$AC$3)</f>
        <v>1</v>
      </c>
      <c r="E3959">
        <f>IF(ISBLANK(C3959),0,VLOOKUP(C3959,$AE$2:$AF$7,2,0))</f>
        <v>1</v>
      </c>
      <c r="F3959">
        <f t="shared" si="130"/>
        <v>1</v>
      </c>
    </row>
    <row r="3960" spans="1:6">
      <c r="A3960" s="30">
        <f t="shared" si="131"/>
        <v>47050</v>
      </c>
      <c r="B3960" s="32" t="s">
        <v>199</v>
      </c>
      <c r="C3960" t="s">
        <v>6</v>
      </c>
      <c r="D3960">
        <f>IF(B3960=$AB$2,$AC$2,$AC$3)</f>
        <v>1</v>
      </c>
      <c r="E3960">
        <f>IF(ISBLANK(C3960),0,VLOOKUP(C3960,$AE$2:$AF$7,2,0))</f>
        <v>1</v>
      </c>
      <c r="F3960">
        <f t="shared" si="130"/>
        <v>1</v>
      </c>
    </row>
    <row r="3961" spans="1:6">
      <c r="A3961" s="30">
        <f t="shared" si="131"/>
        <v>47051</v>
      </c>
      <c r="B3961" s="32" t="s">
        <v>199</v>
      </c>
      <c r="C3961" t="s">
        <v>6</v>
      </c>
      <c r="D3961">
        <f>IF(B3961=$AB$2,$AC$2,$AC$3)</f>
        <v>1</v>
      </c>
      <c r="E3961">
        <f>IF(ISBLANK(C3961),0,VLOOKUP(C3961,$AE$2:$AF$7,2,0))</f>
        <v>1</v>
      </c>
      <c r="F3961">
        <f t="shared" si="130"/>
        <v>1</v>
      </c>
    </row>
    <row r="3962" spans="1:6">
      <c r="A3962" s="30">
        <f t="shared" si="131"/>
        <v>47052</v>
      </c>
      <c r="B3962" s="32" t="s">
        <v>199</v>
      </c>
      <c r="C3962" t="s">
        <v>6</v>
      </c>
      <c r="D3962">
        <f>IF(B3962=$AB$2,$AC$2,$AC$3)</f>
        <v>1</v>
      </c>
      <c r="E3962">
        <f>IF(ISBLANK(C3962),0,VLOOKUP(C3962,$AE$2:$AF$7,2,0))</f>
        <v>1</v>
      </c>
      <c r="F3962">
        <f t="shared" si="130"/>
        <v>1</v>
      </c>
    </row>
    <row r="3963" spans="1:6">
      <c r="A3963" s="30">
        <f t="shared" si="131"/>
        <v>47053</v>
      </c>
      <c r="B3963" s="32" t="s">
        <v>199</v>
      </c>
      <c r="C3963" t="s">
        <v>6</v>
      </c>
      <c r="D3963">
        <f>IF(B3963=$AB$2,$AC$2,$AC$3)</f>
        <v>1</v>
      </c>
      <c r="E3963">
        <f>IF(ISBLANK(C3963),0,VLOOKUP(C3963,$AE$2:$AF$7,2,0))</f>
        <v>1</v>
      </c>
      <c r="F3963">
        <f t="shared" si="130"/>
        <v>1</v>
      </c>
    </row>
    <row r="3964" spans="1:6">
      <c r="A3964" s="30">
        <f t="shared" si="131"/>
        <v>47054</v>
      </c>
      <c r="B3964" s="32" t="s">
        <v>199</v>
      </c>
      <c r="C3964" t="s">
        <v>6</v>
      </c>
      <c r="D3964">
        <f>IF(B3964=$AB$2,$AC$2,$AC$3)</f>
        <v>1</v>
      </c>
      <c r="E3964">
        <f>IF(ISBLANK(C3964),0,VLOOKUP(C3964,$AE$2:$AF$7,2,0))</f>
        <v>1</v>
      </c>
      <c r="F3964">
        <f t="shared" si="130"/>
        <v>1</v>
      </c>
    </row>
    <row r="3965" spans="1:6">
      <c r="A3965" s="30">
        <f t="shared" si="131"/>
        <v>47055</v>
      </c>
      <c r="B3965" s="32" t="s">
        <v>199</v>
      </c>
      <c r="C3965" t="s">
        <v>6</v>
      </c>
      <c r="D3965">
        <f>IF(B3965=$AB$2,$AC$2,$AC$3)</f>
        <v>1</v>
      </c>
      <c r="E3965">
        <f>IF(ISBLANK(C3965),0,VLOOKUP(C3965,$AE$2:$AF$7,2,0))</f>
        <v>1</v>
      </c>
      <c r="F3965">
        <f t="shared" si="130"/>
        <v>1</v>
      </c>
    </row>
    <row r="3966" spans="1:6">
      <c r="A3966" s="30">
        <f t="shared" si="131"/>
        <v>47056</v>
      </c>
      <c r="B3966" s="32" t="s">
        <v>199</v>
      </c>
      <c r="C3966" t="s">
        <v>6</v>
      </c>
      <c r="D3966">
        <f>IF(B3966=$AB$2,$AC$2,$AC$3)</f>
        <v>1</v>
      </c>
      <c r="E3966">
        <f>IF(ISBLANK(C3966),0,VLOOKUP(C3966,$AE$2:$AF$7,2,0))</f>
        <v>1</v>
      </c>
      <c r="F3966">
        <f t="shared" si="130"/>
        <v>1</v>
      </c>
    </row>
    <row r="3967" spans="1:6">
      <c r="A3967" s="30">
        <f t="shared" si="131"/>
        <v>47057</v>
      </c>
      <c r="B3967" s="32" t="s">
        <v>199</v>
      </c>
      <c r="C3967" t="s">
        <v>6</v>
      </c>
      <c r="D3967">
        <f>IF(B3967=$AB$2,$AC$2,$AC$3)</f>
        <v>1</v>
      </c>
      <c r="E3967">
        <f>IF(ISBLANK(C3967),0,VLOOKUP(C3967,$AE$2:$AF$7,2,0))</f>
        <v>1</v>
      </c>
      <c r="F3967">
        <f t="shared" si="130"/>
        <v>1</v>
      </c>
    </row>
    <row r="3968" spans="1:6">
      <c r="A3968" s="30">
        <f t="shared" si="131"/>
        <v>47058</v>
      </c>
      <c r="B3968" s="32" t="s">
        <v>199</v>
      </c>
      <c r="C3968" t="s">
        <v>6</v>
      </c>
      <c r="D3968">
        <f>IF(B3968=$AB$2,$AC$2,$AC$3)</f>
        <v>1</v>
      </c>
      <c r="E3968">
        <f>IF(ISBLANK(C3968),0,VLOOKUP(C3968,$AE$2:$AF$7,2,0))</f>
        <v>1</v>
      </c>
      <c r="F3968">
        <f t="shared" si="130"/>
        <v>1</v>
      </c>
    </row>
    <row r="3969" spans="1:6">
      <c r="A3969" s="30">
        <f t="shared" si="131"/>
        <v>47059</v>
      </c>
      <c r="B3969" s="32" t="s">
        <v>199</v>
      </c>
      <c r="C3969" t="s">
        <v>6</v>
      </c>
      <c r="D3969">
        <f>IF(B3969=$AB$2,$AC$2,$AC$3)</f>
        <v>1</v>
      </c>
      <c r="E3969">
        <f>IF(ISBLANK(C3969),0,VLOOKUP(C3969,$AE$2:$AF$7,2,0))</f>
        <v>1</v>
      </c>
      <c r="F3969">
        <f t="shared" si="130"/>
        <v>1</v>
      </c>
    </row>
    <row r="3970" spans="1:6">
      <c r="A3970" s="30">
        <f t="shared" si="131"/>
        <v>47060</v>
      </c>
      <c r="B3970" s="32" t="s">
        <v>199</v>
      </c>
      <c r="C3970" t="s">
        <v>6</v>
      </c>
      <c r="D3970">
        <f>IF(B3970=$AB$2,$AC$2,$AC$3)</f>
        <v>1</v>
      </c>
      <c r="E3970">
        <f>IF(ISBLANK(C3970),0,VLOOKUP(C3970,$AE$2:$AF$7,2,0))</f>
        <v>1</v>
      </c>
      <c r="F3970">
        <f t="shared" si="130"/>
        <v>1</v>
      </c>
    </row>
    <row r="3971" spans="1:6">
      <c r="A3971" s="30">
        <f t="shared" si="131"/>
        <v>47061</v>
      </c>
      <c r="B3971" s="32" t="s">
        <v>199</v>
      </c>
      <c r="C3971" t="s">
        <v>6</v>
      </c>
      <c r="D3971">
        <f>IF(B3971=$AB$2,$AC$2,$AC$3)</f>
        <v>1</v>
      </c>
      <c r="E3971">
        <f>IF(ISBLANK(C3971),0,VLOOKUP(C3971,$AE$2:$AF$7,2,0))</f>
        <v>1</v>
      </c>
      <c r="F3971">
        <f t="shared" ref="F3971:F4034" si="132">D3971*E3971</f>
        <v>1</v>
      </c>
    </row>
    <row r="3972" spans="1:6">
      <c r="A3972" s="30">
        <f t="shared" si="131"/>
        <v>47062</v>
      </c>
      <c r="B3972" s="32" t="s">
        <v>199</v>
      </c>
      <c r="C3972" t="s">
        <v>6</v>
      </c>
      <c r="D3972">
        <f>IF(B3972=$AB$2,$AC$2,$AC$3)</f>
        <v>1</v>
      </c>
      <c r="E3972">
        <f>IF(ISBLANK(C3972),0,VLOOKUP(C3972,$AE$2:$AF$7,2,0))</f>
        <v>1</v>
      </c>
      <c r="F3972">
        <f t="shared" si="132"/>
        <v>1</v>
      </c>
    </row>
    <row r="3973" spans="1:6">
      <c r="A3973" s="30">
        <f t="shared" si="131"/>
        <v>47063</v>
      </c>
      <c r="B3973" s="32" t="s">
        <v>199</v>
      </c>
      <c r="C3973" t="s">
        <v>6</v>
      </c>
      <c r="D3973">
        <f>IF(B3973=$AB$2,$AC$2,$AC$3)</f>
        <v>1</v>
      </c>
      <c r="E3973">
        <f>IF(ISBLANK(C3973),0,VLOOKUP(C3973,$AE$2:$AF$7,2,0))</f>
        <v>1</v>
      </c>
      <c r="F3973">
        <f t="shared" si="132"/>
        <v>1</v>
      </c>
    </row>
    <row r="3974" spans="1:6">
      <c r="A3974" s="30">
        <f t="shared" si="131"/>
        <v>47064</v>
      </c>
      <c r="B3974" s="32" t="s">
        <v>199</v>
      </c>
      <c r="C3974" t="s">
        <v>6</v>
      </c>
      <c r="D3974">
        <f>IF(B3974=$AB$2,$AC$2,$AC$3)</f>
        <v>1</v>
      </c>
      <c r="E3974">
        <f>IF(ISBLANK(C3974),0,VLOOKUP(C3974,$AE$2:$AF$7,2,0))</f>
        <v>1</v>
      </c>
      <c r="F3974">
        <f t="shared" si="132"/>
        <v>1</v>
      </c>
    </row>
    <row r="3975" spans="1:6">
      <c r="A3975" s="30">
        <f t="shared" si="131"/>
        <v>47065</v>
      </c>
      <c r="B3975" s="32" t="s">
        <v>199</v>
      </c>
      <c r="C3975" t="s">
        <v>6</v>
      </c>
      <c r="D3975">
        <f>IF(B3975=$AB$2,$AC$2,$AC$3)</f>
        <v>1</v>
      </c>
      <c r="E3975">
        <f>IF(ISBLANK(C3975),0,VLOOKUP(C3975,$AE$2:$AF$7,2,0))</f>
        <v>1</v>
      </c>
      <c r="F3975">
        <f t="shared" si="132"/>
        <v>1</v>
      </c>
    </row>
    <row r="3976" spans="1:6">
      <c r="A3976" s="30">
        <f t="shared" si="131"/>
        <v>47066</v>
      </c>
      <c r="B3976" s="32" t="s">
        <v>199</v>
      </c>
      <c r="C3976" t="s">
        <v>6</v>
      </c>
      <c r="D3976">
        <f>IF(B3976=$AB$2,$AC$2,$AC$3)</f>
        <v>1</v>
      </c>
      <c r="E3976">
        <f>IF(ISBLANK(C3976),0,VLOOKUP(C3976,$AE$2:$AF$7,2,0))</f>
        <v>1</v>
      </c>
      <c r="F3976">
        <f t="shared" si="132"/>
        <v>1</v>
      </c>
    </row>
    <row r="3977" spans="1:6">
      <c r="A3977" s="30">
        <f t="shared" si="131"/>
        <v>47067</v>
      </c>
      <c r="B3977" s="32" t="s">
        <v>199</v>
      </c>
      <c r="C3977" t="s">
        <v>6</v>
      </c>
      <c r="D3977">
        <f>IF(B3977=$AB$2,$AC$2,$AC$3)</f>
        <v>1</v>
      </c>
      <c r="E3977">
        <f>IF(ISBLANK(C3977),0,VLOOKUP(C3977,$AE$2:$AF$7,2,0))</f>
        <v>1</v>
      </c>
      <c r="F3977">
        <f t="shared" si="132"/>
        <v>1</v>
      </c>
    </row>
    <row r="3978" spans="1:6">
      <c r="A3978" s="30">
        <f t="shared" si="131"/>
        <v>47068</v>
      </c>
      <c r="B3978" s="32" t="s">
        <v>199</v>
      </c>
      <c r="C3978" t="s">
        <v>6</v>
      </c>
      <c r="D3978">
        <f>IF(B3978=$AB$2,$AC$2,$AC$3)</f>
        <v>1</v>
      </c>
      <c r="E3978">
        <f>IF(ISBLANK(C3978),0,VLOOKUP(C3978,$AE$2:$AF$7,2,0))</f>
        <v>1</v>
      </c>
      <c r="F3978">
        <f t="shared" si="132"/>
        <v>1</v>
      </c>
    </row>
    <row r="3979" spans="1:6">
      <c r="A3979" s="30">
        <f t="shared" si="131"/>
        <v>47069</v>
      </c>
      <c r="B3979" s="32" t="s">
        <v>199</v>
      </c>
      <c r="C3979" t="s">
        <v>6</v>
      </c>
      <c r="D3979">
        <f>IF(B3979=$AB$2,$AC$2,$AC$3)</f>
        <v>1</v>
      </c>
      <c r="E3979">
        <f>IF(ISBLANK(C3979),0,VLOOKUP(C3979,$AE$2:$AF$7,2,0))</f>
        <v>1</v>
      </c>
      <c r="F3979">
        <f t="shared" si="132"/>
        <v>1</v>
      </c>
    </row>
    <row r="3980" spans="1:6">
      <c r="A3980" s="30">
        <f t="shared" si="131"/>
        <v>47070</v>
      </c>
      <c r="B3980" s="32" t="s">
        <v>199</v>
      </c>
      <c r="C3980" t="s">
        <v>6</v>
      </c>
      <c r="D3980">
        <f>IF(B3980=$AB$2,$AC$2,$AC$3)</f>
        <v>1</v>
      </c>
      <c r="E3980">
        <f>IF(ISBLANK(C3980),0,VLOOKUP(C3980,$AE$2:$AF$7,2,0))</f>
        <v>1</v>
      </c>
      <c r="F3980">
        <f t="shared" si="132"/>
        <v>1</v>
      </c>
    </row>
    <row r="3981" spans="1:6">
      <c r="A3981" s="30">
        <f t="shared" si="131"/>
        <v>47071</v>
      </c>
      <c r="B3981" s="32" t="s">
        <v>199</v>
      </c>
      <c r="C3981" t="s">
        <v>6</v>
      </c>
      <c r="D3981">
        <f>IF(B3981=$AB$2,$AC$2,$AC$3)</f>
        <v>1</v>
      </c>
      <c r="E3981">
        <f>IF(ISBLANK(C3981),0,VLOOKUP(C3981,$AE$2:$AF$7,2,0))</f>
        <v>1</v>
      </c>
      <c r="F3981">
        <f t="shared" si="132"/>
        <v>1</v>
      </c>
    </row>
    <row r="3982" spans="1:6">
      <c r="A3982" s="30">
        <f t="shared" si="131"/>
        <v>47072</v>
      </c>
      <c r="B3982" s="32" t="s">
        <v>199</v>
      </c>
      <c r="C3982" t="s">
        <v>6</v>
      </c>
      <c r="D3982">
        <f>IF(B3982=$AB$2,$AC$2,$AC$3)</f>
        <v>1</v>
      </c>
      <c r="E3982">
        <f>IF(ISBLANK(C3982),0,VLOOKUP(C3982,$AE$2:$AF$7,2,0))</f>
        <v>1</v>
      </c>
      <c r="F3982">
        <f t="shared" si="132"/>
        <v>1</v>
      </c>
    </row>
    <row r="3983" spans="1:6">
      <c r="A3983" s="30">
        <f t="shared" si="131"/>
        <v>47073</v>
      </c>
      <c r="B3983" s="32" t="s">
        <v>199</v>
      </c>
      <c r="C3983" t="s">
        <v>6</v>
      </c>
      <c r="D3983">
        <f>IF(B3983=$AB$2,$AC$2,$AC$3)</f>
        <v>1</v>
      </c>
      <c r="E3983">
        <f>IF(ISBLANK(C3983),0,VLOOKUP(C3983,$AE$2:$AF$7,2,0))</f>
        <v>1</v>
      </c>
      <c r="F3983">
        <f t="shared" si="132"/>
        <v>1</v>
      </c>
    </row>
    <row r="3984" spans="1:6">
      <c r="A3984" s="30">
        <f t="shared" si="131"/>
        <v>47074</v>
      </c>
      <c r="B3984" s="32" t="s">
        <v>199</v>
      </c>
      <c r="C3984" t="s">
        <v>6</v>
      </c>
      <c r="D3984">
        <f>IF(B3984=$AB$2,$AC$2,$AC$3)</f>
        <v>1</v>
      </c>
      <c r="E3984">
        <f>IF(ISBLANK(C3984),0,VLOOKUP(C3984,$AE$2:$AF$7,2,0))</f>
        <v>1</v>
      </c>
      <c r="F3984">
        <f t="shared" si="132"/>
        <v>1</v>
      </c>
    </row>
    <row r="3985" spans="1:6">
      <c r="A3985" s="30">
        <f t="shared" si="131"/>
        <v>47075</v>
      </c>
      <c r="B3985" s="32" t="s">
        <v>199</v>
      </c>
      <c r="C3985" t="s">
        <v>6</v>
      </c>
      <c r="D3985">
        <f>IF(B3985=$AB$2,$AC$2,$AC$3)</f>
        <v>1</v>
      </c>
      <c r="E3985">
        <f>IF(ISBLANK(C3985),0,VLOOKUP(C3985,$AE$2:$AF$7,2,0))</f>
        <v>1</v>
      </c>
      <c r="F3985">
        <f t="shared" si="132"/>
        <v>1</v>
      </c>
    </row>
    <row r="3986" spans="1:6">
      <c r="A3986" s="30">
        <f t="shared" si="131"/>
        <v>47076</v>
      </c>
      <c r="B3986" s="32" t="s">
        <v>199</v>
      </c>
      <c r="C3986" t="s">
        <v>6</v>
      </c>
      <c r="D3986">
        <f>IF(B3986=$AB$2,$AC$2,$AC$3)</f>
        <v>1</v>
      </c>
      <c r="E3986">
        <f>IF(ISBLANK(C3986),0,VLOOKUP(C3986,$AE$2:$AF$7,2,0))</f>
        <v>1</v>
      </c>
      <c r="F3986">
        <f t="shared" si="132"/>
        <v>1</v>
      </c>
    </row>
    <row r="3987" spans="1:6">
      <c r="A3987" s="30">
        <f t="shared" si="131"/>
        <v>47077</v>
      </c>
      <c r="B3987" s="32" t="s">
        <v>199</v>
      </c>
      <c r="C3987" t="s">
        <v>6</v>
      </c>
      <c r="D3987">
        <f>IF(B3987=$AB$2,$AC$2,$AC$3)</f>
        <v>1</v>
      </c>
      <c r="E3987">
        <f>IF(ISBLANK(C3987),0,VLOOKUP(C3987,$AE$2:$AF$7,2,0))</f>
        <v>1</v>
      </c>
      <c r="F3987">
        <f t="shared" si="132"/>
        <v>1</v>
      </c>
    </row>
    <row r="3988" spans="1:6">
      <c r="A3988" s="30">
        <f t="shared" si="131"/>
        <v>47078</v>
      </c>
      <c r="B3988" s="32" t="s">
        <v>199</v>
      </c>
      <c r="C3988" t="s">
        <v>6</v>
      </c>
      <c r="D3988">
        <f>IF(B3988=$AB$2,$AC$2,$AC$3)</f>
        <v>1</v>
      </c>
      <c r="E3988">
        <f>IF(ISBLANK(C3988),0,VLOOKUP(C3988,$AE$2:$AF$7,2,0))</f>
        <v>1</v>
      </c>
      <c r="F3988">
        <f t="shared" si="132"/>
        <v>1</v>
      </c>
    </row>
    <row r="3989" spans="1:6">
      <c r="A3989" s="30">
        <f t="shared" si="131"/>
        <v>47079</v>
      </c>
      <c r="B3989" s="32" t="s">
        <v>199</v>
      </c>
      <c r="C3989" t="s">
        <v>6</v>
      </c>
      <c r="D3989">
        <f>IF(B3989=$AB$2,$AC$2,$AC$3)</f>
        <v>1</v>
      </c>
      <c r="E3989">
        <f>IF(ISBLANK(C3989),0,VLOOKUP(C3989,$AE$2:$AF$7,2,0))</f>
        <v>1</v>
      </c>
      <c r="F3989">
        <f t="shared" si="132"/>
        <v>1</v>
      </c>
    </row>
    <row r="3990" spans="1:6">
      <c r="A3990" s="30">
        <f t="shared" si="131"/>
        <v>47080</v>
      </c>
      <c r="B3990" s="32" t="s">
        <v>199</v>
      </c>
      <c r="C3990" t="s">
        <v>6</v>
      </c>
      <c r="D3990">
        <f>IF(B3990=$AB$2,$AC$2,$AC$3)</f>
        <v>1</v>
      </c>
      <c r="E3990">
        <f>IF(ISBLANK(C3990),0,VLOOKUP(C3990,$AE$2:$AF$7,2,0))</f>
        <v>1</v>
      </c>
      <c r="F3990">
        <f t="shared" si="132"/>
        <v>1</v>
      </c>
    </row>
    <row r="3991" spans="1:6">
      <c r="A3991" s="30">
        <f t="shared" si="131"/>
        <v>47081</v>
      </c>
      <c r="B3991" s="32" t="s">
        <v>199</v>
      </c>
      <c r="C3991" t="s">
        <v>6</v>
      </c>
      <c r="D3991">
        <f>IF(B3991=$AB$2,$AC$2,$AC$3)</f>
        <v>1</v>
      </c>
      <c r="E3991">
        <f>IF(ISBLANK(C3991),0,VLOOKUP(C3991,$AE$2:$AF$7,2,0))</f>
        <v>1</v>
      </c>
      <c r="F3991">
        <f t="shared" si="132"/>
        <v>1</v>
      </c>
    </row>
    <row r="3992" spans="1:6">
      <c r="A3992" s="30">
        <f t="shared" si="131"/>
        <v>47082</v>
      </c>
      <c r="B3992" s="32" t="s">
        <v>199</v>
      </c>
      <c r="C3992" t="s">
        <v>6</v>
      </c>
      <c r="D3992">
        <f>IF(B3992=$AB$2,$AC$2,$AC$3)</f>
        <v>1</v>
      </c>
      <c r="E3992">
        <f>IF(ISBLANK(C3992),0,VLOOKUP(C3992,$AE$2:$AF$7,2,0))</f>
        <v>1</v>
      </c>
      <c r="F3992">
        <f t="shared" si="132"/>
        <v>1</v>
      </c>
    </row>
    <row r="3993" spans="1:6">
      <c r="A3993" s="30">
        <f>A3992+1</f>
        <v>47083</v>
      </c>
      <c r="B3993" s="32" t="s">
        <v>199</v>
      </c>
      <c r="C3993" t="s">
        <v>6</v>
      </c>
      <c r="D3993">
        <f>IF(B3993=$AB$2,$AC$2,$AC$3)</f>
        <v>1</v>
      </c>
      <c r="E3993">
        <f>IF(ISBLANK(C3993),0,VLOOKUP(C3993,$AE$2:$AF$7,2,0))</f>
        <v>1</v>
      </c>
      <c r="F3993">
        <f t="shared" si="132"/>
        <v>1</v>
      </c>
    </row>
    <row r="3994" spans="1:6">
      <c r="A3994" s="30">
        <f t="shared" ref="A3994:A4057" si="133">A3993+1</f>
        <v>47084</v>
      </c>
      <c r="B3994" s="32" t="s">
        <v>199</v>
      </c>
      <c r="C3994" t="s">
        <v>6</v>
      </c>
      <c r="D3994">
        <f>IF(B3994=$AB$2,$AC$2,$AC$3)</f>
        <v>1</v>
      </c>
      <c r="E3994">
        <f>IF(ISBLANK(C3994),0,VLOOKUP(C3994,$AE$2:$AF$7,2,0))</f>
        <v>1</v>
      </c>
      <c r="F3994">
        <f t="shared" si="132"/>
        <v>1</v>
      </c>
    </row>
    <row r="3995" spans="1:6">
      <c r="A3995" s="30">
        <f t="shared" si="133"/>
        <v>47085</v>
      </c>
      <c r="B3995" s="32" t="s">
        <v>199</v>
      </c>
      <c r="C3995" t="s">
        <v>6</v>
      </c>
      <c r="D3995">
        <f>IF(B3995=$AB$2,$AC$2,$AC$3)</f>
        <v>1</v>
      </c>
      <c r="E3995">
        <f>IF(ISBLANK(C3995),0,VLOOKUP(C3995,$AE$2:$AF$7,2,0))</f>
        <v>1</v>
      </c>
      <c r="F3995">
        <f t="shared" si="132"/>
        <v>1</v>
      </c>
    </row>
    <row r="3996" spans="1:6">
      <c r="A3996" s="30">
        <f t="shared" si="133"/>
        <v>47086</v>
      </c>
      <c r="B3996" s="32" t="s">
        <v>199</v>
      </c>
      <c r="C3996" t="s">
        <v>6</v>
      </c>
      <c r="D3996">
        <f>IF(B3996=$AB$2,$AC$2,$AC$3)</f>
        <v>1</v>
      </c>
      <c r="E3996">
        <f>IF(ISBLANK(C3996),0,VLOOKUP(C3996,$AE$2:$AF$7,2,0))</f>
        <v>1</v>
      </c>
      <c r="F3996">
        <f t="shared" si="132"/>
        <v>1</v>
      </c>
    </row>
    <row r="3997" spans="1:6">
      <c r="A3997" s="30">
        <f t="shared" si="133"/>
        <v>47087</v>
      </c>
      <c r="B3997" s="32" t="s">
        <v>199</v>
      </c>
      <c r="C3997" t="s">
        <v>6</v>
      </c>
      <c r="D3997">
        <f>IF(B3997=$AB$2,$AC$2,$AC$3)</f>
        <v>1</v>
      </c>
      <c r="E3997">
        <f>IF(ISBLANK(C3997),0,VLOOKUP(C3997,$AE$2:$AF$7,2,0))</f>
        <v>1</v>
      </c>
      <c r="F3997">
        <f t="shared" si="132"/>
        <v>1</v>
      </c>
    </row>
    <row r="3998" spans="1:6">
      <c r="A3998" s="30">
        <f t="shared" si="133"/>
        <v>47088</v>
      </c>
      <c r="B3998" s="32" t="s">
        <v>199</v>
      </c>
      <c r="C3998" t="s">
        <v>6</v>
      </c>
      <c r="D3998">
        <f>IF(B3998=$AB$2,$AC$2,$AC$3)</f>
        <v>1</v>
      </c>
      <c r="E3998">
        <f>IF(ISBLANK(C3998),0,VLOOKUP(C3998,$AE$2:$AF$7,2,0))</f>
        <v>1</v>
      </c>
      <c r="F3998">
        <f t="shared" si="132"/>
        <v>1</v>
      </c>
    </row>
    <row r="3999" spans="1:6">
      <c r="A3999" s="30">
        <f t="shared" si="133"/>
        <v>47089</v>
      </c>
      <c r="B3999" s="32" t="s">
        <v>199</v>
      </c>
      <c r="C3999" t="s">
        <v>6</v>
      </c>
      <c r="D3999">
        <f>IF(B3999=$AB$2,$AC$2,$AC$3)</f>
        <v>1</v>
      </c>
      <c r="E3999">
        <f>IF(ISBLANK(C3999),0,VLOOKUP(C3999,$AE$2:$AF$7,2,0))</f>
        <v>1</v>
      </c>
      <c r="F3999">
        <f t="shared" si="132"/>
        <v>1</v>
      </c>
    </row>
    <row r="4000" spans="1:6">
      <c r="A4000" s="30">
        <f t="shared" si="133"/>
        <v>47090</v>
      </c>
      <c r="B4000" s="32" t="s">
        <v>199</v>
      </c>
      <c r="C4000" t="s">
        <v>6</v>
      </c>
      <c r="D4000">
        <f>IF(B4000=$AB$2,$AC$2,$AC$3)</f>
        <v>1</v>
      </c>
      <c r="E4000">
        <f>IF(ISBLANK(C4000),0,VLOOKUP(C4000,$AE$2:$AF$7,2,0))</f>
        <v>1</v>
      </c>
      <c r="F4000">
        <f t="shared" si="132"/>
        <v>1</v>
      </c>
    </row>
    <row r="4001" spans="1:6">
      <c r="A4001" s="30">
        <f t="shared" si="133"/>
        <v>47091</v>
      </c>
      <c r="B4001" s="32" t="s">
        <v>199</v>
      </c>
      <c r="C4001" t="s">
        <v>6</v>
      </c>
      <c r="D4001">
        <f>IF(B4001=$AB$2,$AC$2,$AC$3)</f>
        <v>1</v>
      </c>
      <c r="E4001">
        <f>IF(ISBLANK(C4001),0,VLOOKUP(C4001,$AE$2:$AF$7,2,0))</f>
        <v>1</v>
      </c>
      <c r="F4001">
        <f t="shared" si="132"/>
        <v>1</v>
      </c>
    </row>
    <row r="4002" spans="1:6">
      <c r="A4002" s="30">
        <f t="shared" si="133"/>
        <v>47092</v>
      </c>
      <c r="B4002" s="32" t="s">
        <v>199</v>
      </c>
      <c r="C4002" t="s">
        <v>6</v>
      </c>
      <c r="D4002">
        <f>IF(B4002=$AB$2,$AC$2,$AC$3)</f>
        <v>1</v>
      </c>
      <c r="E4002">
        <f>IF(ISBLANK(C4002),0,VLOOKUP(C4002,$AE$2:$AF$7,2,0))</f>
        <v>1</v>
      </c>
      <c r="F4002">
        <f t="shared" si="132"/>
        <v>1</v>
      </c>
    </row>
    <row r="4003" spans="1:6">
      <c r="A4003" s="30">
        <f t="shared" si="133"/>
        <v>47093</v>
      </c>
      <c r="B4003" s="32" t="s">
        <v>199</v>
      </c>
      <c r="C4003" t="s">
        <v>6</v>
      </c>
      <c r="D4003">
        <f>IF(B4003=$AB$2,$AC$2,$AC$3)</f>
        <v>1</v>
      </c>
      <c r="E4003">
        <f>IF(ISBLANK(C4003),0,VLOOKUP(C4003,$AE$2:$AF$7,2,0))</f>
        <v>1</v>
      </c>
      <c r="F4003">
        <f t="shared" si="132"/>
        <v>1</v>
      </c>
    </row>
    <row r="4004" spans="1:6">
      <c r="A4004" s="30">
        <f t="shared" si="133"/>
        <v>47094</v>
      </c>
      <c r="B4004" s="32" t="s">
        <v>199</v>
      </c>
      <c r="C4004" t="s">
        <v>6</v>
      </c>
      <c r="D4004">
        <f>IF(B4004=$AB$2,$AC$2,$AC$3)</f>
        <v>1</v>
      </c>
      <c r="E4004">
        <f>IF(ISBLANK(C4004),0,VLOOKUP(C4004,$AE$2:$AF$7,2,0))</f>
        <v>1</v>
      </c>
      <c r="F4004">
        <f t="shared" si="132"/>
        <v>1</v>
      </c>
    </row>
    <row r="4005" spans="1:6">
      <c r="A4005" s="30">
        <f t="shared" si="133"/>
        <v>47095</v>
      </c>
      <c r="B4005" s="32" t="s">
        <v>199</v>
      </c>
      <c r="C4005" t="s">
        <v>6</v>
      </c>
      <c r="D4005">
        <f>IF(B4005=$AB$2,$AC$2,$AC$3)</f>
        <v>1</v>
      </c>
      <c r="E4005">
        <f>IF(ISBLANK(C4005),0,VLOOKUP(C4005,$AE$2:$AF$7,2,0))</f>
        <v>1</v>
      </c>
      <c r="F4005">
        <f t="shared" si="132"/>
        <v>1</v>
      </c>
    </row>
    <row r="4006" spans="1:6">
      <c r="A4006" s="30">
        <f t="shared" si="133"/>
        <v>47096</v>
      </c>
      <c r="B4006" s="32" t="s">
        <v>199</v>
      </c>
      <c r="C4006" t="s">
        <v>6</v>
      </c>
      <c r="D4006">
        <f>IF(B4006=$AB$2,$AC$2,$AC$3)</f>
        <v>1</v>
      </c>
      <c r="E4006">
        <f>IF(ISBLANK(C4006),0,VLOOKUP(C4006,$AE$2:$AF$7,2,0))</f>
        <v>1</v>
      </c>
      <c r="F4006">
        <f t="shared" si="132"/>
        <v>1</v>
      </c>
    </row>
    <row r="4007" spans="1:6">
      <c r="A4007" s="30">
        <f t="shared" si="133"/>
        <v>47097</v>
      </c>
      <c r="B4007" s="32" t="s">
        <v>199</v>
      </c>
      <c r="C4007" t="s">
        <v>6</v>
      </c>
      <c r="D4007">
        <f>IF(B4007=$AB$2,$AC$2,$AC$3)</f>
        <v>1</v>
      </c>
      <c r="E4007">
        <f>IF(ISBLANK(C4007),0,VLOOKUP(C4007,$AE$2:$AF$7,2,0))</f>
        <v>1</v>
      </c>
      <c r="F4007">
        <f t="shared" si="132"/>
        <v>1</v>
      </c>
    </row>
    <row r="4008" spans="1:6">
      <c r="A4008" s="30">
        <f t="shared" si="133"/>
        <v>47098</v>
      </c>
      <c r="B4008" s="32" t="s">
        <v>199</v>
      </c>
      <c r="C4008" t="s">
        <v>6</v>
      </c>
      <c r="D4008">
        <f>IF(B4008=$AB$2,$AC$2,$AC$3)</f>
        <v>1</v>
      </c>
      <c r="E4008">
        <f>IF(ISBLANK(C4008),0,VLOOKUP(C4008,$AE$2:$AF$7,2,0))</f>
        <v>1</v>
      </c>
      <c r="F4008">
        <f t="shared" si="132"/>
        <v>1</v>
      </c>
    </row>
    <row r="4009" spans="1:6">
      <c r="A4009" s="30">
        <f t="shared" si="133"/>
        <v>47099</v>
      </c>
      <c r="B4009" s="32" t="s">
        <v>199</v>
      </c>
      <c r="C4009" t="s">
        <v>6</v>
      </c>
      <c r="D4009">
        <f>IF(B4009=$AB$2,$AC$2,$AC$3)</f>
        <v>1</v>
      </c>
      <c r="E4009">
        <f>IF(ISBLANK(C4009),0,VLOOKUP(C4009,$AE$2:$AF$7,2,0))</f>
        <v>1</v>
      </c>
      <c r="F4009">
        <f t="shared" si="132"/>
        <v>1</v>
      </c>
    </row>
    <row r="4010" spans="1:6">
      <c r="A4010" s="30">
        <f t="shared" si="133"/>
        <v>47100</v>
      </c>
      <c r="B4010" s="32" t="s">
        <v>199</v>
      </c>
      <c r="C4010" t="s">
        <v>6</v>
      </c>
      <c r="D4010">
        <f>IF(B4010=$AB$2,$AC$2,$AC$3)</f>
        <v>1</v>
      </c>
      <c r="E4010">
        <f>IF(ISBLANK(C4010),0,VLOOKUP(C4010,$AE$2:$AF$7,2,0))</f>
        <v>1</v>
      </c>
      <c r="F4010">
        <f t="shared" si="132"/>
        <v>1</v>
      </c>
    </row>
    <row r="4011" spans="1:6">
      <c r="A4011" s="30">
        <f t="shared" si="133"/>
        <v>47101</v>
      </c>
      <c r="B4011" s="32" t="s">
        <v>199</v>
      </c>
      <c r="C4011" t="s">
        <v>6</v>
      </c>
      <c r="D4011">
        <f>IF(B4011=$AB$2,$AC$2,$AC$3)</f>
        <v>1</v>
      </c>
      <c r="E4011">
        <f>IF(ISBLANK(C4011),0,VLOOKUP(C4011,$AE$2:$AF$7,2,0))</f>
        <v>1</v>
      </c>
      <c r="F4011">
        <f t="shared" si="132"/>
        <v>1</v>
      </c>
    </row>
    <row r="4012" spans="1:6">
      <c r="A4012" s="30">
        <f t="shared" si="133"/>
        <v>47102</v>
      </c>
      <c r="B4012" s="32" t="s">
        <v>199</v>
      </c>
      <c r="C4012" t="s">
        <v>6</v>
      </c>
      <c r="D4012">
        <f>IF(B4012=$AB$2,$AC$2,$AC$3)</f>
        <v>1</v>
      </c>
      <c r="E4012">
        <f>IF(ISBLANK(C4012),0,VLOOKUP(C4012,$AE$2:$AF$7,2,0))</f>
        <v>1</v>
      </c>
      <c r="F4012">
        <f t="shared" si="132"/>
        <v>1</v>
      </c>
    </row>
    <row r="4013" spans="1:6">
      <c r="A4013" s="30">
        <f t="shared" si="133"/>
        <v>47103</v>
      </c>
      <c r="B4013" s="32" t="s">
        <v>199</v>
      </c>
      <c r="C4013" t="s">
        <v>6</v>
      </c>
      <c r="D4013">
        <f>IF(B4013=$AB$2,$AC$2,$AC$3)</f>
        <v>1</v>
      </c>
      <c r="E4013">
        <f>IF(ISBLANK(C4013),0,VLOOKUP(C4013,$AE$2:$AF$7,2,0))</f>
        <v>1</v>
      </c>
      <c r="F4013">
        <f t="shared" si="132"/>
        <v>1</v>
      </c>
    </row>
    <row r="4014" spans="1:6">
      <c r="A4014" s="30">
        <f t="shared" si="133"/>
        <v>47104</v>
      </c>
      <c r="B4014" s="32" t="s">
        <v>199</v>
      </c>
      <c r="C4014" t="s">
        <v>6</v>
      </c>
      <c r="D4014">
        <f>IF(B4014=$AB$2,$AC$2,$AC$3)</f>
        <v>1</v>
      </c>
      <c r="E4014">
        <f>IF(ISBLANK(C4014),0,VLOOKUP(C4014,$AE$2:$AF$7,2,0))</f>
        <v>1</v>
      </c>
      <c r="F4014">
        <f t="shared" si="132"/>
        <v>1</v>
      </c>
    </row>
    <row r="4015" spans="1:6">
      <c r="A4015" s="30">
        <f t="shared" si="133"/>
        <v>47105</v>
      </c>
      <c r="B4015" s="32" t="s">
        <v>199</v>
      </c>
      <c r="C4015" t="s">
        <v>6</v>
      </c>
      <c r="D4015">
        <f>IF(B4015=$AB$2,$AC$2,$AC$3)</f>
        <v>1</v>
      </c>
      <c r="E4015">
        <f>IF(ISBLANK(C4015),0,VLOOKUP(C4015,$AE$2:$AF$7,2,0))</f>
        <v>1</v>
      </c>
      <c r="F4015">
        <f t="shared" si="132"/>
        <v>1</v>
      </c>
    </row>
    <row r="4016" spans="1:6">
      <c r="A4016" s="30">
        <f t="shared" si="133"/>
        <v>47106</v>
      </c>
      <c r="B4016" s="32" t="s">
        <v>199</v>
      </c>
      <c r="C4016" t="s">
        <v>6</v>
      </c>
      <c r="D4016">
        <f>IF(B4016=$AB$2,$AC$2,$AC$3)</f>
        <v>1</v>
      </c>
      <c r="E4016">
        <f>IF(ISBLANK(C4016),0,VLOOKUP(C4016,$AE$2:$AF$7,2,0))</f>
        <v>1</v>
      </c>
      <c r="F4016">
        <f t="shared" si="132"/>
        <v>1</v>
      </c>
    </row>
    <row r="4017" spans="1:6">
      <c r="A4017" s="30">
        <f t="shared" si="133"/>
        <v>47107</v>
      </c>
      <c r="B4017" s="32" t="s">
        <v>199</v>
      </c>
      <c r="C4017" t="s">
        <v>6</v>
      </c>
      <c r="D4017">
        <f>IF(B4017=$AB$2,$AC$2,$AC$3)</f>
        <v>1</v>
      </c>
      <c r="E4017">
        <f>IF(ISBLANK(C4017),0,VLOOKUP(C4017,$AE$2:$AF$7,2,0))</f>
        <v>1</v>
      </c>
      <c r="F4017">
        <f t="shared" si="132"/>
        <v>1</v>
      </c>
    </row>
    <row r="4018" spans="1:6">
      <c r="A4018" s="30">
        <f t="shared" si="133"/>
        <v>47108</v>
      </c>
      <c r="B4018" s="32" t="s">
        <v>199</v>
      </c>
      <c r="C4018" t="s">
        <v>6</v>
      </c>
      <c r="D4018">
        <f>IF(B4018=$AB$2,$AC$2,$AC$3)</f>
        <v>1</v>
      </c>
      <c r="E4018">
        <f>IF(ISBLANK(C4018),0,VLOOKUP(C4018,$AE$2:$AF$7,2,0))</f>
        <v>1</v>
      </c>
      <c r="F4018">
        <f t="shared" si="132"/>
        <v>1</v>
      </c>
    </row>
    <row r="4019" spans="1:6">
      <c r="A4019" s="30">
        <f t="shared" si="133"/>
        <v>47109</v>
      </c>
      <c r="B4019" s="32" t="s">
        <v>199</v>
      </c>
      <c r="C4019" t="s">
        <v>6</v>
      </c>
      <c r="D4019">
        <f>IF(B4019=$AB$2,$AC$2,$AC$3)</f>
        <v>1</v>
      </c>
      <c r="E4019">
        <f>IF(ISBLANK(C4019),0,VLOOKUP(C4019,$AE$2:$AF$7,2,0))</f>
        <v>1</v>
      </c>
      <c r="F4019">
        <f t="shared" si="132"/>
        <v>1</v>
      </c>
    </row>
    <row r="4020" spans="1:6">
      <c r="A4020" s="30">
        <f t="shared" si="133"/>
        <v>47110</v>
      </c>
      <c r="B4020" s="32" t="s">
        <v>199</v>
      </c>
      <c r="C4020" t="s">
        <v>6</v>
      </c>
      <c r="D4020">
        <f>IF(B4020=$AB$2,$AC$2,$AC$3)</f>
        <v>1</v>
      </c>
      <c r="E4020">
        <f>IF(ISBLANK(C4020),0,VLOOKUP(C4020,$AE$2:$AF$7,2,0))</f>
        <v>1</v>
      </c>
      <c r="F4020">
        <f t="shared" si="132"/>
        <v>1</v>
      </c>
    </row>
    <row r="4021" spans="1:6">
      <c r="A4021" s="30">
        <f t="shared" si="133"/>
        <v>47111</v>
      </c>
      <c r="B4021" s="32" t="s">
        <v>199</v>
      </c>
      <c r="C4021" t="s">
        <v>6</v>
      </c>
      <c r="D4021">
        <f>IF(B4021=$AB$2,$AC$2,$AC$3)</f>
        <v>1</v>
      </c>
      <c r="E4021">
        <f>IF(ISBLANK(C4021),0,VLOOKUP(C4021,$AE$2:$AF$7,2,0))</f>
        <v>1</v>
      </c>
      <c r="F4021">
        <f t="shared" si="132"/>
        <v>1</v>
      </c>
    </row>
    <row r="4022" spans="1:6">
      <c r="A4022" s="30">
        <f t="shared" si="133"/>
        <v>47112</v>
      </c>
      <c r="B4022" s="32" t="s">
        <v>199</v>
      </c>
      <c r="C4022" t="s">
        <v>6</v>
      </c>
      <c r="D4022">
        <f>IF(B4022=$AB$2,$AC$2,$AC$3)</f>
        <v>1</v>
      </c>
      <c r="E4022">
        <f>IF(ISBLANK(C4022),0,VLOOKUP(C4022,$AE$2:$AF$7,2,0))</f>
        <v>1</v>
      </c>
      <c r="F4022">
        <f t="shared" si="132"/>
        <v>1</v>
      </c>
    </row>
    <row r="4023" spans="1:6">
      <c r="A4023" s="30">
        <f t="shared" si="133"/>
        <v>47113</v>
      </c>
      <c r="B4023" s="32" t="s">
        <v>199</v>
      </c>
      <c r="C4023" t="s">
        <v>6</v>
      </c>
      <c r="D4023">
        <f>IF(B4023=$AB$2,$AC$2,$AC$3)</f>
        <v>1</v>
      </c>
      <c r="E4023">
        <f>IF(ISBLANK(C4023),0,VLOOKUP(C4023,$AE$2:$AF$7,2,0))</f>
        <v>1</v>
      </c>
      <c r="F4023">
        <f t="shared" si="132"/>
        <v>1</v>
      </c>
    </row>
    <row r="4024" spans="1:6">
      <c r="A4024" s="30">
        <f t="shared" si="133"/>
        <v>47114</v>
      </c>
      <c r="B4024" s="32" t="s">
        <v>199</v>
      </c>
      <c r="C4024" t="s">
        <v>6</v>
      </c>
      <c r="D4024">
        <f>IF(B4024=$AB$2,$AC$2,$AC$3)</f>
        <v>1</v>
      </c>
      <c r="E4024">
        <f>IF(ISBLANK(C4024),0,VLOOKUP(C4024,$AE$2:$AF$7,2,0))</f>
        <v>1</v>
      </c>
      <c r="F4024">
        <f t="shared" si="132"/>
        <v>1</v>
      </c>
    </row>
    <row r="4025" spans="1:6">
      <c r="A4025" s="30">
        <f t="shared" si="133"/>
        <v>47115</v>
      </c>
      <c r="B4025" s="32" t="s">
        <v>199</v>
      </c>
      <c r="C4025" t="s">
        <v>6</v>
      </c>
      <c r="D4025">
        <f>IF(B4025=$AB$2,$AC$2,$AC$3)</f>
        <v>1</v>
      </c>
      <c r="E4025">
        <f>IF(ISBLANK(C4025),0,VLOOKUP(C4025,$AE$2:$AF$7,2,0))</f>
        <v>1</v>
      </c>
      <c r="F4025">
        <f t="shared" si="132"/>
        <v>1</v>
      </c>
    </row>
    <row r="4026" spans="1:6">
      <c r="A4026" s="30">
        <f t="shared" si="133"/>
        <v>47116</v>
      </c>
      <c r="B4026" s="32" t="s">
        <v>199</v>
      </c>
      <c r="C4026" t="s">
        <v>6</v>
      </c>
      <c r="D4026">
        <f>IF(B4026=$AB$2,$AC$2,$AC$3)</f>
        <v>1</v>
      </c>
      <c r="E4026">
        <f>IF(ISBLANK(C4026),0,VLOOKUP(C4026,$AE$2:$AF$7,2,0))</f>
        <v>1</v>
      </c>
      <c r="F4026">
        <f t="shared" si="132"/>
        <v>1</v>
      </c>
    </row>
    <row r="4027" spans="1:6">
      <c r="A4027" s="30">
        <f t="shared" si="133"/>
        <v>47117</v>
      </c>
      <c r="B4027" s="32" t="s">
        <v>199</v>
      </c>
      <c r="C4027" t="s">
        <v>6</v>
      </c>
      <c r="D4027">
        <f>IF(B4027=$AB$2,$AC$2,$AC$3)</f>
        <v>1</v>
      </c>
      <c r="E4027">
        <f>IF(ISBLANK(C4027),0,VLOOKUP(C4027,$AE$2:$AF$7,2,0))</f>
        <v>1</v>
      </c>
      <c r="F4027">
        <f t="shared" si="132"/>
        <v>1</v>
      </c>
    </row>
    <row r="4028" spans="1:6">
      <c r="A4028" s="30">
        <f t="shared" si="133"/>
        <v>47118</v>
      </c>
      <c r="B4028" s="32" t="s">
        <v>199</v>
      </c>
      <c r="C4028" t="s">
        <v>6</v>
      </c>
      <c r="D4028">
        <f>IF(B4028=$AB$2,$AC$2,$AC$3)</f>
        <v>1</v>
      </c>
      <c r="E4028">
        <f>IF(ISBLANK(C4028),0,VLOOKUP(C4028,$AE$2:$AF$7,2,0))</f>
        <v>1</v>
      </c>
      <c r="F4028">
        <f t="shared" si="132"/>
        <v>1</v>
      </c>
    </row>
    <row r="4029" spans="1:6">
      <c r="A4029" s="30">
        <f t="shared" si="133"/>
        <v>47119</v>
      </c>
      <c r="B4029" s="32" t="s">
        <v>199</v>
      </c>
      <c r="C4029" t="s">
        <v>6</v>
      </c>
      <c r="D4029">
        <f>IF(B4029=$AB$2,$AC$2,$AC$3)</f>
        <v>1</v>
      </c>
      <c r="E4029">
        <f>IF(ISBLANK(C4029),0,VLOOKUP(C4029,$AE$2:$AF$7,2,0))</f>
        <v>1</v>
      </c>
      <c r="F4029">
        <f t="shared" si="132"/>
        <v>1</v>
      </c>
    </row>
    <row r="4030" spans="1:6">
      <c r="A4030" s="30">
        <f t="shared" si="133"/>
        <v>47120</v>
      </c>
      <c r="B4030" s="32" t="s">
        <v>199</v>
      </c>
      <c r="C4030" t="s">
        <v>6</v>
      </c>
      <c r="D4030">
        <f>IF(B4030=$AB$2,$AC$2,$AC$3)</f>
        <v>1</v>
      </c>
      <c r="E4030">
        <f>IF(ISBLANK(C4030),0,VLOOKUP(C4030,$AE$2:$AF$7,2,0))</f>
        <v>1</v>
      </c>
      <c r="F4030">
        <f t="shared" si="132"/>
        <v>1</v>
      </c>
    </row>
    <row r="4031" spans="1:6">
      <c r="A4031" s="30">
        <f t="shared" si="133"/>
        <v>47121</v>
      </c>
      <c r="B4031" s="32" t="s">
        <v>199</v>
      </c>
      <c r="C4031" t="s">
        <v>6</v>
      </c>
      <c r="D4031">
        <f>IF(B4031=$AB$2,$AC$2,$AC$3)</f>
        <v>1</v>
      </c>
      <c r="E4031">
        <f>IF(ISBLANK(C4031),0,VLOOKUP(C4031,$AE$2:$AF$7,2,0))</f>
        <v>1</v>
      </c>
      <c r="F4031">
        <f t="shared" si="132"/>
        <v>1</v>
      </c>
    </row>
    <row r="4032" spans="1:6">
      <c r="A4032" s="30">
        <f t="shared" si="133"/>
        <v>47122</v>
      </c>
      <c r="B4032" s="32" t="s">
        <v>199</v>
      </c>
      <c r="C4032" t="s">
        <v>6</v>
      </c>
      <c r="D4032">
        <f>IF(B4032=$AB$2,$AC$2,$AC$3)</f>
        <v>1</v>
      </c>
      <c r="E4032">
        <f>IF(ISBLANK(C4032),0,VLOOKUP(C4032,$AE$2:$AF$7,2,0))</f>
        <v>1</v>
      </c>
      <c r="F4032">
        <f t="shared" si="132"/>
        <v>1</v>
      </c>
    </row>
    <row r="4033" spans="1:6">
      <c r="A4033" s="30">
        <f t="shared" si="133"/>
        <v>47123</v>
      </c>
      <c r="B4033" s="32" t="s">
        <v>199</v>
      </c>
      <c r="C4033" t="s">
        <v>6</v>
      </c>
      <c r="D4033">
        <f>IF(B4033=$AB$2,$AC$2,$AC$3)</f>
        <v>1</v>
      </c>
      <c r="E4033">
        <f>IF(ISBLANK(C4033),0,VLOOKUP(C4033,$AE$2:$AF$7,2,0))</f>
        <v>1</v>
      </c>
      <c r="F4033">
        <f t="shared" si="132"/>
        <v>1</v>
      </c>
    </row>
    <row r="4034" spans="1:6">
      <c r="A4034" s="30">
        <f t="shared" si="133"/>
        <v>47124</v>
      </c>
      <c r="B4034" s="32" t="s">
        <v>199</v>
      </c>
      <c r="C4034" t="s">
        <v>6</v>
      </c>
      <c r="D4034">
        <f>IF(B4034=$AB$2,$AC$2,$AC$3)</f>
        <v>1</v>
      </c>
      <c r="E4034">
        <f>IF(ISBLANK(C4034),0,VLOOKUP(C4034,$AE$2:$AF$7,2,0))</f>
        <v>1</v>
      </c>
      <c r="F4034">
        <f t="shared" si="132"/>
        <v>1</v>
      </c>
    </row>
    <row r="4035" spans="1:6">
      <c r="A4035" s="30">
        <f t="shared" si="133"/>
        <v>47125</v>
      </c>
      <c r="B4035" s="32" t="s">
        <v>199</v>
      </c>
      <c r="C4035" t="s">
        <v>6</v>
      </c>
      <c r="D4035">
        <f>IF(B4035=$AB$2,$AC$2,$AC$3)</f>
        <v>1</v>
      </c>
      <c r="E4035">
        <f>IF(ISBLANK(C4035),0,VLOOKUP(C4035,$AE$2:$AF$7,2,0))</f>
        <v>1</v>
      </c>
      <c r="F4035">
        <f t="shared" ref="F4035:F4098" si="134">D4035*E4035</f>
        <v>1</v>
      </c>
    </row>
    <row r="4036" spans="1:6">
      <c r="A4036" s="30">
        <f t="shared" si="133"/>
        <v>47126</v>
      </c>
      <c r="B4036" s="32" t="s">
        <v>199</v>
      </c>
      <c r="C4036" t="s">
        <v>6</v>
      </c>
      <c r="D4036">
        <f>IF(B4036=$AB$2,$AC$2,$AC$3)</f>
        <v>1</v>
      </c>
      <c r="E4036">
        <f>IF(ISBLANK(C4036),0,VLOOKUP(C4036,$AE$2:$AF$7,2,0))</f>
        <v>1</v>
      </c>
      <c r="F4036">
        <f t="shared" si="134"/>
        <v>1</v>
      </c>
    </row>
    <row r="4037" spans="1:6">
      <c r="A4037" s="30">
        <f t="shared" si="133"/>
        <v>47127</v>
      </c>
      <c r="B4037" s="32" t="s">
        <v>199</v>
      </c>
      <c r="C4037" t="s">
        <v>6</v>
      </c>
      <c r="D4037">
        <f>IF(B4037=$AB$2,$AC$2,$AC$3)</f>
        <v>1</v>
      </c>
      <c r="E4037">
        <f>IF(ISBLANK(C4037),0,VLOOKUP(C4037,$AE$2:$AF$7,2,0))</f>
        <v>1</v>
      </c>
      <c r="F4037">
        <f t="shared" si="134"/>
        <v>1</v>
      </c>
    </row>
    <row r="4038" spans="1:6">
      <c r="A4038" s="30">
        <f t="shared" si="133"/>
        <v>47128</v>
      </c>
      <c r="B4038" s="32" t="s">
        <v>199</v>
      </c>
      <c r="C4038" t="s">
        <v>6</v>
      </c>
      <c r="D4038">
        <f>IF(B4038=$AB$2,$AC$2,$AC$3)</f>
        <v>1</v>
      </c>
      <c r="E4038">
        <f>IF(ISBLANK(C4038),0,VLOOKUP(C4038,$AE$2:$AF$7,2,0))</f>
        <v>1</v>
      </c>
      <c r="F4038">
        <f t="shared" si="134"/>
        <v>1</v>
      </c>
    </row>
    <row r="4039" spans="1:6">
      <c r="A4039" s="30">
        <f t="shared" si="133"/>
        <v>47129</v>
      </c>
      <c r="B4039" s="32" t="s">
        <v>199</v>
      </c>
      <c r="C4039" t="s">
        <v>6</v>
      </c>
      <c r="D4039">
        <f>IF(B4039=$AB$2,$AC$2,$AC$3)</f>
        <v>1</v>
      </c>
      <c r="E4039">
        <f>IF(ISBLANK(C4039),0,VLOOKUP(C4039,$AE$2:$AF$7,2,0))</f>
        <v>1</v>
      </c>
      <c r="F4039">
        <f t="shared" si="134"/>
        <v>1</v>
      </c>
    </row>
    <row r="4040" spans="1:6">
      <c r="A4040" s="30">
        <f t="shared" si="133"/>
        <v>47130</v>
      </c>
      <c r="B4040" s="32" t="s">
        <v>199</v>
      </c>
      <c r="C4040" t="s">
        <v>6</v>
      </c>
      <c r="D4040">
        <f>IF(B4040=$AB$2,$AC$2,$AC$3)</f>
        <v>1</v>
      </c>
      <c r="E4040">
        <f>IF(ISBLANK(C4040),0,VLOOKUP(C4040,$AE$2:$AF$7,2,0))</f>
        <v>1</v>
      </c>
      <c r="F4040">
        <f t="shared" si="134"/>
        <v>1</v>
      </c>
    </row>
    <row r="4041" spans="1:6">
      <c r="A4041" s="30">
        <f t="shared" si="133"/>
        <v>47131</v>
      </c>
      <c r="B4041" s="32" t="s">
        <v>199</v>
      </c>
      <c r="C4041" t="s">
        <v>6</v>
      </c>
      <c r="D4041">
        <f>IF(B4041=$AB$2,$AC$2,$AC$3)</f>
        <v>1</v>
      </c>
      <c r="E4041">
        <f>IF(ISBLANK(C4041),0,VLOOKUP(C4041,$AE$2:$AF$7,2,0))</f>
        <v>1</v>
      </c>
      <c r="F4041">
        <f t="shared" si="134"/>
        <v>1</v>
      </c>
    </row>
    <row r="4042" spans="1:6">
      <c r="A4042" s="30">
        <f t="shared" si="133"/>
        <v>47132</v>
      </c>
      <c r="B4042" s="32" t="s">
        <v>199</v>
      </c>
      <c r="C4042" t="s">
        <v>6</v>
      </c>
      <c r="D4042">
        <f>IF(B4042=$AB$2,$AC$2,$AC$3)</f>
        <v>1</v>
      </c>
      <c r="E4042">
        <f>IF(ISBLANK(C4042),0,VLOOKUP(C4042,$AE$2:$AF$7,2,0))</f>
        <v>1</v>
      </c>
      <c r="F4042">
        <f t="shared" si="134"/>
        <v>1</v>
      </c>
    </row>
    <row r="4043" spans="1:6">
      <c r="A4043" s="30">
        <f t="shared" si="133"/>
        <v>47133</v>
      </c>
      <c r="B4043" s="32" t="s">
        <v>199</v>
      </c>
      <c r="C4043" t="s">
        <v>6</v>
      </c>
      <c r="D4043">
        <f>IF(B4043=$AB$2,$AC$2,$AC$3)</f>
        <v>1</v>
      </c>
      <c r="E4043">
        <f>IF(ISBLANK(C4043),0,VLOOKUP(C4043,$AE$2:$AF$7,2,0))</f>
        <v>1</v>
      </c>
      <c r="F4043">
        <f t="shared" si="134"/>
        <v>1</v>
      </c>
    </row>
    <row r="4044" spans="1:6">
      <c r="A4044" s="30">
        <f t="shared" si="133"/>
        <v>47134</v>
      </c>
      <c r="B4044" s="32" t="s">
        <v>199</v>
      </c>
      <c r="C4044" t="s">
        <v>6</v>
      </c>
      <c r="D4044">
        <f>IF(B4044=$AB$2,$AC$2,$AC$3)</f>
        <v>1</v>
      </c>
      <c r="E4044">
        <f>IF(ISBLANK(C4044),0,VLOOKUP(C4044,$AE$2:$AF$7,2,0))</f>
        <v>1</v>
      </c>
      <c r="F4044">
        <f t="shared" si="134"/>
        <v>1</v>
      </c>
    </row>
    <row r="4045" spans="1:6">
      <c r="A4045" s="30">
        <f t="shared" si="133"/>
        <v>47135</v>
      </c>
      <c r="B4045" s="32" t="s">
        <v>199</v>
      </c>
      <c r="C4045" t="s">
        <v>6</v>
      </c>
      <c r="D4045">
        <f>IF(B4045=$AB$2,$AC$2,$AC$3)</f>
        <v>1</v>
      </c>
      <c r="E4045">
        <f>IF(ISBLANK(C4045),0,VLOOKUP(C4045,$AE$2:$AF$7,2,0))</f>
        <v>1</v>
      </c>
      <c r="F4045">
        <f t="shared" si="134"/>
        <v>1</v>
      </c>
    </row>
    <row r="4046" spans="1:6">
      <c r="A4046" s="30">
        <f t="shared" si="133"/>
        <v>47136</v>
      </c>
      <c r="B4046" s="32" t="s">
        <v>199</v>
      </c>
      <c r="C4046" t="s">
        <v>6</v>
      </c>
      <c r="D4046">
        <f>IF(B4046=$AB$2,$AC$2,$AC$3)</f>
        <v>1</v>
      </c>
      <c r="E4046">
        <f>IF(ISBLANK(C4046),0,VLOOKUP(C4046,$AE$2:$AF$7,2,0))</f>
        <v>1</v>
      </c>
      <c r="F4046">
        <f t="shared" si="134"/>
        <v>1</v>
      </c>
    </row>
    <row r="4047" spans="1:6">
      <c r="A4047" s="30">
        <f t="shared" si="133"/>
        <v>47137</v>
      </c>
      <c r="B4047" s="32" t="s">
        <v>199</v>
      </c>
      <c r="C4047" t="s">
        <v>6</v>
      </c>
      <c r="D4047">
        <f>IF(B4047=$AB$2,$AC$2,$AC$3)</f>
        <v>1</v>
      </c>
      <c r="E4047">
        <f>IF(ISBLANK(C4047),0,VLOOKUP(C4047,$AE$2:$AF$7,2,0))</f>
        <v>1</v>
      </c>
      <c r="F4047">
        <f t="shared" si="134"/>
        <v>1</v>
      </c>
    </row>
    <row r="4048" spans="1:6">
      <c r="A4048" s="30">
        <f t="shared" si="133"/>
        <v>47138</v>
      </c>
      <c r="B4048" s="32" t="s">
        <v>199</v>
      </c>
      <c r="C4048" t="s">
        <v>6</v>
      </c>
      <c r="D4048">
        <f>IF(B4048=$AB$2,$AC$2,$AC$3)</f>
        <v>1</v>
      </c>
      <c r="E4048">
        <f>IF(ISBLANK(C4048),0,VLOOKUP(C4048,$AE$2:$AF$7,2,0))</f>
        <v>1</v>
      </c>
      <c r="F4048">
        <f t="shared" si="134"/>
        <v>1</v>
      </c>
    </row>
    <row r="4049" spans="1:6">
      <c r="A4049" s="30">
        <f t="shared" si="133"/>
        <v>47139</v>
      </c>
      <c r="B4049" s="32" t="s">
        <v>199</v>
      </c>
      <c r="C4049" t="s">
        <v>6</v>
      </c>
      <c r="D4049">
        <f>IF(B4049=$AB$2,$AC$2,$AC$3)</f>
        <v>1</v>
      </c>
      <c r="E4049">
        <f>IF(ISBLANK(C4049),0,VLOOKUP(C4049,$AE$2:$AF$7,2,0))</f>
        <v>1</v>
      </c>
      <c r="F4049">
        <f t="shared" si="134"/>
        <v>1</v>
      </c>
    </row>
    <row r="4050" spans="1:6">
      <c r="A4050" s="30">
        <f t="shared" si="133"/>
        <v>47140</v>
      </c>
      <c r="B4050" s="32" t="s">
        <v>199</v>
      </c>
      <c r="C4050" t="s">
        <v>6</v>
      </c>
      <c r="D4050">
        <f>IF(B4050=$AB$2,$AC$2,$AC$3)</f>
        <v>1</v>
      </c>
      <c r="E4050">
        <f>IF(ISBLANK(C4050),0,VLOOKUP(C4050,$AE$2:$AF$7,2,0))</f>
        <v>1</v>
      </c>
      <c r="F4050">
        <f t="shared" si="134"/>
        <v>1</v>
      </c>
    </row>
    <row r="4051" spans="1:6">
      <c r="A4051" s="30">
        <f t="shared" si="133"/>
        <v>47141</v>
      </c>
      <c r="B4051" s="32" t="s">
        <v>199</v>
      </c>
      <c r="C4051" t="s">
        <v>6</v>
      </c>
      <c r="D4051">
        <f>IF(B4051=$AB$2,$AC$2,$AC$3)</f>
        <v>1</v>
      </c>
      <c r="E4051">
        <f>IF(ISBLANK(C4051),0,VLOOKUP(C4051,$AE$2:$AF$7,2,0))</f>
        <v>1</v>
      </c>
      <c r="F4051">
        <f t="shared" si="134"/>
        <v>1</v>
      </c>
    </row>
    <row r="4052" spans="1:6">
      <c r="A4052" s="30">
        <f t="shared" si="133"/>
        <v>47142</v>
      </c>
      <c r="B4052" s="32" t="s">
        <v>199</v>
      </c>
      <c r="C4052" t="s">
        <v>6</v>
      </c>
      <c r="D4052">
        <f>IF(B4052=$AB$2,$AC$2,$AC$3)</f>
        <v>1</v>
      </c>
      <c r="E4052">
        <f>IF(ISBLANK(C4052),0,VLOOKUP(C4052,$AE$2:$AF$7,2,0))</f>
        <v>1</v>
      </c>
      <c r="F4052">
        <f t="shared" si="134"/>
        <v>1</v>
      </c>
    </row>
    <row r="4053" spans="1:6">
      <c r="A4053" s="30">
        <f t="shared" si="133"/>
        <v>47143</v>
      </c>
      <c r="B4053" s="32" t="s">
        <v>199</v>
      </c>
      <c r="C4053" t="s">
        <v>6</v>
      </c>
      <c r="D4053">
        <f>IF(B4053=$AB$2,$AC$2,$AC$3)</f>
        <v>1</v>
      </c>
      <c r="E4053">
        <f>IF(ISBLANK(C4053),0,VLOOKUP(C4053,$AE$2:$AF$7,2,0))</f>
        <v>1</v>
      </c>
      <c r="F4053">
        <f t="shared" si="134"/>
        <v>1</v>
      </c>
    </row>
    <row r="4054" spans="1:6">
      <c r="A4054" s="30">
        <f t="shared" si="133"/>
        <v>47144</v>
      </c>
      <c r="B4054" s="32" t="s">
        <v>199</v>
      </c>
      <c r="C4054" t="s">
        <v>6</v>
      </c>
      <c r="D4054">
        <f>IF(B4054=$AB$2,$AC$2,$AC$3)</f>
        <v>1</v>
      </c>
      <c r="E4054">
        <f>IF(ISBLANK(C4054),0,VLOOKUP(C4054,$AE$2:$AF$7,2,0))</f>
        <v>1</v>
      </c>
      <c r="F4054">
        <f t="shared" si="134"/>
        <v>1</v>
      </c>
    </row>
    <row r="4055" spans="1:6">
      <c r="A4055" s="30">
        <f t="shared" si="133"/>
        <v>47145</v>
      </c>
      <c r="B4055" s="32" t="s">
        <v>199</v>
      </c>
      <c r="C4055" t="s">
        <v>6</v>
      </c>
      <c r="D4055">
        <f>IF(B4055=$AB$2,$AC$2,$AC$3)</f>
        <v>1</v>
      </c>
      <c r="E4055">
        <f>IF(ISBLANK(C4055),0,VLOOKUP(C4055,$AE$2:$AF$7,2,0))</f>
        <v>1</v>
      </c>
      <c r="F4055">
        <f t="shared" si="134"/>
        <v>1</v>
      </c>
    </row>
    <row r="4056" spans="1:6">
      <c r="A4056" s="30">
        <f t="shared" si="133"/>
        <v>47146</v>
      </c>
      <c r="B4056" s="32" t="s">
        <v>199</v>
      </c>
      <c r="C4056" t="s">
        <v>6</v>
      </c>
      <c r="D4056">
        <f>IF(B4056=$AB$2,$AC$2,$AC$3)</f>
        <v>1</v>
      </c>
      <c r="E4056">
        <f>IF(ISBLANK(C4056),0,VLOOKUP(C4056,$AE$2:$AF$7,2,0))</f>
        <v>1</v>
      </c>
      <c r="F4056">
        <f t="shared" si="134"/>
        <v>1</v>
      </c>
    </row>
    <row r="4057" spans="1:6">
      <c r="A4057" s="30">
        <f t="shared" si="133"/>
        <v>47147</v>
      </c>
      <c r="B4057" s="32" t="s">
        <v>199</v>
      </c>
      <c r="C4057" t="s">
        <v>6</v>
      </c>
      <c r="D4057">
        <f>IF(B4057=$AB$2,$AC$2,$AC$3)</f>
        <v>1</v>
      </c>
      <c r="E4057">
        <f>IF(ISBLANK(C4057),0,VLOOKUP(C4057,$AE$2:$AF$7,2,0))</f>
        <v>1</v>
      </c>
      <c r="F4057">
        <f t="shared" si="134"/>
        <v>1</v>
      </c>
    </row>
    <row r="4058" spans="1:6">
      <c r="A4058" s="30">
        <f t="shared" ref="A4058:A4106" si="135">A4057+1</f>
        <v>47148</v>
      </c>
      <c r="B4058" s="32" t="s">
        <v>199</v>
      </c>
      <c r="C4058" t="s">
        <v>6</v>
      </c>
      <c r="D4058">
        <f>IF(B4058=$AB$2,$AC$2,$AC$3)</f>
        <v>1</v>
      </c>
      <c r="E4058">
        <f>IF(ISBLANK(C4058),0,VLOOKUP(C4058,$AE$2:$AF$7,2,0))</f>
        <v>1</v>
      </c>
      <c r="F4058">
        <f t="shared" si="134"/>
        <v>1</v>
      </c>
    </row>
    <row r="4059" spans="1:6">
      <c r="A4059" s="30">
        <f t="shared" si="135"/>
        <v>47149</v>
      </c>
      <c r="B4059" s="32" t="s">
        <v>199</v>
      </c>
      <c r="C4059" t="s">
        <v>6</v>
      </c>
      <c r="D4059">
        <f>IF(B4059=$AB$2,$AC$2,$AC$3)</f>
        <v>1</v>
      </c>
      <c r="E4059">
        <f>IF(ISBLANK(C4059),0,VLOOKUP(C4059,$AE$2:$AF$7,2,0))</f>
        <v>1</v>
      </c>
      <c r="F4059">
        <f t="shared" si="134"/>
        <v>1</v>
      </c>
    </row>
    <row r="4060" spans="1:6">
      <c r="A4060" s="30">
        <f t="shared" si="135"/>
        <v>47150</v>
      </c>
      <c r="B4060" s="32" t="s">
        <v>199</v>
      </c>
      <c r="C4060" t="s">
        <v>6</v>
      </c>
      <c r="D4060">
        <f>IF(B4060=$AB$2,$AC$2,$AC$3)</f>
        <v>1</v>
      </c>
      <c r="E4060">
        <f>IF(ISBLANK(C4060),0,VLOOKUP(C4060,$AE$2:$AF$7,2,0))</f>
        <v>1</v>
      </c>
      <c r="F4060">
        <f t="shared" si="134"/>
        <v>1</v>
      </c>
    </row>
    <row r="4061" spans="1:6">
      <c r="A4061" s="30">
        <f t="shared" si="135"/>
        <v>47151</v>
      </c>
      <c r="B4061" s="32" t="s">
        <v>199</v>
      </c>
      <c r="C4061" t="s">
        <v>6</v>
      </c>
      <c r="D4061">
        <f>IF(B4061=$AB$2,$AC$2,$AC$3)</f>
        <v>1</v>
      </c>
      <c r="E4061">
        <f>IF(ISBLANK(C4061),0,VLOOKUP(C4061,$AE$2:$AF$7,2,0))</f>
        <v>1</v>
      </c>
      <c r="F4061">
        <f t="shared" si="134"/>
        <v>1</v>
      </c>
    </row>
    <row r="4062" spans="1:6">
      <c r="A4062" s="30">
        <f t="shared" si="135"/>
        <v>47152</v>
      </c>
      <c r="B4062" s="32" t="s">
        <v>199</v>
      </c>
      <c r="C4062" t="s">
        <v>6</v>
      </c>
      <c r="D4062">
        <f>IF(B4062=$AB$2,$AC$2,$AC$3)</f>
        <v>1</v>
      </c>
      <c r="E4062">
        <f>IF(ISBLANK(C4062),0,VLOOKUP(C4062,$AE$2:$AF$7,2,0))</f>
        <v>1</v>
      </c>
      <c r="F4062">
        <f t="shared" si="134"/>
        <v>1</v>
      </c>
    </row>
    <row r="4063" spans="1:6">
      <c r="A4063" s="30">
        <f t="shared" si="135"/>
        <v>47153</v>
      </c>
      <c r="B4063" s="32" t="s">
        <v>199</v>
      </c>
      <c r="C4063" t="s">
        <v>6</v>
      </c>
      <c r="D4063">
        <f>IF(B4063=$AB$2,$AC$2,$AC$3)</f>
        <v>1</v>
      </c>
      <c r="E4063">
        <f>IF(ISBLANK(C4063),0,VLOOKUP(C4063,$AE$2:$AF$7,2,0))</f>
        <v>1</v>
      </c>
      <c r="F4063">
        <f t="shared" si="134"/>
        <v>1</v>
      </c>
    </row>
    <row r="4064" spans="1:6">
      <c r="A4064" s="30">
        <f t="shared" si="135"/>
        <v>47154</v>
      </c>
      <c r="B4064" s="32" t="s">
        <v>199</v>
      </c>
      <c r="C4064" t="s">
        <v>6</v>
      </c>
      <c r="D4064">
        <f>IF(B4064=$AB$2,$AC$2,$AC$3)</f>
        <v>1</v>
      </c>
      <c r="E4064">
        <f>IF(ISBLANK(C4064),0,VLOOKUP(C4064,$AE$2:$AF$7,2,0))</f>
        <v>1</v>
      </c>
      <c r="F4064">
        <f t="shared" si="134"/>
        <v>1</v>
      </c>
    </row>
    <row r="4065" spans="1:6">
      <c r="A4065" s="30">
        <f t="shared" si="135"/>
        <v>47155</v>
      </c>
      <c r="B4065" s="32" t="s">
        <v>199</v>
      </c>
      <c r="C4065" t="s">
        <v>6</v>
      </c>
      <c r="D4065">
        <f>IF(B4065=$AB$2,$AC$2,$AC$3)</f>
        <v>1</v>
      </c>
      <c r="E4065">
        <f>IF(ISBLANK(C4065),0,VLOOKUP(C4065,$AE$2:$AF$7,2,0))</f>
        <v>1</v>
      </c>
      <c r="F4065">
        <f t="shared" si="134"/>
        <v>1</v>
      </c>
    </row>
    <row r="4066" spans="1:6">
      <c r="A4066" s="30">
        <f t="shared" si="135"/>
        <v>47156</v>
      </c>
      <c r="B4066" s="32" t="s">
        <v>199</v>
      </c>
      <c r="C4066" t="s">
        <v>6</v>
      </c>
      <c r="D4066">
        <f>IF(B4066=$AB$2,$AC$2,$AC$3)</f>
        <v>1</v>
      </c>
      <c r="E4066">
        <f>IF(ISBLANK(C4066),0,VLOOKUP(C4066,$AE$2:$AF$7,2,0))</f>
        <v>1</v>
      </c>
      <c r="F4066">
        <f t="shared" si="134"/>
        <v>1</v>
      </c>
    </row>
    <row r="4067" spans="1:6">
      <c r="A4067" s="30">
        <f t="shared" si="135"/>
        <v>47157</v>
      </c>
      <c r="B4067" s="32" t="s">
        <v>199</v>
      </c>
      <c r="C4067" t="s">
        <v>6</v>
      </c>
      <c r="D4067">
        <f>IF(B4067=$AB$2,$AC$2,$AC$3)</f>
        <v>1</v>
      </c>
      <c r="E4067">
        <f>IF(ISBLANK(C4067),0,VLOOKUP(C4067,$AE$2:$AF$7,2,0))</f>
        <v>1</v>
      </c>
      <c r="F4067">
        <f t="shared" si="134"/>
        <v>1</v>
      </c>
    </row>
    <row r="4068" spans="1:6">
      <c r="A4068" s="30">
        <f t="shared" si="135"/>
        <v>47158</v>
      </c>
      <c r="B4068" s="32" t="s">
        <v>199</v>
      </c>
      <c r="C4068" t="s">
        <v>6</v>
      </c>
      <c r="D4068">
        <f>IF(B4068=$AB$2,$AC$2,$AC$3)</f>
        <v>1</v>
      </c>
      <c r="E4068">
        <f>IF(ISBLANK(C4068),0,VLOOKUP(C4068,$AE$2:$AF$7,2,0))</f>
        <v>1</v>
      </c>
      <c r="F4068">
        <f t="shared" si="134"/>
        <v>1</v>
      </c>
    </row>
    <row r="4069" spans="1:6">
      <c r="A4069" s="30">
        <f t="shared" si="135"/>
        <v>47159</v>
      </c>
      <c r="B4069" s="32" t="s">
        <v>199</v>
      </c>
      <c r="C4069" t="s">
        <v>6</v>
      </c>
      <c r="D4069">
        <f>IF(B4069=$AB$2,$AC$2,$AC$3)</f>
        <v>1</v>
      </c>
      <c r="E4069">
        <f>IF(ISBLANK(C4069),0,VLOOKUP(C4069,$AE$2:$AF$7,2,0))</f>
        <v>1</v>
      </c>
      <c r="F4069">
        <f t="shared" si="134"/>
        <v>1</v>
      </c>
    </row>
    <row r="4070" spans="1:6">
      <c r="A4070" s="30">
        <f t="shared" si="135"/>
        <v>47160</v>
      </c>
      <c r="B4070" s="32" t="s">
        <v>199</v>
      </c>
      <c r="C4070" t="s">
        <v>6</v>
      </c>
      <c r="D4070">
        <f>IF(B4070=$AB$2,$AC$2,$AC$3)</f>
        <v>1</v>
      </c>
      <c r="E4070">
        <f>IF(ISBLANK(C4070),0,VLOOKUP(C4070,$AE$2:$AF$7,2,0))</f>
        <v>1</v>
      </c>
      <c r="F4070">
        <f t="shared" si="134"/>
        <v>1</v>
      </c>
    </row>
    <row r="4071" spans="1:6">
      <c r="A4071" s="30">
        <f t="shared" si="135"/>
        <v>47161</v>
      </c>
      <c r="B4071" s="32" t="s">
        <v>199</v>
      </c>
      <c r="C4071" t="s">
        <v>6</v>
      </c>
      <c r="D4071">
        <f>IF(B4071=$AB$2,$AC$2,$AC$3)</f>
        <v>1</v>
      </c>
      <c r="E4071">
        <f>IF(ISBLANK(C4071),0,VLOOKUP(C4071,$AE$2:$AF$7,2,0))</f>
        <v>1</v>
      </c>
      <c r="F4071">
        <f t="shared" si="134"/>
        <v>1</v>
      </c>
    </row>
    <row r="4072" spans="1:6">
      <c r="A4072" s="30">
        <f t="shared" si="135"/>
        <v>47162</v>
      </c>
      <c r="B4072" s="32" t="s">
        <v>199</v>
      </c>
      <c r="C4072" t="s">
        <v>6</v>
      </c>
      <c r="D4072">
        <f>IF(B4072=$AB$2,$AC$2,$AC$3)</f>
        <v>1</v>
      </c>
      <c r="E4072">
        <f>IF(ISBLANK(C4072),0,VLOOKUP(C4072,$AE$2:$AF$7,2,0))</f>
        <v>1</v>
      </c>
      <c r="F4072">
        <f t="shared" si="134"/>
        <v>1</v>
      </c>
    </row>
    <row r="4073" spans="1:6">
      <c r="A4073" s="30">
        <f t="shared" si="135"/>
        <v>47163</v>
      </c>
      <c r="B4073" s="32" t="s">
        <v>199</v>
      </c>
      <c r="C4073" t="s">
        <v>6</v>
      </c>
      <c r="D4073">
        <f>IF(B4073=$AB$2,$AC$2,$AC$3)</f>
        <v>1</v>
      </c>
      <c r="E4073">
        <f>IF(ISBLANK(C4073),0,VLOOKUP(C4073,$AE$2:$AF$7,2,0))</f>
        <v>1</v>
      </c>
      <c r="F4073">
        <f t="shared" si="134"/>
        <v>1</v>
      </c>
    </row>
    <row r="4074" spans="1:6">
      <c r="A4074" s="30">
        <f t="shared" si="135"/>
        <v>47164</v>
      </c>
      <c r="B4074" s="32" t="s">
        <v>199</v>
      </c>
      <c r="C4074" t="s">
        <v>6</v>
      </c>
      <c r="D4074">
        <f>IF(B4074=$AB$2,$AC$2,$AC$3)</f>
        <v>1</v>
      </c>
      <c r="E4074">
        <f>IF(ISBLANK(C4074),0,VLOOKUP(C4074,$AE$2:$AF$7,2,0))</f>
        <v>1</v>
      </c>
      <c r="F4074">
        <f t="shared" si="134"/>
        <v>1</v>
      </c>
    </row>
    <row r="4075" spans="1:6">
      <c r="A4075" s="30">
        <f t="shared" si="135"/>
        <v>47165</v>
      </c>
      <c r="B4075" s="32" t="s">
        <v>199</v>
      </c>
      <c r="C4075" t="s">
        <v>6</v>
      </c>
      <c r="D4075">
        <f>IF(B4075=$AB$2,$AC$2,$AC$3)</f>
        <v>1</v>
      </c>
      <c r="E4075">
        <f>IF(ISBLANK(C4075),0,VLOOKUP(C4075,$AE$2:$AF$7,2,0))</f>
        <v>1</v>
      </c>
      <c r="F4075">
        <f t="shared" si="134"/>
        <v>1</v>
      </c>
    </row>
    <row r="4076" spans="1:6">
      <c r="A4076" s="30">
        <f t="shared" si="135"/>
        <v>47166</v>
      </c>
      <c r="B4076" s="32" t="s">
        <v>199</v>
      </c>
      <c r="C4076" t="s">
        <v>6</v>
      </c>
      <c r="D4076">
        <f>IF(B4076=$AB$2,$AC$2,$AC$3)</f>
        <v>1</v>
      </c>
      <c r="E4076">
        <f>IF(ISBLANK(C4076),0,VLOOKUP(C4076,$AE$2:$AF$7,2,0))</f>
        <v>1</v>
      </c>
      <c r="F4076">
        <f t="shared" si="134"/>
        <v>1</v>
      </c>
    </row>
    <row r="4077" spans="1:6">
      <c r="A4077" s="30">
        <f t="shared" si="135"/>
        <v>47167</v>
      </c>
      <c r="B4077" s="32" t="s">
        <v>199</v>
      </c>
      <c r="C4077" t="s">
        <v>6</v>
      </c>
      <c r="D4077">
        <f>IF(B4077=$AB$2,$AC$2,$AC$3)</f>
        <v>1</v>
      </c>
      <c r="E4077">
        <f>IF(ISBLANK(C4077),0,VLOOKUP(C4077,$AE$2:$AF$7,2,0))</f>
        <v>1</v>
      </c>
      <c r="F4077">
        <f t="shared" si="134"/>
        <v>1</v>
      </c>
    </row>
    <row r="4078" spans="1:6">
      <c r="A4078" s="30">
        <f t="shared" si="135"/>
        <v>47168</v>
      </c>
      <c r="B4078" s="32" t="s">
        <v>199</v>
      </c>
      <c r="C4078" t="s">
        <v>6</v>
      </c>
      <c r="D4078">
        <f>IF(B4078=$AB$2,$AC$2,$AC$3)</f>
        <v>1</v>
      </c>
      <c r="E4078">
        <f>IF(ISBLANK(C4078),0,VLOOKUP(C4078,$AE$2:$AF$7,2,0))</f>
        <v>1</v>
      </c>
      <c r="F4078">
        <f t="shared" si="134"/>
        <v>1</v>
      </c>
    </row>
    <row r="4079" spans="1:6">
      <c r="A4079" s="30">
        <f t="shared" si="135"/>
        <v>47169</v>
      </c>
      <c r="B4079" s="32" t="s">
        <v>199</v>
      </c>
      <c r="C4079" t="s">
        <v>6</v>
      </c>
      <c r="D4079">
        <f>IF(B4079=$AB$2,$AC$2,$AC$3)</f>
        <v>1</v>
      </c>
      <c r="E4079">
        <f>IF(ISBLANK(C4079),0,VLOOKUP(C4079,$AE$2:$AF$7,2,0))</f>
        <v>1</v>
      </c>
      <c r="F4079">
        <f t="shared" si="134"/>
        <v>1</v>
      </c>
    </row>
    <row r="4080" spans="1:6">
      <c r="A4080" s="30">
        <f t="shared" si="135"/>
        <v>47170</v>
      </c>
      <c r="B4080" s="32" t="s">
        <v>199</v>
      </c>
      <c r="C4080" t="s">
        <v>6</v>
      </c>
      <c r="D4080">
        <f>IF(B4080=$AB$2,$AC$2,$AC$3)</f>
        <v>1</v>
      </c>
      <c r="E4080">
        <f>IF(ISBLANK(C4080),0,VLOOKUP(C4080,$AE$2:$AF$7,2,0))</f>
        <v>1</v>
      </c>
      <c r="F4080">
        <f t="shared" si="134"/>
        <v>1</v>
      </c>
    </row>
    <row r="4081" spans="1:6">
      <c r="A4081" s="30">
        <f t="shared" si="135"/>
        <v>47171</v>
      </c>
      <c r="B4081" s="32" t="s">
        <v>199</v>
      </c>
      <c r="C4081" t="s">
        <v>6</v>
      </c>
      <c r="D4081">
        <f>IF(B4081=$AB$2,$AC$2,$AC$3)</f>
        <v>1</v>
      </c>
      <c r="E4081">
        <f>IF(ISBLANK(C4081),0,VLOOKUP(C4081,$AE$2:$AF$7,2,0))</f>
        <v>1</v>
      </c>
      <c r="F4081">
        <f t="shared" si="134"/>
        <v>1</v>
      </c>
    </row>
    <row r="4082" spans="1:6">
      <c r="A4082" s="30">
        <f t="shared" si="135"/>
        <v>47172</v>
      </c>
      <c r="B4082" s="32" t="s">
        <v>199</v>
      </c>
      <c r="C4082" t="s">
        <v>6</v>
      </c>
      <c r="D4082">
        <f>IF(B4082=$AB$2,$AC$2,$AC$3)</f>
        <v>1</v>
      </c>
      <c r="E4082">
        <f>IF(ISBLANK(C4082),0,VLOOKUP(C4082,$AE$2:$AF$7,2,0))</f>
        <v>1</v>
      </c>
      <c r="F4082">
        <f t="shared" si="134"/>
        <v>1</v>
      </c>
    </row>
    <row r="4083" spans="1:6">
      <c r="A4083" s="30">
        <f t="shared" si="135"/>
        <v>47173</v>
      </c>
      <c r="B4083" s="32" t="s">
        <v>199</v>
      </c>
      <c r="C4083" t="s">
        <v>6</v>
      </c>
      <c r="D4083">
        <f>IF(B4083=$AB$2,$AC$2,$AC$3)</f>
        <v>1</v>
      </c>
      <c r="E4083">
        <f>IF(ISBLANK(C4083),0,VLOOKUP(C4083,$AE$2:$AF$7,2,0))</f>
        <v>1</v>
      </c>
      <c r="F4083">
        <f t="shared" si="134"/>
        <v>1</v>
      </c>
    </row>
    <row r="4084" spans="1:6">
      <c r="A4084" s="30">
        <f t="shared" si="135"/>
        <v>47174</v>
      </c>
      <c r="B4084" s="32" t="s">
        <v>199</v>
      </c>
      <c r="C4084" t="s">
        <v>6</v>
      </c>
      <c r="D4084">
        <f>IF(B4084=$AB$2,$AC$2,$AC$3)</f>
        <v>1</v>
      </c>
      <c r="E4084">
        <f>IF(ISBLANK(C4084),0,VLOOKUP(C4084,$AE$2:$AF$7,2,0))</f>
        <v>1</v>
      </c>
      <c r="F4084">
        <f t="shared" si="134"/>
        <v>1</v>
      </c>
    </row>
    <row r="4085" spans="1:6">
      <c r="A4085" s="30">
        <f t="shared" si="135"/>
        <v>47175</v>
      </c>
      <c r="B4085" s="32" t="s">
        <v>199</v>
      </c>
      <c r="C4085" t="s">
        <v>6</v>
      </c>
      <c r="D4085">
        <f>IF(B4085=$AB$2,$AC$2,$AC$3)</f>
        <v>1</v>
      </c>
      <c r="E4085">
        <f>IF(ISBLANK(C4085),0,VLOOKUP(C4085,$AE$2:$AF$7,2,0))</f>
        <v>1</v>
      </c>
      <c r="F4085">
        <f t="shared" si="134"/>
        <v>1</v>
      </c>
    </row>
    <row r="4086" spans="1:6">
      <c r="A4086" s="30">
        <f t="shared" si="135"/>
        <v>47176</v>
      </c>
      <c r="B4086" s="32" t="s">
        <v>199</v>
      </c>
      <c r="C4086" t="s">
        <v>6</v>
      </c>
      <c r="D4086">
        <f>IF(B4086=$AB$2,$AC$2,$AC$3)</f>
        <v>1</v>
      </c>
      <c r="E4086">
        <f>IF(ISBLANK(C4086),0,VLOOKUP(C4086,$AE$2:$AF$7,2,0))</f>
        <v>1</v>
      </c>
      <c r="F4086">
        <f t="shared" si="134"/>
        <v>1</v>
      </c>
    </row>
    <row r="4087" spans="1:6">
      <c r="A4087" s="30">
        <f t="shared" si="135"/>
        <v>47177</v>
      </c>
      <c r="B4087" s="32" t="s">
        <v>199</v>
      </c>
      <c r="C4087" t="s">
        <v>6</v>
      </c>
      <c r="D4087">
        <f>IF(B4087=$AB$2,$AC$2,$AC$3)</f>
        <v>1</v>
      </c>
      <c r="E4087">
        <f>IF(ISBLANK(C4087),0,VLOOKUP(C4087,$AE$2:$AF$7,2,0))</f>
        <v>1</v>
      </c>
      <c r="F4087">
        <f t="shared" si="134"/>
        <v>1</v>
      </c>
    </row>
    <row r="4088" spans="1:6">
      <c r="A4088" s="30">
        <f t="shared" si="135"/>
        <v>47178</v>
      </c>
      <c r="B4088" s="32" t="s">
        <v>199</v>
      </c>
      <c r="C4088" t="s">
        <v>6</v>
      </c>
      <c r="D4088">
        <f>IF(B4088=$AB$2,$AC$2,$AC$3)</f>
        <v>1</v>
      </c>
      <c r="E4088">
        <f>IF(ISBLANK(C4088),0,VLOOKUP(C4088,$AE$2:$AF$7,2,0))</f>
        <v>1</v>
      </c>
      <c r="F4088">
        <f t="shared" si="134"/>
        <v>1</v>
      </c>
    </row>
    <row r="4089" spans="1:6">
      <c r="A4089" s="30">
        <f t="shared" si="135"/>
        <v>47179</v>
      </c>
      <c r="B4089" s="32" t="s">
        <v>199</v>
      </c>
      <c r="C4089" t="s">
        <v>6</v>
      </c>
      <c r="D4089">
        <f>IF(B4089=$AB$2,$AC$2,$AC$3)</f>
        <v>1</v>
      </c>
      <c r="E4089">
        <f>IF(ISBLANK(C4089),0,VLOOKUP(C4089,$AE$2:$AF$7,2,0))</f>
        <v>1</v>
      </c>
      <c r="F4089">
        <f t="shared" si="134"/>
        <v>1</v>
      </c>
    </row>
    <row r="4090" spans="1:6">
      <c r="A4090" s="30">
        <f t="shared" si="135"/>
        <v>47180</v>
      </c>
      <c r="B4090" s="32" t="s">
        <v>199</v>
      </c>
      <c r="C4090" t="s">
        <v>6</v>
      </c>
      <c r="D4090">
        <f>IF(B4090=$AB$2,$AC$2,$AC$3)</f>
        <v>1</v>
      </c>
      <c r="E4090">
        <f>IF(ISBLANK(C4090),0,VLOOKUP(C4090,$AE$2:$AF$7,2,0))</f>
        <v>1</v>
      </c>
      <c r="F4090">
        <f t="shared" si="134"/>
        <v>1</v>
      </c>
    </row>
    <row r="4091" spans="1:6">
      <c r="A4091" s="30">
        <f t="shared" si="135"/>
        <v>47181</v>
      </c>
      <c r="B4091" s="32" t="s">
        <v>199</v>
      </c>
      <c r="C4091" t="s">
        <v>6</v>
      </c>
      <c r="D4091">
        <f>IF(B4091=$AB$2,$AC$2,$AC$3)</f>
        <v>1</v>
      </c>
      <c r="E4091">
        <f>IF(ISBLANK(C4091),0,VLOOKUP(C4091,$AE$2:$AF$7,2,0))</f>
        <v>1</v>
      </c>
      <c r="F4091">
        <f t="shared" si="134"/>
        <v>1</v>
      </c>
    </row>
    <row r="4092" spans="1:6">
      <c r="A4092" s="30">
        <f t="shared" si="135"/>
        <v>47182</v>
      </c>
      <c r="B4092" s="32" t="s">
        <v>199</v>
      </c>
      <c r="C4092" t="s">
        <v>6</v>
      </c>
      <c r="D4092">
        <f>IF(B4092=$AB$2,$AC$2,$AC$3)</f>
        <v>1</v>
      </c>
      <c r="E4092">
        <f>IF(ISBLANK(C4092),0,VLOOKUP(C4092,$AE$2:$AF$7,2,0))</f>
        <v>1</v>
      </c>
      <c r="F4092">
        <f t="shared" si="134"/>
        <v>1</v>
      </c>
    </row>
    <row r="4093" spans="1:6">
      <c r="A4093" s="30">
        <f t="shared" si="135"/>
        <v>47183</v>
      </c>
      <c r="B4093" s="32" t="s">
        <v>199</v>
      </c>
      <c r="C4093" t="s">
        <v>6</v>
      </c>
      <c r="D4093">
        <f>IF(B4093=$AB$2,$AC$2,$AC$3)</f>
        <v>1</v>
      </c>
      <c r="E4093">
        <f>IF(ISBLANK(C4093),0,VLOOKUP(C4093,$AE$2:$AF$7,2,0))</f>
        <v>1</v>
      </c>
      <c r="F4093">
        <f t="shared" si="134"/>
        <v>1</v>
      </c>
    </row>
    <row r="4094" spans="1:6">
      <c r="A4094" s="30">
        <f t="shared" si="135"/>
        <v>47184</v>
      </c>
      <c r="B4094" s="32" t="s">
        <v>199</v>
      </c>
      <c r="C4094" t="s">
        <v>6</v>
      </c>
      <c r="D4094">
        <f>IF(B4094=$AB$2,$AC$2,$AC$3)</f>
        <v>1</v>
      </c>
      <c r="E4094">
        <f>IF(ISBLANK(C4094),0,VLOOKUP(C4094,$AE$2:$AF$7,2,0))</f>
        <v>1</v>
      </c>
      <c r="F4094">
        <f t="shared" si="134"/>
        <v>1</v>
      </c>
    </row>
    <row r="4095" spans="1:6">
      <c r="A4095" s="30">
        <f t="shared" si="135"/>
        <v>47185</v>
      </c>
      <c r="B4095" s="32" t="s">
        <v>199</v>
      </c>
      <c r="C4095" t="s">
        <v>6</v>
      </c>
      <c r="D4095">
        <f>IF(B4095=$AB$2,$AC$2,$AC$3)</f>
        <v>1</v>
      </c>
      <c r="E4095">
        <f>IF(ISBLANK(C4095),0,VLOOKUP(C4095,$AE$2:$AF$7,2,0))</f>
        <v>1</v>
      </c>
      <c r="F4095">
        <f t="shared" si="134"/>
        <v>1</v>
      </c>
    </row>
    <row r="4096" spans="1:6">
      <c r="A4096" s="30">
        <f t="shared" si="135"/>
        <v>47186</v>
      </c>
      <c r="B4096" s="32" t="s">
        <v>199</v>
      </c>
      <c r="C4096" t="s">
        <v>6</v>
      </c>
      <c r="D4096">
        <f>IF(B4096=$AB$2,$AC$2,$AC$3)</f>
        <v>1</v>
      </c>
      <c r="E4096">
        <f>IF(ISBLANK(C4096),0,VLOOKUP(C4096,$AE$2:$AF$7,2,0))</f>
        <v>1</v>
      </c>
      <c r="F4096">
        <f t="shared" si="134"/>
        <v>1</v>
      </c>
    </row>
    <row r="4097" spans="1:6">
      <c r="A4097" s="30">
        <f t="shared" si="135"/>
        <v>47187</v>
      </c>
      <c r="B4097" s="32" t="s">
        <v>199</v>
      </c>
      <c r="C4097" t="s">
        <v>6</v>
      </c>
      <c r="D4097">
        <f>IF(B4097=$AB$2,$AC$2,$AC$3)</f>
        <v>1</v>
      </c>
      <c r="E4097">
        <f>IF(ISBLANK(C4097),0,VLOOKUP(C4097,$AE$2:$AF$7,2,0))</f>
        <v>1</v>
      </c>
      <c r="F4097">
        <f t="shared" si="134"/>
        <v>1</v>
      </c>
    </row>
    <row r="4098" spans="1:6">
      <c r="A4098" s="30">
        <f t="shared" si="135"/>
        <v>47188</v>
      </c>
      <c r="B4098" s="32" t="s">
        <v>199</v>
      </c>
      <c r="C4098" t="s">
        <v>6</v>
      </c>
      <c r="D4098">
        <f>IF(B4098=$AB$2,$AC$2,$AC$3)</f>
        <v>1</v>
      </c>
      <c r="E4098">
        <f>IF(ISBLANK(C4098),0,VLOOKUP(C4098,$AE$2:$AF$7,2,0))</f>
        <v>1</v>
      </c>
      <c r="F4098">
        <f t="shared" si="134"/>
        <v>1</v>
      </c>
    </row>
    <row r="4099" spans="1:6">
      <c r="A4099" s="30">
        <f t="shared" si="135"/>
        <v>47189</v>
      </c>
      <c r="B4099" s="32" t="s">
        <v>199</v>
      </c>
      <c r="C4099" t="s">
        <v>6</v>
      </c>
      <c r="D4099">
        <f>IF(B4099=$AB$2,$AC$2,$AC$3)</f>
        <v>1</v>
      </c>
      <c r="E4099">
        <f>IF(ISBLANK(C4099),0,VLOOKUP(C4099,$AE$2:$AF$7,2,0))</f>
        <v>1</v>
      </c>
      <c r="F4099">
        <f t="shared" ref="F4099:F4162" si="136">D4099*E4099</f>
        <v>1</v>
      </c>
    </row>
    <row r="4100" spans="1:6">
      <c r="A4100" s="30">
        <f t="shared" si="135"/>
        <v>47190</v>
      </c>
      <c r="B4100" s="32" t="s">
        <v>199</v>
      </c>
      <c r="C4100" t="s">
        <v>6</v>
      </c>
      <c r="D4100">
        <f>IF(B4100=$AB$2,$AC$2,$AC$3)</f>
        <v>1</v>
      </c>
      <c r="E4100">
        <f>IF(ISBLANK(C4100),0,VLOOKUP(C4100,$AE$2:$AF$7,2,0))</f>
        <v>1</v>
      </c>
      <c r="F4100">
        <f t="shared" si="136"/>
        <v>1</v>
      </c>
    </row>
    <row r="4101" spans="1:6">
      <c r="A4101" s="30">
        <f t="shared" si="135"/>
        <v>47191</v>
      </c>
      <c r="B4101" s="32" t="s">
        <v>199</v>
      </c>
      <c r="C4101" t="s">
        <v>6</v>
      </c>
      <c r="D4101">
        <f>IF(B4101=$AB$2,$AC$2,$AC$3)</f>
        <v>1</v>
      </c>
      <c r="E4101">
        <f>IF(ISBLANK(C4101),0,VLOOKUP(C4101,$AE$2:$AF$7,2,0))</f>
        <v>1</v>
      </c>
      <c r="F4101">
        <f t="shared" si="136"/>
        <v>1</v>
      </c>
    </row>
    <row r="4102" spans="1:6">
      <c r="A4102" s="30">
        <f t="shared" si="135"/>
        <v>47192</v>
      </c>
      <c r="B4102" s="32" t="s">
        <v>199</v>
      </c>
      <c r="C4102" t="s">
        <v>6</v>
      </c>
      <c r="D4102">
        <f>IF(B4102=$AB$2,$AC$2,$AC$3)</f>
        <v>1</v>
      </c>
      <c r="E4102">
        <f>IF(ISBLANK(C4102),0,VLOOKUP(C4102,$AE$2:$AF$7,2,0))</f>
        <v>1</v>
      </c>
      <c r="F4102">
        <f t="shared" si="136"/>
        <v>1</v>
      </c>
    </row>
    <row r="4103" spans="1:6">
      <c r="A4103" s="30">
        <f t="shared" si="135"/>
        <v>47193</v>
      </c>
      <c r="B4103" s="32" t="s">
        <v>199</v>
      </c>
      <c r="C4103" t="s">
        <v>6</v>
      </c>
      <c r="D4103">
        <f>IF(B4103=$AB$2,$AC$2,$AC$3)</f>
        <v>1</v>
      </c>
      <c r="E4103">
        <f>IF(ISBLANK(C4103),0,VLOOKUP(C4103,$AE$2:$AF$7,2,0))</f>
        <v>1</v>
      </c>
      <c r="F4103">
        <f t="shared" si="136"/>
        <v>1</v>
      </c>
    </row>
    <row r="4104" spans="1:6">
      <c r="A4104" s="30">
        <f t="shared" si="135"/>
        <v>47194</v>
      </c>
      <c r="B4104" s="32" t="s">
        <v>199</v>
      </c>
      <c r="C4104" t="s">
        <v>6</v>
      </c>
      <c r="D4104">
        <f>IF(B4104=$AB$2,$AC$2,$AC$3)</f>
        <v>1</v>
      </c>
      <c r="E4104">
        <f>IF(ISBLANK(C4104),0,VLOOKUP(C4104,$AE$2:$AF$7,2,0))</f>
        <v>1</v>
      </c>
      <c r="F4104">
        <f t="shared" si="136"/>
        <v>1</v>
      </c>
    </row>
    <row r="4105" spans="1:6">
      <c r="A4105" s="30">
        <f t="shared" si="135"/>
        <v>47195</v>
      </c>
      <c r="B4105" s="32" t="s">
        <v>199</v>
      </c>
      <c r="C4105" t="s">
        <v>6</v>
      </c>
      <c r="D4105">
        <f>IF(B4105=$AB$2,$AC$2,$AC$3)</f>
        <v>1</v>
      </c>
      <c r="E4105">
        <f>IF(ISBLANK(C4105),0,VLOOKUP(C4105,$AE$2:$AF$7,2,0))</f>
        <v>1</v>
      </c>
      <c r="F4105">
        <f t="shared" si="136"/>
        <v>1</v>
      </c>
    </row>
    <row r="4106" spans="1:6">
      <c r="A4106" s="30">
        <f t="shared" si="135"/>
        <v>47196</v>
      </c>
      <c r="B4106" s="32" t="s">
        <v>199</v>
      </c>
      <c r="C4106" t="s">
        <v>6</v>
      </c>
      <c r="D4106">
        <f>IF(B4106=$AB$2,$AC$2,$AC$3)</f>
        <v>1</v>
      </c>
      <c r="E4106">
        <f>IF(ISBLANK(C4106),0,VLOOKUP(C4106,$AE$2:$AF$7,2,0))</f>
        <v>1</v>
      </c>
      <c r="F4106">
        <f t="shared" si="136"/>
        <v>1</v>
      </c>
    </row>
    <row r="4107" spans="1:6">
      <c r="A4107" s="30">
        <f>A4106+1</f>
        <v>47197</v>
      </c>
      <c r="B4107" s="32" t="s">
        <v>199</v>
      </c>
      <c r="C4107" t="s">
        <v>6</v>
      </c>
      <c r="D4107">
        <f>IF(B4107=$AB$2,$AC$2,$AC$3)</f>
        <v>1</v>
      </c>
      <c r="E4107">
        <f>IF(ISBLANK(C4107),0,VLOOKUP(C4107,$AE$2:$AF$7,2,0))</f>
        <v>1</v>
      </c>
      <c r="F4107">
        <f t="shared" si="136"/>
        <v>1</v>
      </c>
    </row>
    <row r="4108" spans="1:6">
      <c r="A4108" s="30">
        <f t="shared" ref="A4108:A4171" si="137">A4107+1</f>
        <v>47198</v>
      </c>
      <c r="B4108" s="32" t="s">
        <v>199</v>
      </c>
      <c r="C4108" t="s">
        <v>6</v>
      </c>
      <c r="D4108">
        <f>IF(B4108=$AB$2,$AC$2,$AC$3)</f>
        <v>1</v>
      </c>
      <c r="E4108">
        <f>IF(ISBLANK(C4108),0,VLOOKUP(C4108,$AE$2:$AF$7,2,0))</f>
        <v>1</v>
      </c>
      <c r="F4108">
        <f t="shared" si="136"/>
        <v>1</v>
      </c>
    </row>
    <row r="4109" spans="1:6">
      <c r="A4109" s="30">
        <f t="shared" si="137"/>
        <v>47199</v>
      </c>
      <c r="B4109" s="32" t="s">
        <v>199</v>
      </c>
      <c r="C4109" t="s">
        <v>6</v>
      </c>
      <c r="D4109">
        <f>IF(B4109=$AB$2,$AC$2,$AC$3)</f>
        <v>1</v>
      </c>
      <c r="E4109">
        <f>IF(ISBLANK(C4109),0,VLOOKUP(C4109,$AE$2:$AF$7,2,0))</f>
        <v>1</v>
      </c>
      <c r="F4109">
        <f t="shared" si="136"/>
        <v>1</v>
      </c>
    </row>
    <row r="4110" spans="1:6">
      <c r="A4110" s="30">
        <f t="shared" si="137"/>
        <v>47200</v>
      </c>
      <c r="B4110" s="32" t="s">
        <v>199</v>
      </c>
      <c r="C4110" t="s">
        <v>6</v>
      </c>
      <c r="D4110">
        <f>IF(B4110=$AB$2,$AC$2,$AC$3)</f>
        <v>1</v>
      </c>
      <c r="E4110">
        <f>IF(ISBLANK(C4110),0,VLOOKUP(C4110,$AE$2:$AF$7,2,0))</f>
        <v>1</v>
      </c>
      <c r="F4110">
        <f t="shared" si="136"/>
        <v>1</v>
      </c>
    </row>
    <row r="4111" spans="1:6">
      <c r="A4111" s="30">
        <f t="shared" si="137"/>
        <v>47201</v>
      </c>
      <c r="B4111" s="32" t="s">
        <v>199</v>
      </c>
      <c r="C4111" t="s">
        <v>6</v>
      </c>
      <c r="D4111">
        <f>IF(B4111=$AB$2,$AC$2,$AC$3)</f>
        <v>1</v>
      </c>
      <c r="E4111">
        <f>IF(ISBLANK(C4111),0,VLOOKUP(C4111,$AE$2:$AF$7,2,0))</f>
        <v>1</v>
      </c>
      <c r="F4111">
        <f t="shared" si="136"/>
        <v>1</v>
      </c>
    </row>
    <row r="4112" spans="1:6">
      <c r="A4112" s="30">
        <f t="shared" si="137"/>
        <v>47202</v>
      </c>
      <c r="B4112" s="32" t="s">
        <v>199</v>
      </c>
      <c r="C4112" t="s">
        <v>6</v>
      </c>
      <c r="D4112">
        <f>IF(B4112=$AB$2,$AC$2,$AC$3)</f>
        <v>1</v>
      </c>
      <c r="E4112">
        <f>IF(ISBLANK(C4112),0,VLOOKUP(C4112,$AE$2:$AF$7,2,0))</f>
        <v>1</v>
      </c>
      <c r="F4112">
        <f t="shared" si="136"/>
        <v>1</v>
      </c>
    </row>
    <row r="4113" spans="1:6">
      <c r="A4113" s="30">
        <f t="shared" si="137"/>
        <v>47203</v>
      </c>
      <c r="B4113" s="32" t="s">
        <v>199</v>
      </c>
      <c r="C4113" t="s">
        <v>6</v>
      </c>
      <c r="D4113">
        <f>IF(B4113=$AB$2,$AC$2,$AC$3)</f>
        <v>1</v>
      </c>
      <c r="E4113">
        <f>IF(ISBLANK(C4113),0,VLOOKUP(C4113,$AE$2:$AF$7,2,0))</f>
        <v>1</v>
      </c>
      <c r="F4113">
        <f t="shared" si="136"/>
        <v>1</v>
      </c>
    </row>
    <row r="4114" spans="1:6">
      <c r="A4114" s="30">
        <f t="shared" si="137"/>
        <v>47204</v>
      </c>
      <c r="B4114" s="32" t="s">
        <v>199</v>
      </c>
      <c r="C4114" t="s">
        <v>6</v>
      </c>
      <c r="D4114">
        <f>IF(B4114=$AB$2,$AC$2,$AC$3)</f>
        <v>1</v>
      </c>
      <c r="E4114">
        <f>IF(ISBLANK(C4114),0,VLOOKUP(C4114,$AE$2:$AF$7,2,0))</f>
        <v>1</v>
      </c>
      <c r="F4114">
        <f t="shared" si="136"/>
        <v>1</v>
      </c>
    </row>
    <row r="4115" spans="1:6">
      <c r="A4115" s="30">
        <f t="shared" si="137"/>
        <v>47205</v>
      </c>
      <c r="B4115" s="32" t="s">
        <v>199</v>
      </c>
      <c r="C4115" t="s">
        <v>6</v>
      </c>
      <c r="D4115">
        <f>IF(B4115=$AB$2,$AC$2,$AC$3)</f>
        <v>1</v>
      </c>
      <c r="E4115">
        <f>IF(ISBLANK(C4115),0,VLOOKUP(C4115,$AE$2:$AF$7,2,0))</f>
        <v>1</v>
      </c>
      <c r="F4115">
        <f t="shared" si="136"/>
        <v>1</v>
      </c>
    </row>
    <row r="4116" spans="1:6">
      <c r="A4116" s="30">
        <f t="shared" si="137"/>
        <v>47206</v>
      </c>
      <c r="B4116" s="32" t="s">
        <v>199</v>
      </c>
      <c r="C4116" t="s">
        <v>6</v>
      </c>
      <c r="D4116">
        <f>IF(B4116=$AB$2,$AC$2,$AC$3)</f>
        <v>1</v>
      </c>
      <c r="E4116">
        <f>IF(ISBLANK(C4116),0,VLOOKUP(C4116,$AE$2:$AF$7,2,0))</f>
        <v>1</v>
      </c>
      <c r="F4116">
        <f t="shared" si="136"/>
        <v>1</v>
      </c>
    </row>
    <row r="4117" spans="1:6">
      <c r="A4117" s="30">
        <f t="shared" si="137"/>
        <v>47207</v>
      </c>
      <c r="B4117" s="32" t="s">
        <v>199</v>
      </c>
      <c r="C4117" t="s">
        <v>6</v>
      </c>
      <c r="D4117">
        <f>IF(B4117=$AB$2,$AC$2,$AC$3)</f>
        <v>1</v>
      </c>
      <c r="E4117">
        <f>IF(ISBLANK(C4117),0,VLOOKUP(C4117,$AE$2:$AF$7,2,0))</f>
        <v>1</v>
      </c>
      <c r="F4117">
        <f t="shared" si="136"/>
        <v>1</v>
      </c>
    </row>
    <row r="4118" spans="1:6">
      <c r="A4118" s="30">
        <f t="shared" si="137"/>
        <v>47208</v>
      </c>
      <c r="B4118" s="32" t="s">
        <v>199</v>
      </c>
      <c r="C4118" t="s">
        <v>6</v>
      </c>
      <c r="D4118">
        <f>IF(B4118=$AB$2,$AC$2,$AC$3)</f>
        <v>1</v>
      </c>
      <c r="E4118">
        <f>IF(ISBLANK(C4118),0,VLOOKUP(C4118,$AE$2:$AF$7,2,0))</f>
        <v>1</v>
      </c>
      <c r="F4118">
        <f t="shared" si="136"/>
        <v>1</v>
      </c>
    </row>
    <row r="4119" spans="1:6">
      <c r="A4119" s="30">
        <f t="shared" si="137"/>
        <v>47209</v>
      </c>
      <c r="B4119" s="32" t="s">
        <v>199</v>
      </c>
      <c r="C4119" t="s">
        <v>6</v>
      </c>
      <c r="D4119">
        <f>IF(B4119=$AB$2,$AC$2,$AC$3)</f>
        <v>1</v>
      </c>
      <c r="E4119">
        <f>IF(ISBLANK(C4119),0,VLOOKUP(C4119,$AE$2:$AF$7,2,0))</f>
        <v>1</v>
      </c>
      <c r="F4119">
        <f t="shared" si="136"/>
        <v>1</v>
      </c>
    </row>
    <row r="4120" spans="1:6">
      <c r="A4120" s="30">
        <f t="shared" si="137"/>
        <v>47210</v>
      </c>
      <c r="B4120" s="32" t="s">
        <v>199</v>
      </c>
      <c r="C4120" t="s">
        <v>6</v>
      </c>
      <c r="D4120">
        <f>IF(B4120=$AB$2,$AC$2,$AC$3)</f>
        <v>1</v>
      </c>
      <c r="E4120">
        <f>IF(ISBLANK(C4120),0,VLOOKUP(C4120,$AE$2:$AF$7,2,0))</f>
        <v>1</v>
      </c>
      <c r="F4120">
        <f t="shared" si="136"/>
        <v>1</v>
      </c>
    </row>
    <row r="4121" spans="1:6">
      <c r="A4121" s="30">
        <f t="shared" si="137"/>
        <v>47211</v>
      </c>
      <c r="B4121" s="32" t="s">
        <v>199</v>
      </c>
      <c r="C4121" t="s">
        <v>6</v>
      </c>
      <c r="D4121">
        <f>IF(B4121=$AB$2,$AC$2,$AC$3)</f>
        <v>1</v>
      </c>
      <c r="E4121">
        <f>IF(ISBLANK(C4121),0,VLOOKUP(C4121,$AE$2:$AF$7,2,0))</f>
        <v>1</v>
      </c>
      <c r="F4121">
        <f t="shared" si="136"/>
        <v>1</v>
      </c>
    </row>
    <row r="4122" spans="1:6">
      <c r="A4122" s="30">
        <f t="shared" si="137"/>
        <v>47212</v>
      </c>
      <c r="B4122" s="32" t="s">
        <v>199</v>
      </c>
      <c r="C4122" t="s">
        <v>6</v>
      </c>
      <c r="D4122">
        <f>IF(B4122=$AB$2,$AC$2,$AC$3)</f>
        <v>1</v>
      </c>
      <c r="E4122">
        <f>IF(ISBLANK(C4122),0,VLOOKUP(C4122,$AE$2:$AF$7,2,0))</f>
        <v>1</v>
      </c>
      <c r="F4122">
        <f t="shared" si="136"/>
        <v>1</v>
      </c>
    </row>
    <row r="4123" spans="1:6">
      <c r="A4123" s="30">
        <f t="shared" si="137"/>
        <v>47213</v>
      </c>
      <c r="B4123" s="32" t="s">
        <v>199</v>
      </c>
      <c r="C4123" t="s">
        <v>6</v>
      </c>
      <c r="D4123">
        <f>IF(B4123=$AB$2,$AC$2,$AC$3)</f>
        <v>1</v>
      </c>
      <c r="E4123">
        <f>IF(ISBLANK(C4123),0,VLOOKUP(C4123,$AE$2:$AF$7,2,0))</f>
        <v>1</v>
      </c>
      <c r="F4123">
        <f t="shared" si="136"/>
        <v>1</v>
      </c>
    </row>
    <row r="4124" spans="1:6">
      <c r="A4124" s="30">
        <f t="shared" si="137"/>
        <v>47214</v>
      </c>
      <c r="B4124" s="32" t="s">
        <v>199</v>
      </c>
      <c r="C4124" t="s">
        <v>6</v>
      </c>
      <c r="D4124">
        <f>IF(B4124=$AB$2,$AC$2,$AC$3)</f>
        <v>1</v>
      </c>
      <c r="E4124">
        <f>IF(ISBLANK(C4124),0,VLOOKUP(C4124,$AE$2:$AF$7,2,0))</f>
        <v>1</v>
      </c>
      <c r="F4124">
        <f t="shared" si="136"/>
        <v>1</v>
      </c>
    </row>
    <row r="4125" spans="1:6">
      <c r="A4125" s="30">
        <f t="shared" si="137"/>
        <v>47215</v>
      </c>
      <c r="B4125" s="32" t="s">
        <v>199</v>
      </c>
      <c r="C4125" t="s">
        <v>6</v>
      </c>
      <c r="D4125">
        <f>IF(B4125=$AB$2,$AC$2,$AC$3)</f>
        <v>1</v>
      </c>
      <c r="E4125">
        <f>IF(ISBLANK(C4125),0,VLOOKUP(C4125,$AE$2:$AF$7,2,0))</f>
        <v>1</v>
      </c>
      <c r="F4125">
        <f t="shared" si="136"/>
        <v>1</v>
      </c>
    </row>
    <row r="4126" spans="1:6">
      <c r="A4126" s="30">
        <f t="shared" si="137"/>
        <v>47216</v>
      </c>
      <c r="B4126" s="32" t="s">
        <v>199</v>
      </c>
      <c r="C4126" t="s">
        <v>6</v>
      </c>
      <c r="D4126">
        <f>IF(B4126=$AB$2,$AC$2,$AC$3)</f>
        <v>1</v>
      </c>
      <c r="E4126">
        <f>IF(ISBLANK(C4126),0,VLOOKUP(C4126,$AE$2:$AF$7,2,0))</f>
        <v>1</v>
      </c>
      <c r="F4126">
        <f t="shared" si="136"/>
        <v>1</v>
      </c>
    </row>
    <row r="4127" spans="1:6">
      <c r="A4127" s="30">
        <f t="shared" si="137"/>
        <v>47217</v>
      </c>
      <c r="B4127" s="32" t="s">
        <v>199</v>
      </c>
      <c r="C4127" t="s">
        <v>6</v>
      </c>
      <c r="D4127">
        <f>IF(B4127=$AB$2,$AC$2,$AC$3)</f>
        <v>1</v>
      </c>
      <c r="E4127">
        <f>IF(ISBLANK(C4127),0,VLOOKUP(C4127,$AE$2:$AF$7,2,0))</f>
        <v>1</v>
      </c>
      <c r="F4127">
        <f t="shared" si="136"/>
        <v>1</v>
      </c>
    </row>
    <row r="4128" spans="1:6">
      <c r="A4128" s="30">
        <f t="shared" si="137"/>
        <v>47218</v>
      </c>
      <c r="B4128" s="32" t="s">
        <v>199</v>
      </c>
      <c r="C4128" t="s">
        <v>6</v>
      </c>
      <c r="D4128">
        <f>IF(B4128=$AB$2,$AC$2,$AC$3)</f>
        <v>1</v>
      </c>
      <c r="E4128">
        <f>IF(ISBLANK(C4128),0,VLOOKUP(C4128,$AE$2:$AF$7,2,0))</f>
        <v>1</v>
      </c>
      <c r="F4128">
        <f t="shared" si="136"/>
        <v>1</v>
      </c>
    </row>
    <row r="4129" spans="1:6">
      <c r="A4129" s="30">
        <f t="shared" si="137"/>
        <v>47219</v>
      </c>
      <c r="B4129" s="32" t="s">
        <v>199</v>
      </c>
      <c r="C4129" t="s">
        <v>6</v>
      </c>
      <c r="D4129">
        <f>IF(B4129=$AB$2,$AC$2,$AC$3)</f>
        <v>1</v>
      </c>
      <c r="E4129">
        <f>IF(ISBLANK(C4129),0,VLOOKUP(C4129,$AE$2:$AF$7,2,0))</f>
        <v>1</v>
      </c>
      <c r="F4129">
        <f t="shared" si="136"/>
        <v>1</v>
      </c>
    </row>
    <row r="4130" spans="1:6">
      <c r="A4130" s="30">
        <f t="shared" si="137"/>
        <v>47220</v>
      </c>
      <c r="B4130" s="32" t="s">
        <v>199</v>
      </c>
      <c r="C4130" t="s">
        <v>6</v>
      </c>
      <c r="D4130">
        <f>IF(B4130=$AB$2,$AC$2,$AC$3)</f>
        <v>1</v>
      </c>
      <c r="E4130">
        <f>IF(ISBLANK(C4130),0,VLOOKUP(C4130,$AE$2:$AF$7,2,0))</f>
        <v>1</v>
      </c>
      <c r="F4130">
        <f t="shared" si="136"/>
        <v>1</v>
      </c>
    </row>
    <row r="4131" spans="1:6">
      <c r="A4131" s="30">
        <f t="shared" si="137"/>
        <v>47221</v>
      </c>
      <c r="B4131" s="32" t="s">
        <v>199</v>
      </c>
      <c r="C4131" t="s">
        <v>6</v>
      </c>
      <c r="D4131">
        <f>IF(B4131=$AB$2,$AC$2,$AC$3)</f>
        <v>1</v>
      </c>
      <c r="E4131">
        <f>IF(ISBLANK(C4131),0,VLOOKUP(C4131,$AE$2:$AF$7,2,0))</f>
        <v>1</v>
      </c>
      <c r="F4131">
        <f t="shared" si="136"/>
        <v>1</v>
      </c>
    </row>
    <row r="4132" spans="1:6">
      <c r="A4132" s="30">
        <f t="shared" si="137"/>
        <v>47222</v>
      </c>
      <c r="B4132" s="32" t="s">
        <v>199</v>
      </c>
      <c r="C4132" t="s">
        <v>6</v>
      </c>
      <c r="D4132">
        <f>IF(B4132=$AB$2,$AC$2,$AC$3)</f>
        <v>1</v>
      </c>
      <c r="E4132">
        <f>IF(ISBLANK(C4132),0,VLOOKUP(C4132,$AE$2:$AF$7,2,0))</f>
        <v>1</v>
      </c>
      <c r="F4132">
        <f t="shared" si="136"/>
        <v>1</v>
      </c>
    </row>
    <row r="4133" spans="1:6">
      <c r="A4133" s="30">
        <f t="shared" si="137"/>
        <v>47223</v>
      </c>
      <c r="B4133" s="32" t="s">
        <v>199</v>
      </c>
      <c r="C4133" t="s">
        <v>6</v>
      </c>
      <c r="D4133">
        <f>IF(B4133=$AB$2,$AC$2,$AC$3)</f>
        <v>1</v>
      </c>
      <c r="E4133">
        <f>IF(ISBLANK(C4133),0,VLOOKUP(C4133,$AE$2:$AF$7,2,0))</f>
        <v>1</v>
      </c>
      <c r="F4133">
        <f t="shared" si="136"/>
        <v>1</v>
      </c>
    </row>
    <row r="4134" spans="1:6">
      <c r="A4134" s="30">
        <f t="shared" si="137"/>
        <v>47224</v>
      </c>
      <c r="B4134" s="32" t="s">
        <v>199</v>
      </c>
      <c r="C4134" t="s">
        <v>6</v>
      </c>
      <c r="D4134">
        <f>IF(B4134=$AB$2,$AC$2,$AC$3)</f>
        <v>1</v>
      </c>
      <c r="E4134">
        <f>IF(ISBLANK(C4134),0,VLOOKUP(C4134,$AE$2:$AF$7,2,0))</f>
        <v>1</v>
      </c>
      <c r="F4134">
        <f t="shared" si="136"/>
        <v>1</v>
      </c>
    </row>
    <row r="4135" spans="1:6">
      <c r="A4135" s="30">
        <f t="shared" si="137"/>
        <v>47225</v>
      </c>
      <c r="B4135" s="32" t="s">
        <v>199</v>
      </c>
      <c r="C4135" t="s">
        <v>6</v>
      </c>
      <c r="D4135">
        <f>IF(B4135=$AB$2,$AC$2,$AC$3)</f>
        <v>1</v>
      </c>
      <c r="E4135">
        <f>IF(ISBLANK(C4135),0,VLOOKUP(C4135,$AE$2:$AF$7,2,0))</f>
        <v>1</v>
      </c>
      <c r="F4135">
        <f t="shared" si="136"/>
        <v>1</v>
      </c>
    </row>
    <row r="4136" spans="1:6">
      <c r="A4136" s="30">
        <f t="shared" si="137"/>
        <v>47226</v>
      </c>
      <c r="B4136" s="32" t="s">
        <v>199</v>
      </c>
      <c r="C4136" t="s">
        <v>6</v>
      </c>
      <c r="D4136">
        <f>IF(B4136=$AB$2,$AC$2,$AC$3)</f>
        <v>1</v>
      </c>
      <c r="E4136">
        <f>IF(ISBLANK(C4136),0,VLOOKUP(C4136,$AE$2:$AF$7,2,0))</f>
        <v>1</v>
      </c>
      <c r="F4136">
        <f t="shared" si="136"/>
        <v>1</v>
      </c>
    </row>
    <row r="4137" spans="1:6">
      <c r="A4137" s="30">
        <f t="shared" si="137"/>
        <v>47227</v>
      </c>
      <c r="B4137" s="32" t="s">
        <v>199</v>
      </c>
      <c r="C4137" t="s">
        <v>6</v>
      </c>
      <c r="D4137">
        <f>IF(B4137=$AB$2,$AC$2,$AC$3)</f>
        <v>1</v>
      </c>
      <c r="E4137">
        <f>IF(ISBLANK(C4137),0,VLOOKUP(C4137,$AE$2:$AF$7,2,0))</f>
        <v>1</v>
      </c>
      <c r="F4137">
        <f t="shared" si="136"/>
        <v>1</v>
      </c>
    </row>
    <row r="4138" spans="1:6">
      <c r="A4138" s="30">
        <f t="shared" si="137"/>
        <v>47228</v>
      </c>
      <c r="B4138" s="32" t="s">
        <v>199</v>
      </c>
      <c r="C4138" t="s">
        <v>6</v>
      </c>
      <c r="D4138">
        <f>IF(B4138=$AB$2,$AC$2,$AC$3)</f>
        <v>1</v>
      </c>
      <c r="E4138">
        <f>IF(ISBLANK(C4138),0,VLOOKUP(C4138,$AE$2:$AF$7,2,0))</f>
        <v>1</v>
      </c>
      <c r="F4138">
        <f t="shared" si="136"/>
        <v>1</v>
      </c>
    </row>
    <row r="4139" spans="1:6">
      <c r="A4139" s="30">
        <f t="shared" si="137"/>
        <v>47229</v>
      </c>
      <c r="B4139" s="32" t="s">
        <v>199</v>
      </c>
      <c r="C4139" t="s">
        <v>6</v>
      </c>
      <c r="D4139">
        <f>IF(B4139=$AB$2,$AC$2,$AC$3)</f>
        <v>1</v>
      </c>
      <c r="E4139">
        <f>IF(ISBLANK(C4139),0,VLOOKUP(C4139,$AE$2:$AF$7,2,0))</f>
        <v>1</v>
      </c>
      <c r="F4139">
        <f t="shared" si="136"/>
        <v>1</v>
      </c>
    </row>
    <row r="4140" spans="1:6">
      <c r="A4140" s="30">
        <f t="shared" si="137"/>
        <v>47230</v>
      </c>
      <c r="B4140" s="32" t="s">
        <v>199</v>
      </c>
      <c r="C4140" t="s">
        <v>6</v>
      </c>
      <c r="D4140">
        <f>IF(B4140=$AB$2,$AC$2,$AC$3)</f>
        <v>1</v>
      </c>
      <c r="E4140">
        <f>IF(ISBLANK(C4140),0,VLOOKUP(C4140,$AE$2:$AF$7,2,0))</f>
        <v>1</v>
      </c>
      <c r="F4140">
        <f t="shared" si="136"/>
        <v>1</v>
      </c>
    </row>
    <row r="4141" spans="1:6">
      <c r="A4141" s="30">
        <f t="shared" si="137"/>
        <v>47231</v>
      </c>
      <c r="B4141" s="32" t="s">
        <v>199</v>
      </c>
      <c r="C4141" t="s">
        <v>6</v>
      </c>
      <c r="D4141">
        <f>IF(B4141=$AB$2,$AC$2,$AC$3)</f>
        <v>1</v>
      </c>
      <c r="E4141">
        <f>IF(ISBLANK(C4141),0,VLOOKUP(C4141,$AE$2:$AF$7,2,0))</f>
        <v>1</v>
      </c>
      <c r="F4141">
        <f t="shared" si="136"/>
        <v>1</v>
      </c>
    </row>
    <row r="4142" spans="1:6">
      <c r="A4142" s="30">
        <f t="shared" si="137"/>
        <v>47232</v>
      </c>
      <c r="B4142" s="32" t="s">
        <v>199</v>
      </c>
      <c r="C4142" t="s">
        <v>6</v>
      </c>
      <c r="D4142">
        <f>IF(B4142=$AB$2,$AC$2,$AC$3)</f>
        <v>1</v>
      </c>
      <c r="E4142">
        <f>IF(ISBLANK(C4142),0,VLOOKUP(C4142,$AE$2:$AF$7,2,0))</f>
        <v>1</v>
      </c>
      <c r="F4142">
        <f t="shared" si="136"/>
        <v>1</v>
      </c>
    </row>
    <row r="4143" spans="1:6">
      <c r="A4143" s="30">
        <f t="shared" si="137"/>
        <v>47233</v>
      </c>
      <c r="B4143" s="32" t="s">
        <v>199</v>
      </c>
      <c r="C4143" t="s">
        <v>6</v>
      </c>
      <c r="D4143">
        <f>IF(B4143=$AB$2,$AC$2,$AC$3)</f>
        <v>1</v>
      </c>
      <c r="E4143">
        <f>IF(ISBLANK(C4143),0,VLOOKUP(C4143,$AE$2:$AF$7,2,0))</f>
        <v>1</v>
      </c>
      <c r="F4143">
        <f t="shared" si="136"/>
        <v>1</v>
      </c>
    </row>
    <row r="4144" spans="1:6">
      <c r="A4144" s="30">
        <f t="shared" si="137"/>
        <v>47234</v>
      </c>
      <c r="B4144" s="32" t="s">
        <v>199</v>
      </c>
      <c r="C4144" t="s">
        <v>6</v>
      </c>
      <c r="D4144">
        <f>IF(B4144=$AB$2,$AC$2,$AC$3)</f>
        <v>1</v>
      </c>
      <c r="E4144">
        <f>IF(ISBLANK(C4144),0,VLOOKUP(C4144,$AE$2:$AF$7,2,0))</f>
        <v>1</v>
      </c>
      <c r="F4144">
        <f t="shared" si="136"/>
        <v>1</v>
      </c>
    </row>
    <row r="4145" spans="1:6">
      <c r="A4145" s="30">
        <f t="shared" si="137"/>
        <v>47235</v>
      </c>
      <c r="B4145" s="32" t="s">
        <v>199</v>
      </c>
      <c r="C4145" t="s">
        <v>6</v>
      </c>
      <c r="D4145">
        <f>IF(B4145=$AB$2,$AC$2,$AC$3)</f>
        <v>1</v>
      </c>
      <c r="E4145">
        <f>IF(ISBLANK(C4145),0,VLOOKUP(C4145,$AE$2:$AF$7,2,0))</f>
        <v>1</v>
      </c>
      <c r="F4145">
        <f t="shared" si="136"/>
        <v>1</v>
      </c>
    </row>
    <row r="4146" spans="1:6">
      <c r="A4146" s="30">
        <f t="shared" si="137"/>
        <v>47236</v>
      </c>
      <c r="B4146" s="32" t="s">
        <v>199</v>
      </c>
      <c r="C4146" t="s">
        <v>6</v>
      </c>
      <c r="D4146">
        <f>IF(B4146=$AB$2,$AC$2,$AC$3)</f>
        <v>1</v>
      </c>
      <c r="E4146">
        <f>IF(ISBLANK(C4146),0,VLOOKUP(C4146,$AE$2:$AF$7,2,0))</f>
        <v>1</v>
      </c>
      <c r="F4146">
        <f t="shared" si="136"/>
        <v>1</v>
      </c>
    </row>
    <row r="4147" spans="1:6">
      <c r="A4147" s="30">
        <f t="shared" si="137"/>
        <v>47237</v>
      </c>
      <c r="B4147" s="32" t="s">
        <v>199</v>
      </c>
      <c r="C4147" t="s">
        <v>6</v>
      </c>
      <c r="D4147">
        <f>IF(B4147=$AB$2,$AC$2,$AC$3)</f>
        <v>1</v>
      </c>
      <c r="E4147">
        <f>IF(ISBLANK(C4147),0,VLOOKUP(C4147,$AE$2:$AF$7,2,0))</f>
        <v>1</v>
      </c>
      <c r="F4147">
        <f t="shared" si="136"/>
        <v>1</v>
      </c>
    </row>
    <row r="4148" spans="1:6">
      <c r="A4148" s="30">
        <f t="shared" si="137"/>
        <v>47238</v>
      </c>
      <c r="B4148" s="32" t="s">
        <v>199</v>
      </c>
      <c r="C4148" t="s">
        <v>6</v>
      </c>
      <c r="D4148">
        <f>IF(B4148=$AB$2,$AC$2,$AC$3)</f>
        <v>1</v>
      </c>
      <c r="E4148">
        <f>IF(ISBLANK(C4148),0,VLOOKUP(C4148,$AE$2:$AF$7,2,0))</f>
        <v>1</v>
      </c>
      <c r="F4148">
        <f t="shared" si="136"/>
        <v>1</v>
      </c>
    </row>
    <row r="4149" spans="1:6">
      <c r="A4149" s="30">
        <f t="shared" si="137"/>
        <v>47239</v>
      </c>
      <c r="B4149" s="32" t="s">
        <v>199</v>
      </c>
      <c r="C4149" t="s">
        <v>6</v>
      </c>
      <c r="D4149">
        <f>IF(B4149=$AB$2,$AC$2,$AC$3)</f>
        <v>1</v>
      </c>
      <c r="E4149">
        <f>IF(ISBLANK(C4149),0,VLOOKUP(C4149,$AE$2:$AF$7,2,0))</f>
        <v>1</v>
      </c>
      <c r="F4149">
        <f t="shared" si="136"/>
        <v>1</v>
      </c>
    </row>
    <row r="4150" spans="1:6">
      <c r="A4150" s="30">
        <f t="shared" si="137"/>
        <v>47240</v>
      </c>
      <c r="B4150" s="32" t="s">
        <v>199</v>
      </c>
      <c r="C4150" t="s">
        <v>6</v>
      </c>
      <c r="D4150">
        <f>IF(B4150=$AB$2,$AC$2,$AC$3)</f>
        <v>1</v>
      </c>
      <c r="E4150">
        <f>IF(ISBLANK(C4150),0,VLOOKUP(C4150,$AE$2:$AF$7,2,0))</f>
        <v>1</v>
      </c>
      <c r="F4150">
        <f t="shared" si="136"/>
        <v>1</v>
      </c>
    </row>
    <row r="4151" spans="1:6">
      <c r="A4151" s="30">
        <f t="shared" si="137"/>
        <v>47241</v>
      </c>
      <c r="B4151" s="32" t="s">
        <v>199</v>
      </c>
      <c r="C4151" t="s">
        <v>6</v>
      </c>
      <c r="D4151">
        <f>IF(B4151=$AB$2,$AC$2,$AC$3)</f>
        <v>1</v>
      </c>
      <c r="E4151">
        <f>IF(ISBLANK(C4151),0,VLOOKUP(C4151,$AE$2:$AF$7,2,0))</f>
        <v>1</v>
      </c>
      <c r="F4151">
        <f t="shared" si="136"/>
        <v>1</v>
      </c>
    </row>
    <row r="4152" spans="1:6">
      <c r="A4152" s="30">
        <f t="shared" si="137"/>
        <v>47242</v>
      </c>
      <c r="B4152" s="32" t="s">
        <v>199</v>
      </c>
      <c r="C4152" t="s">
        <v>6</v>
      </c>
      <c r="D4152">
        <f>IF(B4152=$AB$2,$AC$2,$AC$3)</f>
        <v>1</v>
      </c>
      <c r="E4152">
        <f>IF(ISBLANK(C4152),0,VLOOKUP(C4152,$AE$2:$AF$7,2,0))</f>
        <v>1</v>
      </c>
      <c r="F4152">
        <f t="shared" si="136"/>
        <v>1</v>
      </c>
    </row>
    <row r="4153" spans="1:6">
      <c r="A4153" s="30">
        <f t="shared" si="137"/>
        <v>47243</v>
      </c>
      <c r="B4153" s="32" t="s">
        <v>199</v>
      </c>
      <c r="C4153" t="s">
        <v>6</v>
      </c>
      <c r="D4153">
        <f>IF(B4153=$AB$2,$AC$2,$AC$3)</f>
        <v>1</v>
      </c>
      <c r="E4153">
        <f>IF(ISBLANK(C4153),0,VLOOKUP(C4153,$AE$2:$AF$7,2,0))</f>
        <v>1</v>
      </c>
      <c r="F4153">
        <f t="shared" si="136"/>
        <v>1</v>
      </c>
    </row>
    <row r="4154" spans="1:6">
      <c r="A4154" s="30">
        <f t="shared" si="137"/>
        <v>47244</v>
      </c>
      <c r="B4154" s="32" t="s">
        <v>199</v>
      </c>
      <c r="C4154" t="s">
        <v>6</v>
      </c>
      <c r="D4154">
        <f>IF(B4154=$AB$2,$AC$2,$AC$3)</f>
        <v>1</v>
      </c>
      <c r="E4154">
        <f>IF(ISBLANK(C4154),0,VLOOKUP(C4154,$AE$2:$AF$7,2,0))</f>
        <v>1</v>
      </c>
      <c r="F4154">
        <f t="shared" si="136"/>
        <v>1</v>
      </c>
    </row>
    <row r="4155" spans="1:6">
      <c r="A4155" s="30">
        <f t="shared" si="137"/>
        <v>47245</v>
      </c>
      <c r="B4155" s="32" t="s">
        <v>199</v>
      </c>
      <c r="C4155" t="s">
        <v>6</v>
      </c>
      <c r="D4155">
        <f>IF(B4155=$AB$2,$AC$2,$AC$3)</f>
        <v>1</v>
      </c>
      <c r="E4155">
        <f>IF(ISBLANK(C4155),0,VLOOKUP(C4155,$AE$2:$AF$7,2,0))</f>
        <v>1</v>
      </c>
      <c r="F4155">
        <f t="shared" si="136"/>
        <v>1</v>
      </c>
    </row>
    <row r="4156" spans="1:6">
      <c r="A4156" s="30">
        <f t="shared" si="137"/>
        <v>47246</v>
      </c>
      <c r="B4156" s="32" t="s">
        <v>199</v>
      </c>
      <c r="C4156" t="s">
        <v>6</v>
      </c>
      <c r="D4156">
        <f>IF(B4156=$AB$2,$AC$2,$AC$3)</f>
        <v>1</v>
      </c>
      <c r="E4156">
        <f>IF(ISBLANK(C4156),0,VLOOKUP(C4156,$AE$2:$AF$7,2,0))</f>
        <v>1</v>
      </c>
      <c r="F4156">
        <f t="shared" si="136"/>
        <v>1</v>
      </c>
    </row>
    <row r="4157" spans="1:6">
      <c r="A4157" s="30">
        <f t="shared" si="137"/>
        <v>47247</v>
      </c>
      <c r="B4157" s="32" t="s">
        <v>199</v>
      </c>
      <c r="C4157" t="s">
        <v>6</v>
      </c>
      <c r="D4157">
        <f>IF(B4157=$AB$2,$AC$2,$AC$3)</f>
        <v>1</v>
      </c>
      <c r="E4157">
        <f>IF(ISBLANK(C4157),0,VLOOKUP(C4157,$AE$2:$AF$7,2,0))</f>
        <v>1</v>
      </c>
      <c r="F4157">
        <f t="shared" si="136"/>
        <v>1</v>
      </c>
    </row>
    <row r="4158" spans="1:6">
      <c r="A4158" s="30">
        <f t="shared" si="137"/>
        <v>47248</v>
      </c>
      <c r="B4158" s="32" t="s">
        <v>199</v>
      </c>
      <c r="C4158" t="s">
        <v>6</v>
      </c>
      <c r="D4158">
        <f>IF(B4158=$AB$2,$AC$2,$AC$3)</f>
        <v>1</v>
      </c>
      <c r="E4158">
        <f>IF(ISBLANK(C4158),0,VLOOKUP(C4158,$AE$2:$AF$7,2,0))</f>
        <v>1</v>
      </c>
      <c r="F4158">
        <f t="shared" si="136"/>
        <v>1</v>
      </c>
    </row>
    <row r="4159" spans="1:6">
      <c r="A4159" s="30">
        <f t="shared" si="137"/>
        <v>47249</v>
      </c>
      <c r="B4159" s="32" t="s">
        <v>199</v>
      </c>
      <c r="C4159" t="s">
        <v>6</v>
      </c>
      <c r="D4159">
        <f>IF(B4159=$AB$2,$AC$2,$AC$3)</f>
        <v>1</v>
      </c>
      <c r="E4159">
        <f>IF(ISBLANK(C4159),0,VLOOKUP(C4159,$AE$2:$AF$7,2,0))</f>
        <v>1</v>
      </c>
      <c r="F4159">
        <f t="shared" si="136"/>
        <v>1</v>
      </c>
    </row>
    <row r="4160" spans="1:6">
      <c r="A4160" s="30">
        <f t="shared" si="137"/>
        <v>47250</v>
      </c>
      <c r="B4160" s="32" t="s">
        <v>199</v>
      </c>
      <c r="C4160" t="s">
        <v>6</v>
      </c>
      <c r="D4160">
        <f>IF(B4160=$AB$2,$AC$2,$AC$3)</f>
        <v>1</v>
      </c>
      <c r="E4160">
        <f>IF(ISBLANK(C4160),0,VLOOKUP(C4160,$AE$2:$AF$7,2,0))</f>
        <v>1</v>
      </c>
      <c r="F4160">
        <f t="shared" si="136"/>
        <v>1</v>
      </c>
    </row>
    <row r="4161" spans="1:6">
      <c r="A4161" s="30">
        <f t="shared" si="137"/>
        <v>47251</v>
      </c>
      <c r="B4161" s="32" t="s">
        <v>199</v>
      </c>
      <c r="C4161" t="s">
        <v>6</v>
      </c>
      <c r="D4161">
        <f>IF(B4161=$AB$2,$AC$2,$AC$3)</f>
        <v>1</v>
      </c>
      <c r="E4161">
        <f>IF(ISBLANK(C4161),0,VLOOKUP(C4161,$AE$2:$AF$7,2,0))</f>
        <v>1</v>
      </c>
      <c r="F4161">
        <f t="shared" si="136"/>
        <v>1</v>
      </c>
    </row>
    <row r="4162" spans="1:6">
      <c r="A4162" s="30">
        <f t="shared" si="137"/>
        <v>47252</v>
      </c>
      <c r="B4162" s="32" t="s">
        <v>199</v>
      </c>
      <c r="C4162" t="s">
        <v>6</v>
      </c>
      <c r="D4162">
        <f>IF(B4162=$AB$2,$AC$2,$AC$3)</f>
        <v>1</v>
      </c>
      <c r="E4162">
        <f>IF(ISBLANK(C4162),0,VLOOKUP(C4162,$AE$2:$AF$7,2,0))</f>
        <v>1</v>
      </c>
      <c r="F4162">
        <f t="shared" si="136"/>
        <v>1</v>
      </c>
    </row>
    <row r="4163" spans="1:6">
      <c r="A4163" s="30">
        <f t="shared" si="137"/>
        <v>47253</v>
      </c>
      <c r="B4163" s="32" t="s">
        <v>199</v>
      </c>
      <c r="C4163" t="s">
        <v>6</v>
      </c>
      <c r="D4163">
        <f>IF(B4163=$AB$2,$AC$2,$AC$3)</f>
        <v>1</v>
      </c>
      <c r="E4163">
        <f>IF(ISBLANK(C4163),0,VLOOKUP(C4163,$AE$2:$AF$7,2,0))</f>
        <v>1</v>
      </c>
      <c r="F4163">
        <f t="shared" ref="F4163:F4226" si="138">D4163*E4163</f>
        <v>1</v>
      </c>
    </row>
    <row r="4164" spans="1:6">
      <c r="A4164" s="30">
        <f t="shared" si="137"/>
        <v>47254</v>
      </c>
      <c r="B4164" s="32" t="s">
        <v>199</v>
      </c>
      <c r="C4164" t="s">
        <v>6</v>
      </c>
      <c r="D4164">
        <f>IF(B4164=$AB$2,$AC$2,$AC$3)</f>
        <v>1</v>
      </c>
      <c r="E4164">
        <f>IF(ISBLANK(C4164),0,VLOOKUP(C4164,$AE$2:$AF$7,2,0))</f>
        <v>1</v>
      </c>
      <c r="F4164">
        <f t="shared" si="138"/>
        <v>1</v>
      </c>
    </row>
    <row r="4165" spans="1:6">
      <c r="A4165" s="30">
        <f t="shared" si="137"/>
        <v>47255</v>
      </c>
      <c r="B4165" s="32" t="s">
        <v>199</v>
      </c>
      <c r="C4165" t="s">
        <v>6</v>
      </c>
      <c r="D4165">
        <f>IF(B4165=$AB$2,$AC$2,$AC$3)</f>
        <v>1</v>
      </c>
      <c r="E4165">
        <f>IF(ISBLANK(C4165),0,VLOOKUP(C4165,$AE$2:$AF$7,2,0))</f>
        <v>1</v>
      </c>
      <c r="F4165">
        <f t="shared" si="138"/>
        <v>1</v>
      </c>
    </row>
    <row r="4166" spans="1:6">
      <c r="A4166" s="30">
        <f t="shared" si="137"/>
        <v>47256</v>
      </c>
      <c r="B4166" s="32" t="s">
        <v>199</v>
      </c>
      <c r="C4166" t="s">
        <v>6</v>
      </c>
      <c r="D4166">
        <f>IF(B4166=$AB$2,$AC$2,$AC$3)</f>
        <v>1</v>
      </c>
      <c r="E4166">
        <f>IF(ISBLANK(C4166),0,VLOOKUP(C4166,$AE$2:$AF$7,2,0))</f>
        <v>1</v>
      </c>
      <c r="F4166">
        <f t="shared" si="138"/>
        <v>1</v>
      </c>
    </row>
    <row r="4167" spans="1:6">
      <c r="A4167" s="30">
        <f t="shared" si="137"/>
        <v>47257</v>
      </c>
      <c r="B4167" s="32" t="s">
        <v>199</v>
      </c>
      <c r="C4167" t="s">
        <v>6</v>
      </c>
      <c r="D4167">
        <f>IF(B4167=$AB$2,$AC$2,$AC$3)</f>
        <v>1</v>
      </c>
      <c r="E4167">
        <f>IF(ISBLANK(C4167),0,VLOOKUP(C4167,$AE$2:$AF$7,2,0))</f>
        <v>1</v>
      </c>
      <c r="F4167">
        <f t="shared" si="138"/>
        <v>1</v>
      </c>
    </row>
    <row r="4168" spans="1:6">
      <c r="A4168" s="30">
        <f t="shared" si="137"/>
        <v>47258</v>
      </c>
      <c r="B4168" s="32" t="s">
        <v>199</v>
      </c>
      <c r="C4168" t="s">
        <v>6</v>
      </c>
      <c r="D4168">
        <f>IF(B4168=$AB$2,$AC$2,$AC$3)</f>
        <v>1</v>
      </c>
      <c r="E4168">
        <f>IF(ISBLANK(C4168),0,VLOOKUP(C4168,$AE$2:$AF$7,2,0))</f>
        <v>1</v>
      </c>
      <c r="F4168">
        <f t="shared" si="138"/>
        <v>1</v>
      </c>
    </row>
    <row r="4169" spans="1:6">
      <c r="A4169" s="30">
        <f t="shared" si="137"/>
        <v>47259</v>
      </c>
      <c r="B4169" s="32" t="s">
        <v>199</v>
      </c>
      <c r="C4169" t="s">
        <v>6</v>
      </c>
      <c r="D4169">
        <f>IF(B4169=$AB$2,$AC$2,$AC$3)</f>
        <v>1</v>
      </c>
      <c r="E4169">
        <f>IF(ISBLANK(C4169),0,VLOOKUP(C4169,$AE$2:$AF$7,2,0))</f>
        <v>1</v>
      </c>
      <c r="F4169">
        <f t="shared" si="138"/>
        <v>1</v>
      </c>
    </row>
    <row r="4170" spans="1:6">
      <c r="A4170" s="30">
        <f t="shared" si="137"/>
        <v>47260</v>
      </c>
      <c r="B4170" s="32" t="s">
        <v>199</v>
      </c>
      <c r="C4170" t="s">
        <v>6</v>
      </c>
      <c r="D4170">
        <f>IF(B4170=$AB$2,$AC$2,$AC$3)</f>
        <v>1</v>
      </c>
      <c r="E4170">
        <f>IF(ISBLANK(C4170),0,VLOOKUP(C4170,$AE$2:$AF$7,2,0))</f>
        <v>1</v>
      </c>
      <c r="F4170">
        <f t="shared" si="138"/>
        <v>1</v>
      </c>
    </row>
    <row r="4171" spans="1:6">
      <c r="A4171" s="30">
        <f t="shared" si="137"/>
        <v>47261</v>
      </c>
      <c r="B4171" s="32" t="s">
        <v>199</v>
      </c>
      <c r="C4171" t="s">
        <v>6</v>
      </c>
      <c r="D4171">
        <f>IF(B4171=$AB$2,$AC$2,$AC$3)</f>
        <v>1</v>
      </c>
      <c r="E4171">
        <f>IF(ISBLANK(C4171),0,VLOOKUP(C4171,$AE$2:$AF$7,2,0))</f>
        <v>1</v>
      </c>
      <c r="F4171">
        <f t="shared" si="138"/>
        <v>1</v>
      </c>
    </row>
    <row r="4172" spans="1:6">
      <c r="A4172" s="30">
        <f t="shared" ref="A4172:A4220" si="139">A4171+1</f>
        <v>47262</v>
      </c>
      <c r="B4172" s="32" t="s">
        <v>199</v>
      </c>
      <c r="C4172" t="s">
        <v>6</v>
      </c>
      <c r="D4172">
        <f>IF(B4172=$AB$2,$AC$2,$AC$3)</f>
        <v>1</v>
      </c>
      <c r="E4172">
        <f>IF(ISBLANK(C4172),0,VLOOKUP(C4172,$AE$2:$AF$7,2,0))</f>
        <v>1</v>
      </c>
      <c r="F4172">
        <f t="shared" si="138"/>
        <v>1</v>
      </c>
    </row>
    <row r="4173" spans="1:6">
      <c r="A4173" s="30">
        <f t="shared" si="139"/>
        <v>47263</v>
      </c>
      <c r="B4173" s="32" t="s">
        <v>199</v>
      </c>
      <c r="C4173" t="s">
        <v>6</v>
      </c>
      <c r="D4173">
        <f>IF(B4173=$AB$2,$AC$2,$AC$3)</f>
        <v>1</v>
      </c>
      <c r="E4173">
        <f>IF(ISBLANK(C4173),0,VLOOKUP(C4173,$AE$2:$AF$7,2,0))</f>
        <v>1</v>
      </c>
      <c r="F4173">
        <f t="shared" si="138"/>
        <v>1</v>
      </c>
    </row>
    <row r="4174" spans="1:6">
      <c r="A4174" s="30">
        <f t="shared" si="139"/>
        <v>47264</v>
      </c>
      <c r="B4174" s="32" t="s">
        <v>199</v>
      </c>
      <c r="C4174" t="s">
        <v>6</v>
      </c>
      <c r="D4174">
        <f>IF(B4174=$AB$2,$AC$2,$AC$3)</f>
        <v>1</v>
      </c>
      <c r="E4174">
        <f>IF(ISBLANK(C4174),0,VLOOKUP(C4174,$AE$2:$AF$7,2,0))</f>
        <v>1</v>
      </c>
      <c r="F4174">
        <f t="shared" si="138"/>
        <v>1</v>
      </c>
    </row>
    <row r="4175" spans="1:6">
      <c r="A4175" s="30">
        <f t="shared" si="139"/>
        <v>47265</v>
      </c>
      <c r="B4175" s="32" t="s">
        <v>199</v>
      </c>
      <c r="C4175" t="s">
        <v>6</v>
      </c>
      <c r="D4175">
        <f>IF(B4175=$AB$2,$AC$2,$AC$3)</f>
        <v>1</v>
      </c>
      <c r="E4175">
        <f>IF(ISBLANK(C4175),0,VLOOKUP(C4175,$AE$2:$AF$7,2,0))</f>
        <v>1</v>
      </c>
      <c r="F4175">
        <f t="shared" si="138"/>
        <v>1</v>
      </c>
    </row>
    <row r="4176" spans="1:6">
      <c r="A4176" s="30">
        <f t="shared" si="139"/>
        <v>47266</v>
      </c>
      <c r="B4176" s="32" t="s">
        <v>199</v>
      </c>
      <c r="C4176" t="s">
        <v>6</v>
      </c>
      <c r="D4176">
        <f>IF(B4176=$AB$2,$AC$2,$AC$3)</f>
        <v>1</v>
      </c>
      <c r="E4176">
        <f>IF(ISBLANK(C4176),0,VLOOKUP(C4176,$AE$2:$AF$7,2,0))</f>
        <v>1</v>
      </c>
      <c r="F4176">
        <f t="shared" si="138"/>
        <v>1</v>
      </c>
    </row>
    <row r="4177" spans="1:6">
      <c r="A4177" s="30">
        <f t="shared" si="139"/>
        <v>47267</v>
      </c>
      <c r="B4177" s="32" t="s">
        <v>199</v>
      </c>
      <c r="C4177" t="s">
        <v>6</v>
      </c>
      <c r="D4177">
        <f>IF(B4177=$AB$2,$AC$2,$AC$3)</f>
        <v>1</v>
      </c>
      <c r="E4177">
        <f>IF(ISBLANK(C4177),0,VLOOKUP(C4177,$AE$2:$AF$7,2,0))</f>
        <v>1</v>
      </c>
      <c r="F4177">
        <f t="shared" si="138"/>
        <v>1</v>
      </c>
    </row>
    <row r="4178" spans="1:6">
      <c r="A4178" s="30">
        <f t="shared" si="139"/>
        <v>47268</v>
      </c>
      <c r="B4178" s="32" t="s">
        <v>199</v>
      </c>
      <c r="C4178" t="s">
        <v>6</v>
      </c>
      <c r="D4178">
        <f>IF(B4178=$AB$2,$AC$2,$AC$3)</f>
        <v>1</v>
      </c>
      <c r="E4178">
        <f>IF(ISBLANK(C4178),0,VLOOKUP(C4178,$AE$2:$AF$7,2,0))</f>
        <v>1</v>
      </c>
      <c r="F4178">
        <f t="shared" si="138"/>
        <v>1</v>
      </c>
    </row>
    <row r="4179" spans="1:6">
      <c r="A4179" s="30">
        <f t="shared" si="139"/>
        <v>47269</v>
      </c>
      <c r="B4179" s="32" t="s">
        <v>199</v>
      </c>
      <c r="C4179" t="s">
        <v>6</v>
      </c>
      <c r="D4179">
        <f>IF(B4179=$AB$2,$AC$2,$AC$3)</f>
        <v>1</v>
      </c>
      <c r="E4179">
        <f>IF(ISBLANK(C4179),0,VLOOKUP(C4179,$AE$2:$AF$7,2,0))</f>
        <v>1</v>
      </c>
      <c r="F4179">
        <f t="shared" si="138"/>
        <v>1</v>
      </c>
    </row>
    <row r="4180" spans="1:6">
      <c r="A4180" s="30">
        <f t="shared" si="139"/>
        <v>47270</v>
      </c>
      <c r="B4180" s="32" t="s">
        <v>199</v>
      </c>
      <c r="C4180" t="s">
        <v>6</v>
      </c>
      <c r="D4180">
        <f>IF(B4180=$AB$2,$AC$2,$AC$3)</f>
        <v>1</v>
      </c>
      <c r="E4180">
        <f>IF(ISBLANK(C4180),0,VLOOKUP(C4180,$AE$2:$AF$7,2,0))</f>
        <v>1</v>
      </c>
      <c r="F4180">
        <f t="shared" si="138"/>
        <v>1</v>
      </c>
    </row>
    <row r="4181" spans="1:6">
      <c r="A4181" s="30">
        <f t="shared" si="139"/>
        <v>47271</v>
      </c>
      <c r="B4181" s="32" t="s">
        <v>199</v>
      </c>
      <c r="C4181" t="s">
        <v>6</v>
      </c>
      <c r="D4181">
        <f>IF(B4181=$AB$2,$AC$2,$AC$3)</f>
        <v>1</v>
      </c>
      <c r="E4181">
        <f>IF(ISBLANK(C4181),0,VLOOKUP(C4181,$AE$2:$AF$7,2,0))</f>
        <v>1</v>
      </c>
      <c r="F4181">
        <f t="shared" si="138"/>
        <v>1</v>
      </c>
    </row>
    <row r="4182" spans="1:6">
      <c r="A4182" s="30">
        <f t="shared" si="139"/>
        <v>47272</v>
      </c>
      <c r="B4182" s="32" t="s">
        <v>199</v>
      </c>
      <c r="C4182" t="s">
        <v>6</v>
      </c>
      <c r="D4182">
        <f>IF(B4182=$AB$2,$AC$2,$AC$3)</f>
        <v>1</v>
      </c>
      <c r="E4182">
        <f>IF(ISBLANK(C4182),0,VLOOKUP(C4182,$AE$2:$AF$7,2,0))</f>
        <v>1</v>
      </c>
      <c r="F4182">
        <f t="shared" si="138"/>
        <v>1</v>
      </c>
    </row>
    <row r="4183" spans="1:6">
      <c r="A4183" s="30">
        <f t="shared" si="139"/>
        <v>47273</v>
      </c>
      <c r="B4183" s="32" t="s">
        <v>199</v>
      </c>
      <c r="C4183" t="s">
        <v>6</v>
      </c>
      <c r="D4183">
        <f>IF(B4183=$AB$2,$AC$2,$AC$3)</f>
        <v>1</v>
      </c>
      <c r="E4183">
        <f>IF(ISBLANK(C4183),0,VLOOKUP(C4183,$AE$2:$AF$7,2,0))</f>
        <v>1</v>
      </c>
      <c r="F4183">
        <f t="shared" si="138"/>
        <v>1</v>
      </c>
    </row>
    <row r="4184" spans="1:6">
      <c r="A4184" s="30">
        <f t="shared" si="139"/>
        <v>47274</v>
      </c>
      <c r="B4184" s="32" t="s">
        <v>199</v>
      </c>
      <c r="C4184" t="s">
        <v>6</v>
      </c>
      <c r="D4184">
        <f>IF(B4184=$AB$2,$AC$2,$AC$3)</f>
        <v>1</v>
      </c>
      <c r="E4184">
        <f>IF(ISBLANK(C4184),0,VLOOKUP(C4184,$AE$2:$AF$7,2,0))</f>
        <v>1</v>
      </c>
      <c r="F4184">
        <f t="shared" si="138"/>
        <v>1</v>
      </c>
    </row>
    <row r="4185" spans="1:6">
      <c r="A4185" s="30">
        <f t="shared" si="139"/>
        <v>47275</v>
      </c>
      <c r="B4185" s="32" t="s">
        <v>199</v>
      </c>
      <c r="C4185" t="s">
        <v>6</v>
      </c>
      <c r="D4185">
        <f>IF(B4185=$AB$2,$AC$2,$AC$3)</f>
        <v>1</v>
      </c>
      <c r="E4185">
        <f>IF(ISBLANK(C4185),0,VLOOKUP(C4185,$AE$2:$AF$7,2,0))</f>
        <v>1</v>
      </c>
      <c r="F4185">
        <f t="shared" si="138"/>
        <v>1</v>
      </c>
    </row>
    <row r="4186" spans="1:6">
      <c r="A4186" s="30">
        <f t="shared" si="139"/>
        <v>47276</v>
      </c>
      <c r="B4186" s="32" t="s">
        <v>199</v>
      </c>
      <c r="C4186" t="s">
        <v>6</v>
      </c>
      <c r="D4186">
        <f>IF(B4186=$AB$2,$AC$2,$AC$3)</f>
        <v>1</v>
      </c>
      <c r="E4186">
        <f>IF(ISBLANK(C4186),0,VLOOKUP(C4186,$AE$2:$AF$7,2,0))</f>
        <v>1</v>
      </c>
      <c r="F4186">
        <f t="shared" si="138"/>
        <v>1</v>
      </c>
    </row>
    <row r="4187" spans="1:6">
      <c r="A4187" s="30">
        <f t="shared" si="139"/>
        <v>47277</v>
      </c>
      <c r="B4187" s="32" t="s">
        <v>199</v>
      </c>
      <c r="C4187" t="s">
        <v>6</v>
      </c>
      <c r="D4187">
        <f>IF(B4187=$AB$2,$AC$2,$AC$3)</f>
        <v>1</v>
      </c>
      <c r="E4187">
        <f>IF(ISBLANK(C4187),0,VLOOKUP(C4187,$AE$2:$AF$7,2,0))</f>
        <v>1</v>
      </c>
      <c r="F4187">
        <f t="shared" si="138"/>
        <v>1</v>
      </c>
    </row>
    <row r="4188" spans="1:6">
      <c r="A4188" s="30">
        <f t="shared" si="139"/>
        <v>47278</v>
      </c>
      <c r="B4188" s="32" t="s">
        <v>199</v>
      </c>
      <c r="C4188" t="s">
        <v>6</v>
      </c>
      <c r="D4188">
        <f>IF(B4188=$AB$2,$AC$2,$AC$3)</f>
        <v>1</v>
      </c>
      <c r="E4188">
        <f>IF(ISBLANK(C4188),0,VLOOKUP(C4188,$AE$2:$AF$7,2,0))</f>
        <v>1</v>
      </c>
      <c r="F4188">
        <f t="shared" si="138"/>
        <v>1</v>
      </c>
    </row>
    <row r="4189" spans="1:6">
      <c r="A4189" s="30">
        <f t="shared" si="139"/>
        <v>47279</v>
      </c>
      <c r="B4189" s="32" t="s">
        <v>199</v>
      </c>
      <c r="C4189" t="s">
        <v>6</v>
      </c>
      <c r="D4189">
        <f>IF(B4189=$AB$2,$AC$2,$AC$3)</f>
        <v>1</v>
      </c>
      <c r="E4189">
        <f>IF(ISBLANK(C4189),0,VLOOKUP(C4189,$AE$2:$AF$7,2,0))</f>
        <v>1</v>
      </c>
      <c r="F4189">
        <f t="shared" si="138"/>
        <v>1</v>
      </c>
    </row>
    <row r="4190" spans="1:6">
      <c r="A4190" s="30">
        <f t="shared" si="139"/>
        <v>47280</v>
      </c>
      <c r="B4190" s="32" t="s">
        <v>199</v>
      </c>
      <c r="C4190" t="s">
        <v>6</v>
      </c>
      <c r="D4190">
        <f>IF(B4190=$AB$2,$AC$2,$AC$3)</f>
        <v>1</v>
      </c>
      <c r="E4190">
        <f>IF(ISBLANK(C4190),0,VLOOKUP(C4190,$AE$2:$AF$7,2,0))</f>
        <v>1</v>
      </c>
      <c r="F4190">
        <f t="shared" si="138"/>
        <v>1</v>
      </c>
    </row>
    <row r="4191" spans="1:6">
      <c r="A4191" s="30">
        <f t="shared" si="139"/>
        <v>47281</v>
      </c>
      <c r="B4191" s="32" t="s">
        <v>199</v>
      </c>
      <c r="C4191" t="s">
        <v>6</v>
      </c>
      <c r="D4191">
        <f>IF(B4191=$AB$2,$AC$2,$AC$3)</f>
        <v>1</v>
      </c>
      <c r="E4191">
        <f>IF(ISBLANK(C4191),0,VLOOKUP(C4191,$AE$2:$AF$7,2,0))</f>
        <v>1</v>
      </c>
      <c r="F4191">
        <f t="shared" si="138"/>
        <v>1</v>
      </c>
    </row>
    <row r="4192" spans="1:6">
      <c r="A4192" s="30">
        <f t="shared" si="139"/>
        <v>47282</v>
      </c>
      <c r="B4192" s="32" t="s">
        <v>199</v>
      </c>
      <c r="C4192" t="s">
        <v>6</v>
      </c>
      <c r="D4192">
        <f>IF(B4192=$AB$2,$AC$2,$AC$3)</f>
        <v>1</v>
      </c>
      <c r="E4192">
        <f>IF(ISBLANK(C4192),0,VLOOKUP(C4192,$AE$2:$AF$7,2,0))</f>
        <v>1</v>
      </c>
      <c r="F4192">
        <f t="shared" si="138"/>
        <v>1</v>
      </c>
    </row>
    <row r="4193" spans="1:6">
      <c r="A4193" s="30">
        <f t="shared" si="139"/>
        <v>47283</v>
      </c>
      <c r="B4193" s="32" t="s">
        <v>199</v>
      </c>
      <c r="C4193" t="s">
        <v>6</v>
      </c>
      <c r="D4193">
        <f>IF(B4193=$AB$2,$AC$2,$AC$3)</f>
        <v>1</v>
      </c>
      <c r="E4193">
        <f>IF(ISBLANK(C4193),0,VLOOKUP(C4193,$AE$2:$AF$7,2,0))</f>
        <v>1</v>
      </c>
      <c r="F4193">
        <f t="shared" si="138"/>
        <v>1</v>
      </c>
    </row>
    <row r="4194" spans="1:6">
      <c r="A4194" s="30">
        <f t="shared" si="139"/>
        <v>47284</v>
      </c>
      <c r="B4194" s="32" t="s">
        <v>199</v>
      </c>
      <c r="C4194" t="s">
        <v>6</v>
      </c>
      <c r="D4194">
        <f>IF(B4194=$AB$2,$AC$2,$AC$3)</f>
        <v>1</v>
      </c>
      <c r="E4194">
        <f>IF(ISBLANK(C4194),0,VLOOKUP(C4194,$AE$2:$AF$7,2,0))</f>
        <v>1</v>
      </c>
      <c r="F4194">
        <f t="shared" si="138"/>
        <v>1</v>
      </c>
    </row>
    <row r="4195" spans="1:6">
      <c r="A4195" s="30">
        <f t="shared" si="139"/>
        <v>47285</v>
      </c>
      <c r="B4195" s="32" t="s">
        <v>199</v>
      </c>
      <c r="C4195" t="s">
        <v>6</v>
      </c>
      <c r="D4195">
        <f>IF(B4195=$AB$2,$AC$2,$AC$3)</f>
        <v>1</v>
      </c>
      <c r="E4195">
        <f>IF(ISBLANK(C4195),0,VLOOKUP(C4195,$AE$2:$AF$7,2,0))</f>
        <v>1</v>
      </c>
      <c r="F4195">
        <f t="shared" si="138"/>
        <v>1</v>
      </c>
    </row>
    <row r="4196" spans="1:6">
      <c r="A4196" s="30">
        <f t="shared" si="139"/>
        <v>47286</v>
      </c>
      <c r="B4196" s="32" t="s">
        <v>199</v>
      </c>
      <c r="C4196" t="s">
        <v>6</v>
      </c>
      <c r="D4196">
        <f>IF(B4196=$AB$2,$AC$2,$AC$3)</f>
        <v>1</v>
      </c>
      <c r="E4196">
        <f>IF(ISBLANK(C4196),0,VLOOKUP(C4196,$AE$2:$AF$7,2,0))</f>
        <v>1</v>
      </c>
      <c r="F4196">
        <f t="shared" si="138"/>
        <v>1</v>
      </c>
    </row>
    <row r="4197" spans="1:6">
      <c r="A4197" s="30">
        <f t="shared" si="139"/>
        <v>47287</v>
      </c>
      <c r="B4197" s="32" t="s">
        <v>199</v>
      </c>
      <c r="C4197" t="s">
        <v>6</v>
      </c>
      <c r="D4197">
        <f>IF(B4197=$AB$2,$AC$2,$AC$3)</f>
        <v>1</v>
      </c>
      <c r="E4197">
        <f>IF(ISBLANK(C4197),0,VLOOKUP(C4197,$AE$2:$AF$7,2,0))</f>
        <v>1</v>
      </c>
      <c r="F4197">
        <f t="shared" si="138"/>
        <v>1</v>
      </c>
    </row>
    <row r="4198" spans="1:6">
      <c r="A4198" s="30">
        <f t="shared" si="139"/>
        <v>47288</v>
      </c>
      <c r="B4198" s="32" t="s">
        <v>199</v>
      </c>
      <c r="C4198" t="s">
        <v>6</v>
      </c>
      <c r="D4198">
        <f>IF(B4198=$AB$2,$AC$2,$AC$3)</f>
        <v>1</v>
      </c>
      <c r="E4198">
        <f>IF(ISBLANK(C4198),0,VLOOKUP(C4198,$AE$2:$AF$7,2,0))</f>
        <v>1</v>
      </c>
      <c r="F4198">
        <f t="shared" si="138"/>
        <v>1</v>
      </c>
    </row>
    <row r="4199" spans="1:6">
      <c r="A4199" s="30">
        <f t="shared" si="139"/>
        <v>47289</v>
      </c>
      <c r="B4199" s="32" t="s">
        <v>199</v>
      </c>
      <c r="C4199" t="s">
        <v>6</v>
      </c>
      <c r="D4199">
        <f>IF(B4199=$AB$2,$AC$2,$AC$3)</f>
        <v>1</v>
      </c>
      <c r="E4199">
        <f>IF(ISBLANK(C4199),0,VLOOKUP(C4199,$AE$2:$AF$7,2,0))</f>
        <v>1</v>
      </c>
      <c r="F4199">
        <f t="shared" si="138"/>
        <v>1</v>
      </c>
    </row>
    <row r="4200" spans="1:6">
      <c r="A4200" s="30">
        <f t="shared" si="139"/>
        <v>47290</v>
      </c>
      <c r="B4200" s="32" t="s">
        <v>199</v>
      </c>
      <c r="C4200" t="s">
        <v>6</v>
      </c>
      <c r="D4200">
        <f>IF(B4200=$AB$2,$AC$2,$AC$3)</f>
        <v>1</v>
      </c>
      <c r="E4200">
        <f>IF(ISBLANK(C4200),0,VLOOKUP(C4200,$AE$2:$AF$7,2,0))</f>
        <v>1</v>
      </c>
      <c r="F4200">
        <f t="shared" si="138"/>
        <v>1</v>
      </c>
    </row>
    <row r="4201" spans="1:6">
      <c r="A4201" s="30">
        <f t="shared" si="139"/>
        <v>47291</v>
      </c>
      <c r="B4201" s="32" t="s">
        <v>199</v>
      </c>
      <c r="C4201" t="s">
        <v>6</v>
      </c>
      <c r="D4201">
        <f>IF(B4201=$AB$2,$AC$2,$AC$3)</f>
        <v>1</v>
      </c>
      <c r="E4201">
        <f>IF(ISBLANK(C4201),0,VLOOKUP(C4201,$AE$2:$AF$7,2,0))</f>
        <v>1</v>
      </c>
      <c r="F4201">
        <f t="shared" si="138"/>
        <v>1</v>
      </c>
    </row>
    <row r="4202" spans="1:6">
      <c r="A4202" s="30">
        <f t="shared" si="139"/>
        <v>47292</v>
      </c>
      <c r="B4202" s="32" t="s">
        <v>199</v>
      </c>
      <c r="C4202" t="s">
        <v>6</v>
      </c>
      <c r="D4202">
        <f>IF(B4202=$AB$2,$AC$2,$AC$3)</f>
        <v>1</v>
      </c>
      <c r="E4202">
        <f>IF(ISBLANK(C4202),0,VLOOKUP(C4202,$AE$2:$AF$7,2,0))</f>
        <v>1</v>
      </c>
      <c r="F4202">
        <f t="shared" si="138"/>
        <v>1</v>
      </c>
    </row>
    <row r="4203" spans="1:6">
      <c r="A4203" s="30">
        <f t="shared" si="139"/>
        <v>47293</v>
      </c>
      <c r="B4203" s="32" t="s">
        <v>199</v>
      </c>
      <c r="C4203" t="s">
        <v>6</v>
      </c>
      <c r="D4203">
        <f>IF(B4203=$AB$2,$AC$2,$AC$3)</f>
        <v>1</v>
      </c>
      <c r="E4203">
        <f>IF(ISBLANK(C4203),0,VLOOKUP(C4203,$AE$2:$AF$7,2,0))</f>
        <v>1</v>
      </c>
      <c r="F4203">
        <f t="shared" si="138"/>
        <v>1</v>
      </c>
    </row>
    <row r="4204" spans="1:6">
      <c r="A4204" s="30">
        <f t="shared" si="139"/>
        <v>47294</v>
      </c>
      <c r="B4204" s="32" t="s">
        <v>199</v>
      </c>
      <c r="C4204" t="s">
        <v>6</v>
      </c>
      <c r="D4204">
        <f>IF(B4204=$AB$2,$AC$2,$AC$3)</f>
        <v>1</v>
      </c>
      <c r="E4204">
        <f>IF(ISBLANK(C4204),0,VLOOKUP(C4204,$AE$2:$AF$7,2,0))</f>
        <v>1</v>
      </c>
      <c r="F4204">
        <f t="shared" si="138"/>
        <v>1</v>
      </c>
    </row>
    <row r="4205" spans="1:6">
      <c r="A4205" s="30">
        <f t="shared" si="139"/>
        <v>47295</v>
      </c>
      <c r="B4205" s="32" t="s">
        <v>199</v>
      </c>
      <c r="C4205" t="s">
        <v>6</v>
      </c>
      <c r="D4205">
        <f>IF(B4205=$AB$2,$AC$2,$AC$3)</f>
        <v>1</v>
      </c>
      <c r="E4205">
        <f>IF(ISBLANK(C4205),0,VLOOKUP(C4205,$AE$2:$AF$7,2,0))</f>
        <v>1</v>
      </c>
      <c r="F4205">
        <f t="shared" si="138"/>
        <v>1</v>
      </c>
    </row>
    <row r="4206" spans="1:6">
      <c r="A4206" s="30">
        <f t="shared" si="139"/>
        <v>47296</v>
      </c>
      <c r="B4206" s="32" t="s">
        <v>199</v>
      </c>
      <c r="C4206" t="s">
        <v>6</v>
      </c>
      <c r="D4206">
        <f>IF(B4206=$AB$2,$AC$2,$AC$3)</f>
        <v>1</v>
      </c>
      <c r="E4206">
        <f>IF(ISBLANK(C4206),0,VLOOKUP(C4206,$AE$2:$AF$7,2,0))</f>
        <v>1</v>
      </c>
      <c r="F4206">
        <f t="shared" si="138"/>
        <v>1</v>
      </c>
    </row>
    <row r="4207" spans="1:6">
      <c r="A4207" s="30">
        <f t="shared" si="139"/>
        <v>47297</v>
      </c>
      <c r="B4207" s="32" t="s">
        <v>199</v>
      </c>
      <c r="C4207" t="s">
        <v>6</v>
      </c>
      <c r="D4207">
        <f>IF(B4207=$AB$2,$AC$2,$AC$3)</f>
        <v>1</v>
      </c>
      <c r="E4207">
        <f>IF(ISBLANK(C4207),0,VLOOKUP(C4207,$AE$2:$AF$7,2,0))</f>
        <v>1</v>
      </c>
      <c r="F4207">
        <f t="shared" si="138"/>
        <v>1</v>
      </c>
    </row>
    <row r="4208" spans="1:6">
      <c r="A4208" s="30">
        <f t="shared" si="139"/>
        <v>47298</v>
      </c>
      <c r="B4208" s="32" t="s">
        <v>199</v>
      </c>
      <c r="C4208" t="s">
        <v>6</v>
      </c>
      <c r="D4208">
        <f>IF(B4208=$AB$2,$AC$2,$AC$3)</f>
        <v>1</v>
      </c>
      <c r="E4208">
        <f>IF(ISBLANK(C4208),0,VLOOKUP(C4208,$AE$2:$AF$7,2,0))</f>
        <v>1</v>
      </c>
      <c r="F4208">
        <f t="shared" si="138"/>
        <v>1</v>
      </c>
    </row>
    <row r="4209" spans="1:6">
      <c r="A4209" s="30">
        <f t="shared" si="139"/>
        <v>47299</v>
      </c>
      <c r="B4209" s="32" t="s">
        <v>199</v>
      </c>
      <c r="C4209" t="s">
        <v>6</v>
      </c>
      <c r="D4209">
        <f>IF(B4209=$AB$2,$AC$2,$AC$3)</f>
        <v>1</v>
      </c>
      <c r="E4209">
        <f>IF(ISBLANK(C4209),0,VLOOKUP(C4209,$AE$2:$AF$7,2,0))</f>
        <v>1</v>
      </c>
      <c r="F4209">
        <f t="shared" si="138"/>
        <v>1</v>
      </c>
    </row>
    <row r="4210" spans="1:6">
      <c r="A4210" s="30">
        <f t="shared" si="139"/>
        <v>47300</v>
      </c>
      <c r="B4210" s="32" t="s">
        <v>199</v>
      </c>
      <c r="C4210" t="s">
        <v>6</v>
      </c>
      <c r="D4210">
        <f>IF(B4210=$AB$2,$AC$2,$AC$3)</f>
        <v>1</v>
      </c>
      <c r="E4210">
        <f>IF(ISBLANK(C4210),0,VLOOKUP(C4210,$AE$2:$AF$7,2,0))</f>
        <v>1</v>
      </c>
      <c r="F4210">
        <f t="shared" si="138"/>
        <v>1</v>
      </c>
    </row>
    <row r="4211" spans="1:6">
      <c r="A4211" s="30">
        <f t="shared" si="139"/>
        <v>47301</v>
      </c>
      <c r="B4211" s="32" t="s">
        <v>199</v>
      </c>
      <c r="C4211" t="s">
        <v>6</v>
      </c>
      <c r="D4211">
        <f>IF(B4211=$AB$2,$AC$2,$AC$3)</f>
        <v>1</v>
      </c>
      <c r="E4211">
        <f>IF(ISBLANK(C4211),0,VLOOKUP(C4211,$AE$2:$AF$7,2,0))</f>
        <v>1</v>
      </c>
      <c r="F4211">
        <f t="shared" si="138"/>
        <v>1</v>
      </c>
    </row>
    <row r="4212" spans="1:6">
      <c r="A4212" s="30">
        <f t="shared" si="139"/>
        <v>47302</v>
      </c>
      <c r="B4212" s="32" t="s">
        <v>199</v>
      </c>
      <c r="C4212" t="s">
        <v>6</v>
      </c>
      <c r="D4212">
        <f>IF(B4212=$AB$2,$AC$2,$AC$3)</f>
        <v>1</v>
      </c>
      <c r="E4212">
        <f>IF(ISBLANK(C4212),0,VLOOKUP(C4212,$AE$2:$AF$7,2,0))</f>
        <v>1</v>
      </c>
      <c r="F4212">
        <f t="shared" si="138"/>
        <v>1</v>
      </c>
    </row>
    <row r="4213" spans="1:6">
      <c r="A4213" s="30">
        <f t="shared" si="139"/>
        <v>47303</v>
      </c>
      <c r="B4213" s="32" t="s">
        <v>199</v>
      </c>
      <c r="C4213" t="s">
        <v>6</v>
      </c>
      <c r="D4213">
        <f>IF(B4213=$AB$2,$AC$2,$AC$3)</f>
        <v>1</v>
      </c>
      <c r="E4213">
        <f>IF(ISBLANK(C4213),0,VLOOKUP(C4213,$AE$2:$AF$7,2,0))</f>
        <v>1</v>
      </c>
      <c r="F4213">
        <f t="shared" si="138"/>
        <v>1</v>
      </c>
    </row>
    <row r="4214" spans="1:6">
      <c r="A4214" s="30">
        <f t="shared" si="139"/>
        <v>47304</v>
      </c>
      <c r="B4214" s="32" t="s">
        <v>199</v>
      </c>
      <c r="C4214" t="s">
        <v>6</v>
      </c>
      <c r="D4214">
        <f>IF(B4214=$AB$2,$AC$2,$AC$3)</f>
        <v>1</v>
      </c>
      <c r="E4214">
        <f>IF(ISBLANK(C4214),0,VLOOKUP(C4214,$AE$2:$AF$7,2,0))</f>
        <v>1</v>
      </c>
      <c r="F4214">
        <f t="shared" si="138"/>
        <v>1</v>
      </c>
    </row>
    <row r="4215" spans="1:6">
      <c r="A4215" s="30">
        <f t="shared" si="139"/>
        <v>47305</v>
      </c>
      <c r="B4215" s="32" t="s">
        <v>199</v>
      </c>
      <c r="C4215" t="s">
        <v>6</v>
      </c>
      <c r="D4215">
        <f>IF(B4215=$AB$2,$AC$2,$AC$3)</f>
        <v>1</v>
      </c>
      <c r="E4215">
        <f>IF(ISBLANK(C4215),0,VLOOKUP(C4215,$AE$2:$AF$7,2,0))</f>
        <v>1</v>
      </c>
      <c r="F4215">
        <f t="shared" si="138"/>
        <v>1</v>
      </c>
    </row>
    <row r="4216" spans="1:6">
      <c r="A4216" s="30">
        <f t="shared" si="139"/>
        <v>47306</v>
      </c>
      <c r="B4216" s="32" t="s">
        <v>199</v>
      </c>
      <c r="C4216" t="s">
        <v>6</v>
      </c>
      <c r="D4216">
        <f>IF(B4216=$AB$2,$AC$2,$AC$3)</f>
        <v>1</v>
      </c>
      <c r="E4216">
        <f>IF(ISBLANK(C4216),0,VLOOKUP(C4216,$AE$2:$AF$7,2,0))</f>
        <v>1</v>
      </c>
      <c r="F4216">
        <f t="shared" si="138"/>
        <v>1</v>
      </c>
    </row>
    <row r="4217" spans="1:6">
      <c r="A4217" s="30">
        <f t="shared" si="139"/>
        <v>47307</v>
      </c>
      <c r="B4217" s="32" t="s">
        <v>199</v>
      </c>
      <c r="C4217" t="s">
        <v>6</v>
      </c>
      <c r="D4217">
        <f>IF(B4217=$AB$2,$AC$2,$AC$3)</f>
        <v>1</v>
      </c>
      <c r="E4217">
        <f>IF(ISBLANK(C4217),0,VLOOKUP(C4217,$AE$2:$AF$7,2,0))</f>
        <v>1</v>
      </c>
      <c r="F4217">
        <f t="shared" si="138"/>
        <v>1</v>
      </c>
    </row>
    <row r="4218" spans="1:6">
      <c r="A4218" s="30">
        <f t="shared" si="139"/>
        <v>47308</v>
      </c>
      <c r="B4218" s="32" t="s">
        <v>199</v>
      </c>
      <c r="C4218" t="s">
        <v>6</v>
      </c>
      <c r="D4218">
        <f>IF(B4218=$AB$2,$AC$2,$AC$3)</f>
        <v>1</v>
      </c>
      <c r="E4218">
        <f>IF(ISBLANK(C4218),0,VLOOKUP(C4218,$AE$2:$AF$7,2,0))</f>
        <v>1</v>
      </c>
      <c r="F4218">
        <f t="shared" si="138"/>
        <v>1</v>
      </c>
    </row>
    <row r="4219" spans="1:6">
      <c r="A4219" s="30">
        <f t="shared" si="139"/>
        <v>47309</v>
      </c>
      <c r="B4219" s="32" t="s">
        <v>199</v>
      </c>
      <c r="C4219" t="s">
        <v>6</v>
      </c>
      <c r="D4219">
        <f>IF(B4219=$AB$2,$AC$2,$AC$3)</f>
        <v>1</v>
      </c>
      <c r="E4219">
        <f>IF(ISBLANK(C4219),0,VLOOKUP(C4219,$AE$2:$AF$7,2,0))</f>
        <v>1</v>
      </c>
      <c r="F4219">
        <f t="shared" si="138"/>
        <v>1</v>
      </c>
    </row>
    <row r="4220" spans="1:6">
      <c r="A4220" s="30">
        <f t="shared" si="139"/>
        <v>47310</v>
      </c>
      <c r="B4220" s="32" t="s">
        <v>199</v>
      </c>
      <c r="C4220" t="s">
        <v>6</v>
      </c>
      <c r="D4220">
        <f>IF(B4220=$AB$2,$AC$2,$AC$3)</f>
        <v>1</v>
      </c>
      <c r="E4220">
        <f>IF(ISBLANK(C4220),0,VLOOKUP(C4220,$AE$2:$AF$7,2,0))</f>
        <v>1</v>
      </c>
      <c r="F4220">
        <f t="shared" si="138"/>
        <v>1</v>
      </c>
    </row>
    <row r="4221" spans="1:6">
      <c r="A4221" s="30">
        <f>A4220+1</f>
        <v>47311</v>
      </c>
      <c r="B4221" s="32" t="s">
        <v>199</v>
      </c>
      <c r="C4221" t="s">
        <v>6</v>
      </c>
      <c r="D4221">
        <f>IF(B4221=$AB$2,$AC$2,$AC$3)</f>
        <v>1</v>
      </c>
      <c r="E4221">
        <f>IF(ISBLANK(C4221),0,VLOOKUP(C4221,$AE$2:$AF$7,2,0))</f>
        <v>1</v>
      </c>
      <c r="F4221">
        <f t="shared" si="138"/>
        <v>1</v>
      </c>
    </row>
    <row r="4222" spans="1:6">
      <c r="A4222" s="30">
        <f t="shared" ref="A4222:A4285" si="140">A4221+1</f>
        <v>47312</v>
      </c>
      <c r="B4222" s="32" t="s">
        <v>199</v>
      </c>
      <c r="C4222" t="s">
        <v>6</v>
      </c>
      <c r="D4222">
        <f>IF(B4222=$AB$2,$AC$2,$AC$3)</f>
        <v>1</v>
      </c>
      <c r="E4222">
        <f>IF(ISBLANK(C4222),0,VLOOKUP(C4222,$AE$2:$AF$7,2,0))</f>
        <v>1</v>
      </c>
      <c r="F4222">
        <f t="shared" si="138"/>
        <v>1</v>
      </c>
    </row>
    <row r="4223" spans="1:6">
      <c r="A4223" s="30">
        <f t="shared" si="140"/>
        <v>47313</v>
      </c>
      <c r="B4223" s="32" t="s">
        <v>199</v>
      </c>
      <c r="C4223" t="s">
        <v>6</v>
      </c>
      <c r="D4223">
        <f>IF(B4223=$AB$2,$AC$2,$AC$3)</f>
        <v>1</v>
      </c>
      <c r="E4223">
        <f>IF(ISBLANK(C4223),0,VLOOKUP(C4223,$AE$2:$AF$7,2,0))</f>
        <v>1</v>
      </c>
      <c r="F4223">
        <f t="shared" si="138"/>
        <v>1</v>
      </c>
    </row>
    <row r="4224" spans="1:6">
      <c r="A4224" s="30">
        <f t="shared" si="140"/>
        <v>47314</v>
      </c>
      <c r="B4224" s="32" t="s">
        <v>199</v>
      </c>
      <c r="C4224" t="s">
        <v>6</v>
      </c>
      <c r="D4224">
        <f>IF(B4224=$AB$2,$AC$2,$AC$3)</f>
        <v>1</v>
      </c>
      <c r="E4224">
        <f>IF(ISBLANK(C4224),0,VLOOKUP(C4224,$AE$2:$AF$7,2,0))</f>
        <v>1</v>
      </c>
      <c r="F4224">
        <f t="shared" si="138"/>
        <v>1</v>
      </c>
    </row>
    <row r="4225" spans="1:6">
      <c r="A4225" s="30">
        <f t="shared" si="140"/>
        <v>47315</v>
      </c>
      <c r="B4225" s="32" t="s">
        <v>199</v>
      </c>
      <c r="C4225" t="s">
        <v>6</v>
      </c>
      <c r="D4225">
        <f>IF(B4225=$AB$2,$AC$2,$AC$3)</f>
        <v>1</v>
      </c>
      <c r="E4225">
        <f>IF(ISBLANK(C4225),0,VLOOKUP(C4225,$AE$2:$AF$7,2,0))</f>
        <v>1</v>
      </c>
      <c r="F4225">
        <f t="shared" si="138"/>
        <v>1</v>
      </c>
    </row>
    <row r="4226" spans="1:6">
      <c r="A4226" s="30">
        <f t="shared" si="140"/>
        <v>47316</v>
      </c>
      <c r="B4226" s="32" t="s">
        <v>199</v>
      </c>
      <c r="C4226" t="s">
        <v>6</v>
      </c>
      <c r="D4226">
        <f>IF(B4226=$AB$2,$AC$2,$AC$3)</f>
        <v>1</v>
      </c>
      <c r="E4226">
        <f>IF(ISBLANK(C4226),0,VLOOKUP(C4226,$AE$2:$AF$7,2,0))</f>
        <v>1</v>
      </c>
      <c r="F4226">
        <f t="shared" si="138"/>
        <v>1</v>
      </c>
    </row>
    <row r="4227" spans="1:6">
      <c r="A4227" s="30">
        <f t="shared" si="140"/>
        <v>47317</v>
      </c>
      <c r="B4227" s="32" t="s">
        <v>199</v>
      </c>
      <c r="C4227" t="s">
        <v>6</v>
      </c>
      <c r="D4227">
        <f>IF(B4227=$AB$2,$AC$2,$AC$3)</f>
        <v>1</v>
      </c>
      <c r="E4227">
        <f>IF(ISBLANK(C4227),0,VLOOKUP(C4227,$AE$2:$AF$7,2,0))</f>
        <v>1</v>
      </c>
      <c r="F4227">
        <f t="shared" ref="F4227:F4290" si="141">D4227*E4227</f>
        <v>1</v>
      </c>
    </row>
    <row r="4228" spans="1:6">
      <c r="A4228" s="30">
        <f t="shared" si="140"/>
        <v>47318</v>
      </c>
      <c r="B4228" s="32" t="s">
        <v>199</v>
      </c>
      <c r="C4228" t="s">
        <v>6</v>
      </c>
      <c r="D4228">
        <f>IF(B4228=$AB$2,$AC$2,$AC$3)</f>
        <v>1</v>
      </c>
      <c r="E4228">
        <f>IF(ISBLANK(C4228),0,VLOOKUP(C4228,$AE$2:$AF$7,2,0))</f>
        <v>1</v>
      </c>
      <c r="F4228">
        <f t="shared" si="141"/>
        <v>1</v>
      </c>
    </row>
    <row r="4229" spans="1:6">
      <c r="A4229" s="30">
        <f t="shared" si="140"/>
        <v>47319</v>
      </c>
      <c r="B4229" s="32" t="s">
        <v>199</v>
      </c>
      <c r="C4229" t="s">
        <v>6</v>
      </c>
      <c r="D4229">
        <f>IF(B4229=$AB$2,$AC$2,$AC$3)</f>
        <v>1</v>
      </c>
      <c r="E4229">
        <f>IF(ISBLANK(C4229),0,VLOOKUP(C4229,$AE$2:$AF$7,2,0))</f>
        <v>1</v>
      </c>
      <c r="F4229">
        <f t="shared" si="141"/>
        <v>1</v>
      </c>
    </row>
    <row r="4230" spans="1:6">
      <c r="A4230" s="30">
        <f t="shared" si="140"/>
        <v>47320</v>
      </c>
      <c r="B4230" s="32" t="s">
        <v>199</v>
      </c>
      <c r="C4230" t="s">
        <v>6</v>
      </c>
      <c r="D4230">
        <f>IF(B4230=$AB$2,$AC$2,$AC$3)</f>
        <v>1</v>
      </c>
      <c r="E4230">
        <f>IF(ISBLANK(C4230),0,VLOOKUP(C4230,$AE$2:$AF$7,2,0))</f>
        <v>1</v>
      </c>
      <c r="F4230">
        <f t="shared" si="141"/>
        <v>1</v>
      </c>
    </row>
    <row r="4231" spans="1:6">
      <c r="A4231" s="30">
        <f t="shared" si="140"/>
        <v>47321</v>
      </c>
      <c r="B4231" s="32" t="s">
        <v>199</v>
      </c>
      <c r="C4231" t="s">
        <v>6</v>
      </c>
      <c r="D4231">
        <f>IF(B4231=$AB$2,$AC$2,$AC$3)</f>
        <v>1</v>
      </c>
      <c r="E4231">
        <f>IF(ISBLANK(C4231),0,VLOOKUP(C4231,$AE$2:$AF$7,2,0))</f>
        <v>1</v>
      </c>
      <c r="F4231">
        <f t="shared" si="141"/>
        <v>1</v>
      </c>
    </row>
    <row r="4232" spans="1:6">
      <c r="A4232" s="30">
        <f t="shared" si="140"/>
        <v>47322</v>
      </c>
      <c r="B4232" s="32" t="s">
        <v>199</v>
      </c>
      <c r="C4232" t="s">
        <v>6</v>
      </c>
      <c r="D4232">
        <f>IF(B4232=$AB$2,$AC$2,$AC$3)</f>
        <v>1</v>
      </c>
      <c r="E4232">
        <f>IF(ISBLANK(C4232),0,VLOOKUP(C4232,$AE$2:$AF$7,2,0))</f>
        <v>1</v>
      </c>
      <c r="F4232">
        <f t="shared" si="141"/>
        <v>1</v>
      </c>
    </row>
    <row r="4233" spans="1:6">
      <c r="A4233" s="30">
        <f t="shared" si="140"/>
        <v>47323</v>
      </c>
      <c r="B4233" s="32" t="s">
        <v>199</v>
      </c>
      <c r="C4233" t="s">
        <v>6</v>
      </c>
      <c r="D4233">
        <f>IF(B4233=$AB$2,$AC$2,$AC$3)</f>
        <v>1</v>
      </c>
      <c r="E4233">
        <f>IF(ISBLANK(C4233),0,VLOOKUP(C4233,$AE$2:$AF$7,2,0))</f>
        <v>1</v>
      </c>
      <c r="F4233">
        <f t="shared" si="141"/>
        <v>1</v>
      </c>
    </row>
    <row r="4234" spans="1:6">
      <c r="A4234" s="30">
        <f t="shared" si="140"/>
        <v>47324</v>
      </c>
      <c r="B4234" s="32" t="s">
        <v>199</v>
      </c>
      <c r="C4234" t="s">
        <v>6</v>
      </c>
      <c r="D4234">
        <f>IF(B4234=$AB$2,$AC$2,$AC$3)</f>
        <v>1</v>
      </c>
      <c r="E4234">
        <f>IF(ISBLANK(C4234),0,VLOOKUP(C4234,$AE$2:$AF$7,2,0))</f>
        <v>1</v>
      </c>
      <c r="F4234">
        <f t="shared" si="141"/>
        <v>1</v>
      </c>
    </row>
    <row r="4235" spans="1:6">
      <c r="A4235" s="30">
        <f t="shared" si="140"/>
        <v>47325</v>
      </c>
      <c r="B4235" s="32" t="s">
        <v>199</v>
      </c>
      <c r="C4235" t="s">
        <v>6</v>
      </c>
      <c r="D4235">
        <f>IF(B4235=$AB$2,$AC$2,$AC$3)</f>
        <v>1</v>
      </c>
      <c r="E4235">
        <f>IF(ISBLANK(C4235),0,VLOOKUP(C4235,$AE$2:$AF$7,2,0))</f>
        <v>1</v>
      </c>
      <c r="F4235">
        <f t="shared" si="141"/>
        <v>1</v>
      </c>
    </row>
    <row r="4236" spans="1:6">
      <c r="A4236" s="30">
        <f t="shared" si="140"/>
        <v>47326</v>
      </c>
      <c r="B4236" s="32" t="s">
        <v>199</v>
      </c>
      <c r="C4236" t="s">
        <v>6</v>
      </c>
      <c r="D4236">
        <f>IF(B4236=$AB$2,$AC$2,$AC$3)</f>
        <v>1</v>
      </c>
      <c r="E4236">
        <f>IF(ISBLANK(C4236),0,VLOOKUP(C4236,$AE$2:$AF$7,2,0))</f>
        <v>1</v>
      </c>
      <c r="F4236">
        <f t="shared" si="141"/>
        <v>1</v>
      </c>
    </row>
    <row r="4237" spans="1:6">
      <c r="A4237" s="30">
        <f t="shared" si="140"/>
        <v>47327</v>
      </c>
      <c r="B4237" s="32" t="s">
        <v>199</v>
      </c>
      <c r="C4237" t="s">
        <v>6</v>
      </c>
      <c r="D4237">
        <f>IF(B4237=$AB$2,$AC$2,$AC$3)</f>
        <v>1</v>
      </c>
      <c r="E4237">
        <f>IF(ISBLANK(C4237),0,VLOOKUP(C4237,$AE$2:$AF$7,2,0))</f>
        <v>1</v>
      </c>
      <c r="F4237">
        <f t="shared" si="141"/>
        <v>1</v>
      </c>
    </row>
    <row r="4238" spans="1:6">
      <c r="A4238" s="30">
        <f t="shared" si="140"/>
        <v>47328</v>
      </c>
      <c r="B4238" s="32" t="s">
        <v>199</v>
      </c>
      <c r="C4238" t="s">
        <v>6</v>
      </c>
      <c r="D4238">
        <f>IF(B4238=$AB$2,$AC$2,$AC$3)</f>
        <v>1</v>
      </c>
      <c r="E4238">
        <f>IF(ISBLANK(C4238),0,VLOOKUP(C4238,$AE$2:$AF$7,2,0))</f>
        <v>1</v>
      </c>
      <c r="F4238">
        <f t="shared" si="141"/>
        <v>1</v>
      </c>
    </row>
    <row r="4239" spans="1:6">
      <c r="A4239" s="30">
        <f t="shared" si="140"/>
        <v>47329</v>
      </c>
      <c r="B4239" s="32" t="s">
        <v>199</v>
      </c>
      <c r="C4239" t="s">
        <v>6</v>
      </c>
      <c r="D4239">
        <f>IF(B4239=$AB$2,$AC$2,$AC$3)</f>
        <v>1</v>
      </c>
      <c r="E4239">
        <f>IF(ISBLANK(C4239),0,VLOOKUP(C4239,$AE$2:$AF$7,2,0))</f>
        <v>1</v>
      </c>
      <c r="F4239">
        <f t="shared" si="141"/>
        <v>1</v>
      </c>
    </row>
    <row r="4240" spans="1:6">
      <c r="A4240" s="30">
        <f t="shared" si="140"/>
        <v>47330</v>
      </c>
      <c r="B4240" s="32" t="s">
        <v>199</v>
      </c>
      <c r="C4240" t="s">
        <v>6</v>
      </c>
      <c r="D4240">
        <f>IF(B4240=$AB$2,$AC$2,$AC$3)</f>
        <v>1</v>
      </c>
      <c r="E4240">
        <f>IF(ISBLANK(C4240),0,VLOOKUP(C4240,$AE$2:$AF$7,2,0))</f>
        <v>1</v>
      </c>
      <c r="F4240">
        <f t="shared" si="141"/>
        <v>1</v>
      </c>
    </row>
    <row r="4241" spans="1:6">
      <c r="A4241" s="30">
        <f t="shared" si="140"/>
        <v>47331</v>
      </c>
      <c r="B4241" s="32" t="s">
        <v>199</v>
      </c>
      <c r="C4241" t="s">
        <v>6</v>
      </c>
      <c r="D4241">
        <f>IF(B4241=$AB$2,$AC$2,$AC$3)</f>
        <v>1</v>
      </c>
      <c r="E4241">
        <f>IF(ISBLANK(C4241),0,VLOOKUP(C4241,$AE$2:$AF$7,2,0))</f>
        <v>1</v>
      </c>
      <c r="F4241">
        <f t="shared" si="141"/>
        <v>1</v>
      </c>
    </row>
    <row r="4242" spans="1:6">
      <c r="A4242" s="30">
        <f t="shared" si="140"/>
        <v>47332</v>
      </c>
      <c r="B4242" s="32" t="s">
        <v>199</v>
      </c>
      <c r="C4242" t="s">
        <v>6</v>
      </c>
      <c r="D4242">
        <f>IF(B4242=$AB$2,$AC$2,$AC$3)</f>
        <v>1</v>
      </c>
      <c r="E4242">
        <f>IF(ISBLANK(C4242),0,VLOOKUP(C4242,$AE$2:$AF$7,2,0))</f>
        <v>1</v>
      </c>
      <c r="F4242">
        <f t="shared" si="141"/>
        <v>1</v>
      </c>
    </row>
    <row r="4243" spans="1:6">
      <c r="A4243" s="30">
        <f t="shared" si="140"/>
        <v>47333</v>
      </c>
      <c r="B4243" s="32" t="s">
        <v>199</v>
      </c>
      <c r="C4243" t="s">
        <v>6</v>
      </c>
      <c r="D4243">
        <f>IF(B4243=$AB$2,$AC$2,$AC$3)</f>
        <v>1</v>
      </c>
      <c r="E4243">
        <f>IF(ISBLANK(C4243),0,VLOOKUP(C4243,$AE$2:$AF$7,2,0))</f>
        <v>1</v>
      </c>
      <c r="F4243">
        <f t="shared" si="141"/>
        <v>1</v>
      </c>
    </row>
    <row r="4244" spans="1:6">
      <c r="A4244" s="30">
        <f t="shared" si="140"/>
        <v>47334</v>
      </c>
      <c r="B4244" s="32" t="s">
        <v>199</v>
      </c>
      <c r="C4244" t="s">
        <v>6</v>
      </c>
      <c r="D4244">
        <f>IF(B4244=$AB$2,$AC$2,$AC$3)</f>
        <v>1</v>
      </c>
      <c r="E4244">
        <f>IF(ISBLANK(C4244),0,VLOOKUP(C4244,$AE$2:$AF$7,2,0))</f>
        <v>1</v>
      </c>
      <c r="F4244">
        <f t="shared" si="141"/>
        <v>1</v>
      </c>
    </row>
    <row r="4245" spans="1:6">
      <c r="A4245" s="30">
        <f t="shared" si="140"/>
        <v>47335</v>
      </c>
      <c r="B4245" s="32" t="s">
        <v>199</v>
      </c>
      <c r="C4245" t="s">
        <v>6</v>
      </c>
      <c r="D4245">
        <f>IF(B4245=$AB$2,$AC$2,$AC$3)</f>
        <v>1</v>
      </c>
      <c r="E4245">
        <f>IF(ISBLANK(C4245),0,VLOOKUP(C4245,$AE$2:$AF$7,2,0))</f>
        <v>1</v>
      </c>
      <c r="F4245">
        <f t="shared" si="141"/>
        <v>1</v>
      </c>
    </row>
    <row r="4246" spans="1:6">
      <c r="A4246" s="30">
        <f t="shared" si="140"/>
        <v>47336</v>
      </c>
      <c r="B4246" s="32" t="s">
        <v>199</v>
      </c>
      <c r="C4246" t="s">
        <v>6</v>
      </c>
      <c r="D4246">
        <f>IF(B4246=$AB$2,$AC$2,$AC$3)</f>
        <v>1</v>
      </c>
      <c r="E4246">
        <f>IF(ISBLANK(C4246),0,VLOOKUP(C4246,$AE$2:$AF$7,2,0))</f>
        <v>1</v>
      </c>
      <c r="F4246">
        <f t="shared" si="141"/>
        <v>1</v>
      </c>
    </row>
    <row r="4247" spans="1:6">
      <c r="A4247" s="30">
        <f t="shared" si="140"/>
        <v>47337</v>
      </c>
      <c r="B4247" s="32" t="s">
        <v>199</v>
      </c>
      <c r="C4247" t="s">
        <v>6</v>
      </c>
      <c r="D4247">
        <f>IF(B4247=$AB$2,$AC$2,$AC$3)</f>
        <v>1</v>
      </c>
      <c r="E4247">
        <f>IF(ISBLANK(C4247),0,VLOOKUP(C4247,$AE$2:$AF$7,2,0))</f>
        <v>1</v>
      </c>
      <c r="F4247">
        <f t="shared" si="141"/>
        <v>1</v>
      </c>
    </row>
    <row r="4248" spans="1:6">
      <c r="A4248" s="30">
        <f t="shared" si="140"/>
        <v>47338</v>
      </c>
      <c r="B4248" s="32" t="s">
        <v>199</v>
      </c>
      <c r="C4248" t="s">
        <v>6</v>
      </c>
      <c r="D4248">
        <f>IF(B4248=$AB$2,$AC$2,$AC$3)</f>
        <v>1</v>
      </c>
      <c r="E4248">
        <f>IF(ISBLANK(C4248),0,VLOOKUP(C4248,$AE$2:$AF$7,2,0))</f>
        <v>1</v>
      </c>
      <c r="F4248">
        <f t="shared" si="141"/>
        <v>1</v>
      </c>
    </row>
    <row r="4249" spans="1:6">
      <c r="A4249" s="30">
        <f t="shared" si="140"/>
        <v>47339</v>
      </c>
      <c r="B4249" s="32" t="s">
        <v>199</v>
      </c>
      <c r="C4249" t="s">
        <v>6</v>
      </c>
      <c r="D4249">
        <f>IF(B4249=$AB$2,$AC$2,$AC$3)</f>
        <v>1</v>
      </c>
      <c r="E4249">
        <f>IF(ISBLANK(C4249),0,VLOOKUP(C4249,$AE$2:$AF$7,2,0))</f>
        <v>1</v>
      </c>
      <c r="F4249">
        <f t="shared" si="141"/>
        <v>1</v>
      </c>
    </row>
    <row r="4250" spans="1:6">
      <c r="A4250" s="30">
        <f t="shared" si="140"/>
        <v>47340</v>
      </c>
      <c r="B4250" s="32" t="s">
        <v>199</v>
      </c>
      <c r="C4250" t="s">
        <v>6</v>
      </c>
      <c r="D4250">
        <f>IF(B4250=$AB$2,$AC$2,$AC$3)</f>
        <v>1</v>
      </c>
      <c r="E4250">
        <f>IF(ISBLANK(C4250),0,VLOOKUP(C4250,$AE$2:$AF$7,2,0))</f>
        <v>1</v>
      </c>
      <c r="F4250">
        <f t="shared" si="141"/>
        <v>1</v>
      </c>
    </row>
    <row r="4251" spans="1:6">
      <c r="A4251" s="30">
        <f t="shared" si="140"/>
        <v>47341</v>
      </c>
      <c r="B4251" s="32" t="s">
        <v>199</v>
      </c>
      <c r="C4251" t="s">
        <v>6</v>
      </c>
      <c r="D4251">
        <f>IF(B4251=$AB$2,$AC$2,$AC$3)</f>
        <v>1</v>
      </c>
      <c r="E4251">
        <f>IF(ISBLANK(C4251),0,VLOOKUP(C4251,$AE$2:$AF$7,2,0))</f>
        <v>1</v>
      </c>
      <c r="F4251">
        <f t="shared" si="141"/>
        <v>1</v>
      </c>
    </row>
    <row r="4252" spans="1:6">
      <c r="A4252" s="30">
        <f t="shared" si="140"/>
        <v>47342</v>
      </c>
      <c r="B4252" s="32" t="s">
        <v>199</v>
      </c>
      <c r="C4252" t="s">
        <v>6</v>
      </c>
      <c r="D4252">
        <f>IF(B4252=$AB$2,$AC$2,$AC$3)</f>
        <v>1</v>
      </c>
      <c r="E4252">
        <f>IF(ISBLANK(C4252),0,VLOOKUP(C4252,$AE$2:$AF$7,2,0))</f>
        <v>1</v>
      </c>
      <c r="F4252">
        <f t="shared" si="141"/>
        <v>1</v>
      </c>
    </row>
    <row r="4253" spans="1:6">
      <c r="A4253" s="30">
        <f t="shared" si="140"/>
        <v>47343</v>
      </c>
      <c r="B4253" s="32" t="s">
        <v>199</v>
      </c>
      <c r="C4253" t="s">
        <v>6</v>
      </c>
      <c r="D4253">
        <f>IF(B4253=$AB$2,$AC$2,$AC$3)</f>
        <v>1</v>
      </c>
      <c r="E4253">
        <f>IF(ISBLANK(C4253),0,VLOOKUP(C4253,$AE$2:$AF$7,2,0))</f>
        <v>1</v>
      </c>
      <c r="F4253">
        <f t="shared" si="141"/>
        <v>1</v>
      </c>
    </row>
    <row r="4254" spans="1:6">
      <c r="A4254" s="30">
        <f t="shared" si="140"/>
        <v>47344</v>
      </c>
      <c r="B4254" s="32" t="s">
        <v>199</v>
      </c>
      <c r="C4254" t="s">
        <v>6</v>
      </c>
      <c r="D4254">
        <f>IF(B4254=$AB$2,$AC$2,$AC$3)</f>
        <v>1</v>
      </c>
      <c r="E4254">
        <f>IF(ISBLANK(C4254),0,VLOOKUP(C4254,$AE$2:$AF$7,2,0))</f>
        <v>1</v>
      </c>
      <c r="F4254">
        <f t="shared" si="141"/>
        <v>1</v>
      </c>
    </row>
    <row r="4255" spans="1:6">
      <c r="A4255" s="30">
        <f t="shared" si="140"/>
        <v>47345</v>
      </c>
      <c r="B4255" s="32" t="s">
        <v>199</v>
      </c>
      <c r="C4255" t="s">
        <v>6</v>
      </c>
      <c r="D4255">
        <f>IF(B4255=$AB$2,$AC$2,$AC$3)</f>
        <v>1</v>
      </c>
      <c r="E4255">
        <f>IF(ISBLANK(C4255),0,VLOOKUP(C4255,$AE$2:$AF$7,2,0))</f>
        <v>1</v>
      </c>
      <c r="F4255">
        <f t="shared" si="141"/>
        <v>1</v>
      </c>
    </row>
    <row r="4256" spans="1:6">
      <c r="A4256" s="30">
        <f t="shared" si="140"/>
        <v>47346</v>
      </c>
      <c r="B4256" s="32" t="s">
        <v>199</v>
      </c>
      <c r="C4256" t="s">
        <v>6</v>
      </c>
      <c r="D4256">
        <f>IF(B4256=$AB$2,$AC$2,$AC$3)</f>
        <v>1</v>
      </c>
      <c r="E4256">
        <f>IF(ISBLANK(C4256),0,VLOOKUP(C4256,$AE$2:$AF$7,2,0))</f>
        <v>1</v>
      </c>
      <c r="F4256">
        <f t="shared" si="141"/>
        <v>1</v>
      </c>
    </row>
    <row r="4257" spans="1:6">
      <c r="A4257" s="30">
        <f t="shared" si="140"/>
        <v>47347</v>
      </c>
      <c r="B4257" s="32" t="s">
        <v>199</v>
      </c>
      <c r="C4257" t="s">
        <v>6</v>
      </c>
      <c r="D4257">
        <f>IF(B4257=$AB$2,$AC$2,$AC$3)</f>
        <v>1</v>
      </c>
      <c r="E4257">
        <f>IF(ISBLANK(C4257),0,VLOOKUP(C4257,$AE$2:$AF$7,2,0))</f>
        <v>1</v>
      </c>
      <c r="F4257">
        <f t="shared" si="141"/>
        <v>1</v>
      </c>
    </row>
    <row r="4258" spans="1:6">
      <c r="A4258" s="30">
        <f t="shared" si="140"/>
        <v>47348</v>
      </c>
      <c r="B4258" s="32" t="s">
        <v>199</v>
      </c>
      <c r="C4258" t="s">
        <v>6</v>
      </c>
      <c r="D4258">
        <f>IF(B4258=$AB$2,$AC$2,$AC$3)</f>
        <v>1</v>
      </c>
      <c r="E4258">
        <f>IF(ISBLANK(C4258),0,VLOOKUP(C4258,$AE$2:$AF$7,2,0))</f>
        <v>1</v>
      </c>
      <c r="F4258">
        <f t="shared" si="141"/>
        <v>1</v>
      </c>
    </row>
    <row r="4259" spans="1:6">
      <c r="A4259" s="30">
        <f t="shared" si="140"/>
        <v>47349</v>
      </c>
      <c r="B4259" s="32" t="s">
        <v>199</v>
      </c>
      <c r="C4259" t="s">
        <v>6</v>
      </c>
      <c r="D4259">
        <f>IF(B4259=$AB$2,$AC$2,$AC$3)</f>
        <v>1</v>
      </c>
      <c r="E4259">
        <f>IF(ISBLANK(C4259),0,VLOOKUP(C4259,$AE$2:$AF$7,2,0))</f>
        <v>1</v>
      </c>
      <c r="F4259">
        <f t="shared" si="141"/>
        <v>1</v>
      </c>
    </row>
    <row r="4260" spans="1:6">
      <c r="A4260" s="30">
        <f t="shared" si="140"/>
        <v>47350</v>
      </c>
      <c r="B4260" s="32" t="s">
        <v>199</v>
      </c>
      <c r="C4260" t="s">
        <v>6</v>
      </c>
      <c r="D4260">
        <f>IF(B4260=$AB$2,$AC$2,$AC$3)</f>
        <v>1</v>
      </c>
      <c r="E4260">
        <f>IF(ISBLANK(C4260),0,VLOOKUP(C4260,$AE$2:$AF$7,2,0))</f>
        <v>1</v>
      </c>
      <c r="F4260">
        <f t="shared" si="141"/>
        <v>1</v>
      </c>
    </row>
    <row r="4261" spans="1:6">
      <c r="A4261" s="30">
        <f t="shared" si="140"/>
        <v>47351</v>
      </c>
      <c r="B4261" s="32" t="s">
        <v>199</v>
      </c>
      <c r="C4261" t="s">
        <v>6</v>
      </c>
      <c r="D4261">
        <f>IF(B4261=$AB$2,$AC$2,$AC$3)</f>
        <v>1</v>
      </c>
      <c r="E4261">
        <f>IF(ISBLANK(C4261),0,VLOOKUP(C4261,$AE$2:$AF$7,2,0))</f>
        <v>1</v>
      </c>
      <c r="F4261">
        <f t="shared" si="141"/>
        <v>1</v>
      </c>
    </row>
    <row r="4262" spans="1:6">
      <c r="A4262" s="30">
        <f t="shared" si="140"/>
        <v>47352</v>
      </c>
      <c r="B4262" s="32" t="s">
        <v>199</v>
      </c>
      <c r="C4262" t="s">
        <v>6</v>
      </c>
      <c r="D4262">
        <f>IF(B4262=$AB$2,$AC$2,$AC$3)</f>
        <v>1</v>
      </c>
      <c r="E4262">
        <f>IF(ISBLANK(C4262),0,VLOOKUP(C4262,$AE$2:$AF$7,2,0))</f>
        <v>1</v>
      </c>
      <c r="F4262">
        <f t="shared" si="141"/>
        <v>1</v>
      </c>
    </row>
    <row r="4263" spans="1:6">
      <c r="A4263" s="30">
        <f t="shared" si="140"/>
        <v>47353</v>
      </c>
      <c r="B4263" s="32" t="s">
        <v>199</v>
      </c>
      <c r="C4263" t="s">
        <v>6</v>
      </c>
      <c r="D4263">
        <f>IF(B4263=$AB$2,$AC$2,$AC$3)</f>
        <v>1</v>
      </c>
      <c r="E4263">
        <f>IF(ISBLANK(C4263),0,VLOOKUP(C4263,$AE$2:$AF$7,2,0))</f>
        <v>1</v>
      </c>
      <c r="F4263">
        <f t="shared" si="141"/>
        <v>1</v>
      </c>
    </row>
    <row r="4264" spans="1:6">
      <c r="A4264" s="30">
        <f t="shared" si="140"/>
        <v>47354</v>
      </c>
      <c r="B4264" s="32" t="s">
        <v>199</v>
      </c>
      <c r="C4264" t="s">
        <v>6</v>
      </c>
      <c r="D4264">
        <f>IF(B4264=$AB$2,$AC$2,$AC$3)</f>
        <v>1</v>
      </c>
      <c r="E4264">
        <f>IF(ISBLANK(C4264),0,VLOOKUP(C4264,$AE$2:$AF$7,2,0))</f>
        <v>1</v>
      </c>
      <c r="F4264">
        <f t="shared" si="141"/>
        <v>1</v>
      </c>
    </row>
    <row r="4265" spans="1:6">
      <c r="A4265" s="30">
        <f t="shared" si="140"/>
        <v>47355</v>
      </c>
      <c r="B4265" s="32" t="s">
        <v>199</v>
      </c>
      <c r="C4265" t="s">
        <v>6</v>
      </c>
      <c r="D4265">
        <f>IF(B4265=$AB$2,$AC$2,$AC$3)</f>
        <v>1</v>
      </c>
      <c r="E4265">
        <f>IF(ISBLANK(C4265),0,VLOOKUP(C4265,$AE$2:$AF$7,2,0))</f>
        <v>1</v>
      </c>
      <c r="F4265">
        <f t="shared" si="141"/>
        <v>1</v>
      </c>
    </row>
    <row r="4266" spans="1:6">
      <c r="A4266" s="30">
        <f t="shared" si="140"/>
        <v>47356</v>
      </c>
      <c r="B4266" s="32" t="s">
        <v>199</v>
      </c>
      <c r="C4266" t="s">
        <v>6</v>
      </c>
      <c r="D4266">
        <f>IF(B4266=$AB$2,$AC$2,$AC$3)</f>
        <v>1</v>
      </c>
      <c r="E4266">
        <f>IF(ISBLANK(C4266),0,VLOOKUP(C4266,$AE$2:$AF$7,2,0))</f>
        <v>1</v>
      </c>
      <c r="F4266">
        <f t="shared" si="141"/>
        <v>1</v>
      </c>
    </row>
    <row r="4267" spans="1:6">
      <c r="A4267" s="30">
        <f t="shared" si="140"/>
        <v>47357</v>
      </c>
      <c r="B4267" s="32" t="s">
        <v>199</v>
      </c>
      <c r="C4267" t="s">
        <v>6</v>
      </c>
      <c r="D4267">
        <f>IF(B4267=$AB$2,$AC$2,$AC$3)</f>
        <v>1</v>
      </c>
      <c r="E4267">
        <f>IF(ISBLANK(C4267),0,VLOOKUP(C4267,$AE$2:$AF$7,2,0))</f>
        <v>1</v>
      </c>
      <c r="F4267">
        <f t="shared" si="141"/>
        <v>1</v>
      </c>
    </row>
    <row r="4268" spans="1:6">
      <c r="A4268" s="30">
        <f t="shared" si="140"/>
        <v>47358</v>
      </c>
      <c r="B4268" s="32" t="s">
        <v>199</v>
      </c>
      <c r="C4268" t="s">
        <v>6</v>
      </c>
      <c r="D4268">
        <f>IF(B4268=$AB$2,$AC$2,$AC$3)</f>
        <v>1</v>
      </c>
      <c r="E4268">
        <f>IF(ISBLANK(C4268),0,VLOOKUP(C4268,$AE$2:$AF$7,2,0))</f>
        <v>1</v>
      </c>
      <c r="F4268">
        <f t="shared" si="141"/>
        <v>1</v>
      </c>
    </row>
    <row r="4269" spans="1:6">
      <c r="A4269" s="30">
        <f t="shared" si="140"/>
        <v>47359</v>
      </c>
      <c r="B4269" s="32" t="s">
        <v>199</v>
      </c>
      <c r="C4269" t="s">
        <v>6</v>
      </c>
      <c r="D4269">
        <f>IF(B4269=$AB$2,$AC$2,$AC$3)</f>
        <v>1</v>
      </c>
      <c r="E4269">
        <f>IF(ISBLANK(C4269),0,VLOOKUP(C4269,$AE$2:$AF$7,2,0))</f>
        <v>1</v>
      </c>
      <c r="F4269">
        <f t="shared" si="141"/>
        <v>1</v>
      </c>
    </row>
    <row r="4270" spans="1:6">
      <c r="A4270" s="30">
        <f t="shared" si="140"/>
        <v>47360</v>
      </c>
      <c r="B4270" s="32" t="s">
        <v>199</v>
      </c>
      <c r="C4270" t="s">
        <v>6</v>
      </c>
      <c r="D4270">
        <f>IF(B4270=$AB$2,$AC$2,$AC$3)</f>
        <v>1</v>
      </c>
      <c r="E4270">
        <f>IF(ISBLANK(C4270),0,VLOOKUP(C4270,$AE$2:$AF$7,2,0))</f>
        <v>1</v>
      </c>
      <c r="F4270">
        <f t="shared" si="141"/>
        <v>1</v>
      </c>
    </row>
    <row r="4271" spans="1:6">
      <c r="A4271" s="30">
        <f t="shared" si="140"/>
        <v>47361</v>
      </c>
      <c r="B4271" s="32" t="s">
        <v>199</v>
      </c>
      <c r="C4271" t="s">
        <v>6</v>
      </c>
      <c r="D4271">
        <f>IF(B4271=$AB$2,$AC$2,$AC$3)</f>
        <v>1</v>
      </c>
      <c r="E4271">
        <f>IF(ISBLANK(C4271),0,VLOOKUP(C4271,$AE$2:$AF$7,2,0))</f>
        <v>1</v>
      </c>
      <c r="F4271">
        <f t="shared" si="141"/>
        <v>1</v>
      </c>
    </row>
    <row r="4272" spans="1:6">
      <c r="A4272" s="30">
        <f t="shared" si="140"/>
        <v>47362</v>
      </c>
      <c r="B4272" s="32" t="s">
        <v>199</v>
      </c>
      <c r="C4272" t="s">
        <v>6</v>
      </c>
      <c r="D4272">
        <f>IF(B4272=$AB$2,$AC$2,$AC$3)</f>
        <v>1</v>
      </c>
      <c r="E4272">
        <f>IF(ISBLANK(C4272),0,VLOOKUP(C4272,$AE$2:$AF$7,2,0))</f>
        <v>1</v>
      </c>
      <c r="F4272">
        <f t="shared" si="141"/>
        <v>1</v>
      </c>
    </row>
    <row r="4273" spans="1:6">
      <c r="A4273" s="30">
        <f t="shared" si="140"/>
        <v>47363</v>
      </c>
      <c r="B4273" s="32" t="s">
        <v>199</v>
      </c>
      <c r="C4273" t="s">
        <v>6</v>
      </c>
      <c r="D4273">
        <f>IF(B4273=$AB$2,$AC$2,$AC$3)</f>
        <v>1</v>
      </c>
      <c r="E4273">
        <f>IF(ISBLANK(C4273),0,VLOOKUP(C4273,$AE$2:$AF$7,2,0))</f>
        <v>1</v>
      </c>
      <c r="F4273">
        <f t="shared" si="141"/>
        <v>1</v>
      </c>
    </row>
    <row r="4274" spans="1:6">
      <c r="A4274" s="30">
        <f t="shared" si="140"/>
        <v>47364</v>
      </c>
      <c r="B4274" s="32" t="s">
        <v>199</v>
      </c>
      <c r="C4274" t="s">
        <v>6</v>
      </c>
      <c r="D4274">
        <f>IF(B4274=$AB$2,$AC$2,$AC$3)</f>
        <v>1</v>
      </c>
      <c r="E4274">
        <f>IF(ISBLANK(C4274),0,VLOOKUP(C4274,$AE$2:$AF$7,2,0))</f>
        <v>1</v>
      </c>
      <c r="F4274">
        <f t="shared" si="141"/>
        <v>1</v>
      </c>
    </row>
    <row r="4275" spans="1:6">
      <c r="A4275" s="30">
        <f t="shared" si="140"/>
        <v>47365</v>
      </c>
      <c r="B4275" s="32" t="s">
        <v>199</v>
      </c>
      <c r="C4275" t="s">
        <v>6</v>
      </c>
      <c r="D4275">
        <f>IF(B4275=$AB$2,$AC$2,$AC$3)</f>
        <v>1</v>
      </c>
      <c r="E4275">
        <f>IF(ISBLANK(C4275),0,VLOOKUP(C4275,$AE$2:$AF$7,2,0))</f>
        <v>1</v>
      </c>
      <c r="F4275">
        <f t="shared" si="141"/>
        <v>1</v>
      </c>
    </row>
    <row r="4276" spans="1:6">
      <c r="A4276" s="30">
        <f t="shared" si="140"/>
        <v>47366</v>
      </c>
      <c r="B4276" s="32" t="s">
        <v>199</v>
      </c>
      <c r="C4276" t="s">
        <v>6</v>
      </c>
      <c r="D4276">
        <f>IF(B4276=$AB$2,$AC$2,$AC$3)</f>
        <v>1</v>
      </c>
      <c r="E4276">
        <f>IF(ISBLANK(C4276),0,VLOOKUP(C4276,$AE$2:$AF$7,2,0))</f>
        <v>1</v>
      </c>
      <c r="F4276">
        <f t="shared" si="141"/>
        <v>1</v>
      </c>
    </row>
    <row r="4277" spans="1:6">
      <c r="A4277" s="30">
        <f t="shared" si="140"/>
        <v>47367</v>
      </c>
      <c r="B4277" s="32" t="s">
        <v>199</v>
      </c>
      <c r="C4277" t="s">
        <v>6</v>
      </c>
      <c r="D4277">
        <f>IF(B4277=$AB$2,$AC$2,$AC$3)</f>
        <v>1</v>
      </c>
      <c r="E4277">
        <f>IF(ISBLANK(C4277),0,VLOOKUP(C4277,$AE$2:$AF$7,2,0))</f>
        <v>1</v>
      </c>
      <c r="F4277">
        <f t="shared" si="141"/>
        <v>1</v>
      </c>
    </row>
    <row r="4278" spans="1:6">
      <c r="A4278" s="30">
        <f t="shared" si="140"/>
        <v>47368</v>
      </c>
      <c r="B4278" s="32" t="s">
        <v>199</v>
      </c>
      <c r="C4278" t="s">
        <v>6</v>
      </c>
      <c r="D4278">
        <f>IF(B4278=$AB$2,$AC$2,$AC$3)</f>
        <v>1</v>
      </c>
      <c r="E4278">
        <f>IF(ISBLANK(C4278),0,VLOOKUP(C4278,$AE$2:$AF$7,2,0))</f>
        <v>1</v>
      </c>
      <c r="F4278">
        <f t="shared" si="141"/>
        <v>1</v>
      </c>
    </row>
    <row r="4279" spans="1:6">
      <c r="A4279" s="30">
        <f t="shared" si="140"/>
        <v>47369</v>
      </c>
      <c r="B4279" s="32" t="s">
        <v>199</v>
      </c>
      <c r="C4279" t="s">
        <v>6</v>
      </c>
      <c r="D4279">
        <f>IF(B4279=$AB$2,$AC$2,$AC$3)</f>
        <v>1</v>
      </c>
      <c r="E4279">
        <f>IF(ISBLANK(C4279),0,VLOOKUP(C4279,$AE$2:$AF$7,2,0))</f>
        <v>1</v>
      </c>
      <c r="F4279">
        <f t="shared" si="141"/>
        <v>1</v>
      </c>
    </row>
    <row r="4280" spans="1:6">
      <c r="A4280" s="30">
        <f t="shared" si="140"/>
        <v>47370</v>
      </c>
      <c r="B4280" s="32" t="s">
        <v>199</v>
      </c>
      <c r="C4280" t="s">
        <v>6</v>
      </c>
      <c r="D4280">
        <f>IF(B4280=$AB$2,$AC$2,$AC$3)</f>
        <v>1</v>
      </c>
      <c r="E4280">
        <f>IF(ISBLANK(C4280),0,VLOOKUP(C4280,$AE$2:$AF$7,2,0))</f>
        <v>1</v>
      </c>
      <c r="F4280">
        <f t="shared" si="141"/>
        <v>1</v>
      </c>
    </row>
    <row r="4281" spans="1:6">
      <c r="A4281" s="30">
        <f t="shared" si="140"/>
        <v>47371</v>
      </c>
      <c r="B4281" s="32" t="s">
        <v>199</v>
      </c>
      <c r="C4281" t="s">
        <v>6</v>
      </c>
      <c r="D4281">
        <f>IF(B4281=$AB$2,$AC$2,$AC$3)</f>
        <v>1</v>
      </c>
      <c r="E4281">
        <f>IF(ISBLANK(C4281),0,VLOOKUP(C4281,$AE$2:$AF$7,2,0))</f>
        <v>1</v>
      </c>
      <c r="F4281">
        <f t="shared" si="141"/>
        <v>1</v>
      </c>
    </row>
    <row r="4282" spans="1:6">
      <c r="A4282" s="30">
        <f t="shared" si="140"/>
        <v>47372</v>
      </c>
      <c r="B4282" s="32" t="s">
        <v>199</v>
      </c>
      <c r="C4282" t="s">
        <v>6</v>
      </c>
      <c r="D4282">
        <f>IF(B4282=$AB$2,$AC$2,$AC$3)</f>
        <v>1</v>
      </c>
      <c r="E4282">
        <f>IF(ISBLANK(C4282),0,VLOOKUP(C4282,$AE$2:$AF$7,2,0))</f>
        <v>1</v>
      </c>
      <c r="F4282">
        <f t="shared" si="141"/>
        <v>1</v>
      </c>
    </row>
    <row r="4283" spans="1:6">
      <c r="A4283" s="30">
        <f t="shared" si="140"/>
        <v>47373</v>
      </c>
      <c r="B4283" s="32" t="s">
        <v>199</v>
      </c>
      <c r="C4283" t="s">
        <v>6</v>
      </c>
      <c r="D4283">
        <f>IF(B4283=$AB$2,$AC$2,$AC$3)</f>
        <v>1</v>
      </c>
      <c r="E4283">
        <f>IF(ISBLANK(C4283),0,VLOOKUP(C4283,$AE$2:$AF$7,2,0))</f>
        <v>1</v>
      </c>
      <c r="F4283">
        <f t="shared" si="141"/>
        <v>1</v>
      </c>
    </row>
    <row r="4284" spans="1:6">
      <c r="A4284" s="30">
        <f t="shared" si="140"/>
        <v>47374</v>
      </c>
      <c r="B4284" s="32" t="s">
        <v>199</v>
      </c>
      <c r="C4284" t="s">
        <v>6</v>
      </c>
      <c r="D4284">
        <f>IF(B4284=$AB$2,$AC$2,$AC$3)</f>
        <v>1</v>
      </c>
      <c r="E4284">
        <f>IF(ISBLANK(C4284),0,VLOOKUP(C4284,$AE$2:$AF$7,2,0))</f>
        <v>1</v>
      </c>
      <c r="F4284">
        <f t="shared" si="141"/>
        <v>1</v>
      </c>
    </row>
    <row r="4285" spans="1:6">
      <c r="A4285" s="30">
        <f t="shared" si="140"/>
        <v>47375</v>
      </c>
      <c r="B4285" s="32" t="s">
        <v>199</v>
      </c>
      <c r="C4285" t="s">
        <v>6</v>
      </c>
      <c r="D4285">
        <f>IF(B4285=$AB$2,$AC$2,$AC$3)</f>
        <v>1</v>
      </c>
      <c r="E4285">
        <f>IF(ISBLANK(C4285),0,VLOOKUP(C4285,$AE$2:$AF$7,2,0))</f>
        <v>1</v>
      </c>
      <c r="F4285">
        <f t="shared" si="141"/>
        <v>1</v>
      </c>
    </row>
    <row r="4286" spans="1:6">
      <c r="A4286" s="30">
        <f t="shared" ref="A4286:A4334" si="142">A4285+1</f>
        <v>47376</v>
      </c>
      <c r="B4286" s="32" t="s">
        <v>199</v>
      </c>
      <c r="C4286" t="s">
        <v>6</v>
      </c>
      <c r="D4286">
        <f>IF(B4286=$AB$2,$AC$2,$AC$3)</f>
        <v>1</v>
      </c>
      <c r="E4286">
        <f>IF(ISBLANK(C4286),0,VLOOKUP(C4286,$AE$2:$AF$7,2,0))</f>
        <v>1</v>
      </c>
      <c r="F4286">
        <f t="shared" si="141"/>
        <v>1</v>
      </c>
    </row>
    <row r="4287" spans="1:6">
      <c r="A4287" s="30">
        <f t="shared" si="142"/>
        <v>47377</v>
      </c>
      <c r="B4287" s="32" t="s">
        <v>199</v>
      </c>
      <c r="C4287" t="s">
        <v>6</v>
      </c>
      <c r="D4287">
        <f>IF(B4287=$AB$2,$AC$2,$AC$3)</f>
        <v>1</v>
      </c>
      <c r="E4287">
        <f>IF(ISBLANK(C4287),0,VLOOKUP(C4287,$AE$2:$AF$7,2,0))</f>
        <v>1</v>
      </c>
      <c r="F4287">
        <f t="shared" si="141"/>
        <v>1</v>
      </c>
    </row>
    <row r="4288" spans="1:6">
      <c r="A4288" s="30">
        <f t="shared" si="142"/>
        <v>47378</v>
      </c>
      <c r="B4288" s="32" t="s">
        <v>199</v>
      </c>
      <c r="C4288" t="s">
        <v>6</v>
      </c>
      <c r="D4288">
        <f>IF(B4288=$AB$2,$AC$2,$AC$3)</f>
        <v>1</v>
      </c>
      <c r="E4288">
        <f>IF(ISBLANK(C4288),0,VLOOKUP(C4288,$AE$2:$AF$7,2,0))</f>
        <v>1</v>
      </c>
      <c r="F4288">
        <f t="shared" si="141"/>
        <v>1</v>
      </c>
    </row>
    <row r="4289" spans="1:6">
      <c r="A4289" s="30">
        <f t="shared" si="142"/>
        <v>47379</v>
      </c>
      <c r="B4289" s="32" t="s">
        <v>199</v>
      </c>
      <c r="C4289" t="s">
        <v>6</v>
      </c>
      <c r="D4289">
        <f>IF(B4289=$AB$2,$AC$2,$AC$3)</f>
        <v>1</v>
      </c>
      <c r="E4289">
        <f>IF(ISBLANK(C4289),0,VLOOKUP(C4289,$AE$2:$AF$7,2,0))</f>
        <v>1</v>
      </c>
      <c r="F4289">
        <f t="shared" si="141"/>
        <v>1</v>
      </c>
    </row>
    <row r="4290" spans="1:6">
      <c r="A4290" s="30">
        <f t="shared" si="142"/>
        <v>47380</v>
      </c>
      <c r="B4290" s="32" t="s">
        <v>199</v>
      </c>
      <c r="C4290" t="s">
        <v>6</v>
      </c>
      <c r="D4290">
        <f>IF(B4290=$AB$2,$AC$2,$AC$3)</f>
        <v>1</v>
      </c>
      <c r="E4290">
        <f>IF(ISBLANK(C4290),0,VLOOKUP(C4290,$AE$2:$AF$7,2,0))</f>
        <v>1</v>
      </c>
      <c r="F4290">
        <f t="shared" si="141"/>
        <v>1</v>
      </c>
    </row>
    <row r="4291" spans="1:6">
      <c r="A4291" s="30">
        <f t="shared" si="142"/>
        <v>47381</v>
      </c>
      <c r="B4291" s="32" t="s">
        <v>199</v>
      </c>
      <c r="C4291" t="s">
        <v>6</v>
      </c>
      <c r="D4291">
        <f>IF(B4291=$AB$2,$AC$2,$AC$3)</f>
        <v>1</v>
      </c>
      <c r="E4291">
        <f>IF(ISBLANK(C4291),0,VLOOKUP(C4291,$AE$2:$AF$7,2,0))</f>
        <v>1</v>
      </c>
      <c r="F4291">
        <f t="shared" ref="F4291:F4354" si="143">D4291*E4291</f>
        <v>1</v>
      </c>
    </row>
    <row r="4292" spans="1:6">
      <c r="A4292" s="30">
        <f t="shared" si="142"/>
        <v>47382</v>
      </c>
      <c r="B4292" s="32" t="s">
        <v>199</v>
      </c>
      <c r="C4292" t="s">
        <v>6</v>
      </c>
      <c r="D4292">
        <f>IF(B4292=$AB$2,$AC$2,$AC$3)</f>
        <v>1</v>
      </c>
      <c r="E4292">
        <f>IF(ISBLANK(C4292),0,VLOOKUP(C4292,$AE$2:$AF$7,2,0))</f>
        <v>1</v>
      </c>
      <c r="F4292">
        <f t="shared" si="143"/>
        <v>1</v>
      </c>
    </row>
    <row r="4293" spans="1:6">
      <c r="A4293" s="30">
        <f t="shared" si="142"/>
        <v>47383</v>
      </c>
      <c r="B4293" s="32" t="s">
        <v>199</v>
      </c>
      <c r="C4293" t="s">
        <v>6</v>
      </c>
      <c r="D4293">
        <f>IF(B4293=$AB$2,$AC$2,$AC$3)</f>
        <v>1</v>
      </c>
      <c r="E4293">
        <f>IF(ISBLANK(C4293),0,VLOOKUP(C4293,$AE$2:$AF$7,2,0))</f>
        <v>1</v>
      </c>
      <c r="F4293">
        <f t="shared" si="143"/>
        <v>1</v>
      </c>
    </row>
    <row r="4294" spans="1:6">
      <c r="A4294" s="30">
        <f t="shared" si="142"/>
        <v>47384</v>
      </c>
      <c r="B4294" s="32" t="s">
        <v>199</v>
      </c>
      <c r="C4294" t="s">
        <v>6</v>
      </c>
      <c r="D4294">
        <f>IF(B4294=$AB$2,$AC$2,$AC$3)</f>
        <v>1</v>
      </c>
      <c r="E4294">
        <f>IF(ISBLANK(C4294),0,VLOOKUP(C4294,$AE$2:$AF$7,2,0))</f>
        <v>1</v>
      </c>
      <c r="F4294">
        <f t="shared" si="143"/>
        <v>1</v>
      </c>
    </row>
    <row r="4295" spans="1:6">
      <c r="A4295" s="30">
        <f t="shared" si="142"/>
        <v>47385</v>
      </c>
      <c r="B4295" s="32" t="s">
        <v>199</v>
      </c>
      <c r="C4295" t="s">
        <v>6</v>
      </c>
      <c r="D4295">
        <f>IF(B4295=$AB$2,$AC$2,$AC$3)</f>
        <v>1</v>
      </c>
      <c r="E4295">
        <f>IF(ISBLANK(C4295),0,VLOOKUP(C4295,$AE$2:$AF$7,2,0))</f>
        <v>1</v>
      </c>
      <c r="F4295">
        <f t="shared" si="143"/>
        <v>1</v>
      </c>
    </row>
    <row r="4296" spans="1:6">
      <c r="A4296" s="30">
        <f t="shared" si="142"/>
        <v>47386</v>
      </c>
      <c r="B4296" s="32" t="s">
        <v>199</v>
      </c>
      <c r="C4296" t="s">
        <v>6</v>
      </c>
      <c r="D4296">
        <f>IF(B4296=$AB$2,$AC$2,$AC$3)</f>
        <v>1</v>
      </c>
      <c r="E4296">
        <f>IF(ISBLANK(C4296),0,VLOOKUP(C4296,$AE$2:$AF$7,2,0))</f>
        <v>1</v>
      </c>
      <c r="F4296">
        <f t="shared" si="143"/>
        <v>1</v>
      </c>
    </row>
    <row r="4297" spans="1:6">
      <c r="A4297" s="30">
        <f t="shared" si="142"/>
        <v>47387</v>
      </c>
      <c r="B4297" s="32" t="s">
        <v>199</v>
      </c>
      <c r="C4297" t="s">
        <v>6</v>
      </c>
      <c r="D4297">
        <f>IF(B4297=$AB$2,$AC$2,$AC$3)</f>
        <v>1</v>
      </c>
      <c r="E4297">
        <f>IF(ISBLANK(C4297),0,VLOOKUP(C4297,$AE$2:$AF$7,2,0))</f>
        <v>1</v>
      </c>
      <c r="F4297">
        <f t="shared" si="143"/>
        <v>1</v>
      </c>
    </row>
    <row r="4298" spans="1:6">
      <c r="A4298" s="30">
        <f t="shared" si="142"/>
        <v>47388</v>
      </c>
      <c r="B4298" s="32" t="s">
        <v>199</v>
      </c>
      <c r="C4298" t="s">
        <v>6</v>
      </c>
      <c r="D4298">
        <f>IF(B4298=$AB$2,$AC$2,$AC$3)</f>
        <v>1</v>
      </c>
      <c r="E4298">
        <f>IF(ISBLANK(C4298),0,VLOOKUP(C4298,$AE$2:$AF$7,2,0))</f>
        <v>1</v>
      </c>
      <c r="F4298">
        <f t="shared" si="143"/>
        <v>1</v>
      </c>
    </row>
    <row r="4299" spans="1:6">
      <c r="A4299" s="30">
        <f t="shared" si="142"/>
        <v>47389</v>
      </c>
      <c r="B4299" s="32" t="s">
        <v>199</v>
      </c>
      <c r="C4299" t="s">
        <v>6</v>
      </c>
      <c r="D4299">
        <f>IF(B4299=$AB$2,$AC$2,$AC$3)</f>
        <v>1</v>
      </c>
      <c r="E4299">
        <f>IF(ISBLANK(C4299),0,VLOOKUP(C4299,$AE$2:$AF$7,2,0))</f>
        <v>1</v>
      </c>
      <c r="F4299">
        <f t="shared" si="143"/>
        <v>1</v>
      </c>
    </row>
    <row r="4300" spans="1:6">
      <c r="A4300" s="30">
        <f t="shared" si="142"/>
        <v>47390</v>
      </c>
      <c r="B4300" s="32" t="s">
        <v>199</v>
      </c>
      <c r="C4300" t="s">
        <v>6</v>
      </c>
      <c r="D4300">
        <f>IF(B4300=$AB$2,$AC$2,$AC$3)</f>
        <v>1</v>
      </c>
      <c r="E4300">
        <f>IF(ISBLANK(C4300),0,VLOOKUP(C4300,$AE$2:$AF$7,2,0))</f>
        <v>1</v>
      </c>
      <c r="F4300">
        <f t="shared" si="143"/>
        <v>1</v>
      </c>
    </row>
    <row r="4301" spans="1:6">
      <c r="A4301" s="30">
        <f t="shared" si="142"/>
        <v>47391</v>
      </c>
      <c r="B4301" s="32" t="s">
        <v>199</v>
      </c>
      <c r="C4301" t="s">
        <v>6</v>
      </c>
      <c r="D4301">
        <f>IF(B4301=$AB$2,$AC$2,$AC$3)</f>
        <v>1</v>
      </c>
      <c r="E4301">
        <f>IF(ISBLANK(C4301),0,VLOOKUP(C4301,$AE$2:$AF$7,2,0))</f>
        <v>1</v>
      </c>
      <c r="F4301">
        <f t="shared" si="143"/>
        <v>1</v>
      </c>
    </row>
    <row r="4302" spans="1:6">
      <c r="A4302" s="30">
        <f t="shared" si="142"/>
        <v>47392</v>
      </c>
      <c r="B4302" s="32" t="s">
        <v>199</v>
      </c>
      <c r="C4302" t="s">
        <v>6</v>
      </c>
      <c r="D4302">
        <f>IF(B4302=$AB$2,$AC$2,$AC$3)</f>
        <v>1</v>
      </c>
      <c r="E4302">
        <f>IF(ISBLANK(C4302),0,VLOOKUP(C4302,$AE$2:$AF$7,2,0))</f>
        <v>1</v>
      </c>
      <c r="F4302">
        <f t="shared" si="143"/>
        <v>1</v>
      </c>
    </row>
    <row r="4303" spans="1:6">
      <c r="A4303" s="30">
        <f t="shared" si="142"/>
        <v>47393</v>
      </c>
      <c r="B4303" s="32" t="s">
        <v>199</v>
      </c>
      <c r="C4303" t="s">
        <v>6</v>
      </c>
      <c r="D4303">
        <f>IF(B4303=$AB$2,$AC$2,$AC$3)</f>
        <v>1</v>
      </c>
      <c r="E4303">
        <f>IF(ISBLANK(C4303),0,VLOOKUP(C4303,$AE$2:$AF$7,2,0))</f>
        <v>1</v>
      </c>
      <c r="F4303">
        <f t="shared" si="143"/>
        <v>1</v>
      </c>
    </row>
    <row r="4304" spans="1:6">
      <c r="A4304" s="30">
        <f t="shared" si="142"/>
        <v>47394</v>
      </c>
      <c r="B4304" s="32" t="s">
        <v>199</v>
      </c>
      <c r="C4304" t="s">
        <v>6</v>
      </c>
      <c r="D4304">
        <f>IF(B4304=$AB$2,$AC$2,$AC$3)</f>
        <v>1</v>
      </c>
      <c r="E4304">
        <f>IF(ISBLANK(C4304),0,VLOOKUP(C4304,$AE$2:$AF$7,2,0))</f>
        <v>1</v>
      </c>
      <c r="F4304">
        <f t="shared" si="143"/>
        <v>1</v>
      </c>
    </row>
    <row r="4305" spans="1:6">
      <c r="A4305" s="30">
        <f t="shared" si="142"/>
        <v>47395</v>
      </c>
      <c r="B4305" s="32" t="s">
        <v>199</v>
      </c>
      <c r="C4305" t="s">
        <v>6</v>
      </c>
      <c r="D4305">
        <f>IF(B4305=$AB$2,$AC$2,$AC$3)</f>
        <v>1</v>
      </c>
      <c r="E4305">
        <f>IF(ISBLANK(C4305),0,VLOOKUP(C4305,$AE$2:$AF$7,2,0))</f>
        <v>1</v>
      </c>
      <c r="F4305">
        <f t="shared" si="143"/>
        <v>1</v>
      </c>
    </row>
    <row r="4306" spans="1:6">
      <c r="A4306" s="30">
        <f t="shared" si="142"/>
        <v>47396</v>
      </c>
      <c r="B4306" s="32" t="s">
        <v>199</v>
      </c>
      <c r="C4306" t="s">
        <v>6</v>
      </c>
      <c r="D4306">
        <f>IF(B4306=$AB$2,$AC$2,$AC$3)</f>
        <v>1</v>
      </c>
      <c r="E4306">
        <f>IF(ISBLANK(C4306),0,VLOOKUP(C4306,$AE$2:$AF$7,2,0))</f>
        <v>1</v>
      </c>
      <c r="F4306">
        <f t="shared" si="143"/>
        <v>1</v>
      </c>
    </row>
    <row r="4307" spans="1:6">
      <c r="A4307" s="30">
        <f t="shared" si="142"/>
        <v>47397</v>
      </c>
      <c r="B4307" s="32" t="s">
        <v>199</v>
      </c>
      <c r="C4307" t="s">
        <v>6</v>
      </c>
      <c r="D4307">
        <f>IF(B4307=$AB$2,$AC$2,$AC$3)</f>
        <v>1</v>
      </c>
      <c r="E4307">
        <f>IF(ISBLANK(C4307),0,VLOOKUP(C4307,$AE$2:$AF$7,2,0))</f>
        <v>1</v>
      </c>
      <c r="F4307">
        <f t="shared" si="143"/>
        <v>1</v>
      </c>
    </row>
    <row r="4308" spans="1:6">
      <c r="A4308" s="30">
        <f t="shared" si="142"/>
        <v>47398</v>
      </c>
      <c r="B4308" s="32" t="s">
        <v>199</v>
      </c>
      <c r="C4308" t="s">
        <v>6</v>
      </c>
      <c r="D4308">
        <f>IF(B4308=$AB$2,$AC$2,$AC$3)</f>
        <v>1</v>
      </c>
      <c r="E4308">
        <f>IF(ISBLANK(C4308),0,VLOOKUP(C4308,$AE$2:$AF$7,2,0))</f>
        <v>1</v>
      </c>
      <c r="F4308">
        <f t="shared" si="143"/>
        <v>1</v>
      </c>
    </row>
    <row r="4309" spans="1:6">
      <c r="A4309" s="30">
        <f t="shared" si="142"/>
        <v>47399</v>
      </c>
      <c r="B4309" s="32" t="s">
        <v>199</v>
      </c>
      <c r="C4309" t="s">
        <v>6</v>
      </c>
      <c r="D4309">
        <f>IF(B4309=$AB$2,$AC$2,$AC$3)</f>
        <v>1</v>
      </c>
      <c r="E4309">
        <f>IF(ISBLANK(C4309),0,VLOOKUP(C4309,$AE$2:$AF$7,2,0))</f>
        <v>1</v>
      </c>
      <c r="F4309">
        <f t="shared" si="143"/>
        <v>1</v>
      </c>
    </row>
    <row r="4310" spans="1:6">
      <c r="A4310" s="30">
        <f t="shared" si="142"/>
        <v>47400</v>
      </c>
      <c r="B4310" s="32" t="s">
        <v>199</v>
      </c>
      <c r="C4310" t="s">
        <v>6</v>
      </c>
      <c r="D4310">
        <f>IF(B4310=$AB$2,$AC$2,$AC$3)</f>
        <v>1</v>
      </c>
      <c r="E4310">
        <f>IF(ISBLANK(C4310),0,VLOOKUP(C4310,$AE$2:$AF$7,2,0))</f>
        <v>1</v>
      </c>
      <c r="F4310">
        <f t="shared" si="143"/>
        <v>1</v>
      </c>
    </row>
    <row r="4311" spans="1:6">
      <c r="A4311" s="30">
        <f t="shared" si="142"/>
        <v>47401</v>
      </c>
      <c r="B4311" s="32" t="s">
        <v>199</v>
      </c>
      <c r="C4311" t="s">
        <v>6</v>
      </c>
      <c r="D4311">
        <f>IF(B4311=$AB$2,$AC$2,$AC$3)</f>
        <v>1</v>
      </c>
      <c r="E4311">
        <f>IF(ISBLANK(C4311),0,VLOOKUP(C4311,$AE$2:$AF$7,2,0))</f>
        <v>1</v>
      </c>
      <c r="F4311">
        <f t="shared" si="143"/>
        <v>1</v>
      </c>
    </row>
    <row r="4312" spans="1:6">
      <c r="A4312" s="30">
        <f t="shared" si="142"/>
        <v>47402</v>
      </c>
      <c r="B4312" s="32" t="s">
        <v>199</v>
      </c>
      <c r="C4312" t="s">
        <v>6</v>
      </c>
      <c r="D4312">
        <f>IF(B4312=$AB$2,$AC$2,$AC$3)</f>
        <v>1</v>
      </c>
      <c r="E4312">
        <f>IF(ISBLANK(C4312),0,VLOOKUP(C4312,$AE$2:$AF$7,2,0))</f>
        <v>1</v>
      </c>
      <c r="F4312">
        <f t="shared" si="143"/>
        <v>1</v>
      </c>
    </row>
    <row r="4313" spans="1:6">
      <c r="A4313" s="30">
        <f t="shared" si="142"/>
        <v>47403</v>
      </c>
      <c r="B4313" s="32" t="s">
        <v>199</v>
      </c>
      <c r="C4313" t="s">
        <v>6</v>
      </c>
      <c r="D4313">
        <f>IF(B4313=$AB$2,$AC$2,$AC$3)</f>
        <v>1</v>
      </c>
      <c r="E4313">
        <f>IF(ISBLANK(C4313),0,VLOOKUP(C4313,$AE$2:$AF$7,2,0))</f>
        <v>1</v>
      </c>
      <c r="F4313">
        <f t="shared" si="143"/>
        <v>1</v>
      </c>
    </row>
    <row r="4314" spans="1:6">
      <c r="A4314" s="30">
        <f t="shared" si="142"/>
        <v>47404</v>
      </c>
      <c r="B4314" s="32" t="s">
        <v>199</v>
      </c>
      <c r="C4314" t="s">
        <v>6</v>
      </c>
      <c r="D4314">
        <f>IF(B4314=$AB$2,$AC$2,$AC$3)</f>
        <v>1</v>
      </c>
      <c r="E4314">
        <f>IF(ISBLANK(C4314),0,VLOOKUP(C4314,$AE$2:$AF$7,2,0))</f>
        <v>1</v>
      </c>
      <c r="F4314">
        <f t="shared" si="143"/>
        <v>1</v>
      </c>
    </row>
    <row r="4315" spans="1:6">
      <c r="A4315" s="30">
        <f t="shared" si="142"/>
        <v>47405</v>
      </c>
      <c r="B4315" s="32" t="s">
        <v>199</v>
      </c>
      <c r="C4315" t="s">
        <v>6</v>
      </c>
      <c r="D4315">
        <f>IF(B4315=$AB$2,$AC$2,$AC$3)</f>
        <v>1</v>
      </c>
      <c r="E4315">
        <f>IF(ISBLANK(C4315),0,VLOOKUP(C4315,$AE$2:$AF$7,2,0))</f>
        <v>1</v>
      </c>
      <c r="F4315">
        <f t="shared" si="143"/>
        <v>1</v>
      </c>
    </row>
    <row r="4316" spans="1:6">
      <c r="A4316" s="30">
        <f t="shared" si="142"/>
        <v>47406</v>
      </c>
      <c r="B4316" s="32" t="s">
        <v>199</v>
      </c>
      <c r="C4316" t="s">
        <v>6</v>
      </c>
      <c r="D4316">
        <f>IF(B4316=$AB$2,$AC$2,$AC$3)</f>
        <v>1</v>
      </c>
      <c r="E4316">
        <f>IF(ISBLANK(C4316),0,VLOOKUP(C4316,$AE$2:$AF$7,2,0))</f>
        <v>1</v>
      </c>
      <c r="F4316">
        <f t="shared" si="143"/>
        <v>1</v>
      </c>
    </row>
    <row r="4317" spans="1:6">
      <c r="A4317" s="30">
        <f t="shared" si="142"/>
        <v>47407</v>
      </c>
      <c r="B4317" s="32" t="s">
        <v>199</v>
      </c>
      <c r="C4317" t="s">
        <v>6</v>
      </c>
      <c r="D4317">
        <f>IF(B4317=$AB$2,$AC$2,$AC$3)</f>
        <v>1</v>
      </c>
      <c r="E4317">
        <f>IF(ISBLANK(C4317),0,VLOOKUP(C4317,$AE$2:$AF$7,2,0))</f>
        <v>1</v>
      </c>
      <c r="F4317">
        <f t="shared" si="143"/>
        <v>1</v>
      </c>
    </row>
    <row r="4318" spans="1:6">
      <c r="A4318" s="30">
        <f t="shared" si="142"/>
        <v>47408</v>
      </c>
      <c r="B4318" s="32" t="s">
        <v>199</v>
      </c>
      <c r="C4318" t="s">
        <v>6</v>
      </c>
      <c r="D4318">
        <f>IF(B4318=$AB$2,$AC$2,$AC$3)</f>
        <v>1</v>
      </c>
      <c r="E4318">
        <f>IF(ISBLANK(C4318),0,VLOOKUP(C4318,$AE$2:$AF$7,2,0))</f>
        <v>1</v>
      </c>
      <c r="F4318">
        <f t="shared" si="143"/>
        <v>1</v>
      </c>
    </row>
    <row r="4319" spans="1:6">
      <c r="A4319" s="30">
        <f t="shared" si="142"/>
        <v>47409</v>
      </c>
      <c r="B4319" s="32" t="s">
        <v>199</v>
      </c>
      <c r="C4319" t="s">
        <v>6</v>
      </c>
      <c r="D4319">
        <f>IF(B4319=$AB$2,$AC$2,$AC$3)</f>
        <v>1</v>
      </c>
      <c r="E4319">
        <f>IF(ISBLANK(C4319),0,VLOOKUP(C4319,$AE$2:$AF$7,2,0))</f>
        <v>1</v>
      </c>
      <c r="F4319">
        <f t="shared" si="143"/>
        <v>1</v>
      </c>
    </row>
    <row r="4320" spans="1:6">
      <c r="A4320" s="30">
        <f t="shared" si="142"/>
        <v>47410</v>
      </c>
      <c r="B4320" s="32" t="s">
        <v>199</v>
      </c>
      <c r="C4320" t="s">
        <v>6</v>
      </c>
      <c r="D4320">
        <f>IF(B4320=$AB$2,$AC$2,$AC$3)</f>
        <v>1</v>
      </c>
      <c r="E4320">
        <f>IF(ISBLANK(C4320),0,VLOOKUP(C4320,$AE$2:$AF$7,2,0))</f>
        <v>1</v>
      </c>
      <c r="F4320">
        <f t="shared" si="143"/>
        <v>1</v>
      </c>
    </row>
    <row r="4321" spans="1:6">
      <c r="A4321" s="30">
        <f t="shared" si="142"/>
        <v>47411</v>
      </c>
      <c r="B4321" s="32" t="s">
        <v>199</v>
      </c>
      <c r="C4321" t="s">
        <v>6</v>
      </c>
      <c r="D4321">
        <f>IF(B4321=$AB$2,$AC$2,$AC$3)</f>
        <v>1</v>
      </c>
      <c r="E4321">
        <f>IF(ISBLANK(C4321),0,VLOOKUP(C4321,$AE$2:$AF$7,2,0))</f>
        <v>1</v>
      </c>
      <c r="F4321">
        <f t="shared" si="143"/>
        <v>1</v>
      </c>
    </row>
    <row r="4322" spans="1:6">
      <c r="A4322" s="30">
        <f t="shared" si="142"/>
        <v>47412</v>
      </c>
      <c r="B4322" s="32" t="s">
        <v>199</v>
      </c>
      <c r="C4322" t="s">
        <v>6</v>
      </c>
      <c r="D4322">
        <f>IF(B4322=$AB$2,$AC$2,$AC$3)</f>
        <v>1</v>
      </c>
      <c r="E4322">
        <f>IF(ISBLANK(C4322),0,VLOOKUP(C4322,$AE$2:$AF$7,2,0))</f>
        <v>1</v>
      </c>
      <c r="F4322">
        <f t="shared" si="143"/>
        <v>1</v>
      </c>
    </row>
    <row r="4323" spans="1:6">
      <c r="A4323" s="30">
        <f t="shared" si="142"/>
        <v>47413</v>
      </c>
      <c r="B4323" s="32" t="s">
        <v>199</v>
      </c>
      <c r="C4323" t="s">
        <v>6</v>
      </c>
      <c r="D4323">
        <f>IF(B4323=$AB$2,$AC$2,$AC$3)</f>
        <v>1</v>
      </c>
      <c r="E4323">
        <f>IF(ISBLANK(C4323),0,VLOOKUP(C4323,$AE$2:$AF$7,2,0))</f>
        <v>1</v>
      </c>
      <c r="F4323">
        <f t="shared" si="143"/>
        <v>1</v>
      </c>
    </row>
    <row r="4324" spans="1:6">
      <c r="A4324" s="30">
        <f t="shared" si="142"/>
        <v>47414</v>
      </c>
      <c r="B4324" s="32" t="s">
        <v>199</v>
      </c>
      <c r="C4324" t="s">
        <v>6</v>
      </c>
      <c r="D4324">
        <f>IF(B4324=$AB$2,$AC$2,$AC$3)</f>
        <v>1</v>
      </c>
      <c r="E4324">
        <f>IF(ISBLANK(C4324),0,VLOOKUP(C4324,$AE$2:$AF$7,2,0))</f>
        <v>1</v>
      </c>
      <c r="F4324">
        <f t="shared" si="143"/>
        <v>1</v>
      </c>
    </row>
    <row r="4325" spans="1:6">
      <c r="A4325" s="30">
        <f t="shared" si="142"/>
        <v>47415</v>
      </c>
      <c r="B4325" s="32" t="s">
        <v>199</v>
      </c>
      <c r="C4325" t="s">
        <v>6</v>
      </c>
      <c r="D4325">
        <f>IF(B4325=$AB$2,$AC$2,$AC$3)</f>
        <v>1</v>
      </c>
      <c r="E4325">
        <f>IF(ISBLANK(C4325),0,VLOOKUP(C4325,$AE$2:$AF$7,2,0))</f>
        <v>1</v>
      </c>
      <c r="F4325">
        <f t="shared" si="143"/>
        <v>1</v>
      </c>
    </row>
    <row r="4326" spans="1:6">
      <c r="A4326" s="30">
        <f t="shared" si="142"/>
        <v>47416</v>
      </c>
      <c r="B4326" s="32" t="s">
        <v>199</v>
      </c>
      <c r="C4326" t="s">
        <v>6</v>
      </c>
      <c r="D4326">
        <f>IF(B4326=$AB$2,$AC$2,$AC$3)</f>
        <v>1</v>
      </c>
      <c r="E4326">
        <f>IF(ISBLANK(C4326),0,VLOOKUP(C4326,$AE$2:$AF$7,2,0))</f>
        <v>1</v>
      </c>
      <c r="F4326">
        <f t="shared" si="143"/>
        <v>1</v>
      </c>
    </row>
    <row r="4327" spans="1:6">
      <c r="A4327" s="30">
        <f t="shared" si="142"/>
        <v>47417</v>
      </c>
      <c r="B4327" s="32" t="s">
        <v>199</v>
      </c>
      <c r="C4327" t="s">
        <v>6</v>
      </c>
      <c r="D4327">
        <f>IF(B4327=$AB$2,$AC$2,$AC$3)</f>
        <v>1</v>
      </c>
      <c r="E4327">
        <f>IF(ISBLANK(C4327),0,VLOOKUP(C4327,$AE$2:$AF$7,2,0))</f>
        <v>1</v>
      </c>
      <c r="F4327">
        <f t="shared" si="143"/>
        <v>1</v>
      </c>
    </row>
    <row r="4328" spans="1:6">
      <c r="A4328" s="30">
        <f t="shared" si="142"/>
        <v>47418</v>
      </c>
      <c r="B4328" s="32" t="s">
        <v>199</v>
      </c>
      <c r="C4328" t="s">
        <v>6</v>
      </c>
      <c r="D4328">
        <f>IF(B4328=$AB$2,$AC$2,$AC$3)</f>
        <v>1</v>
      </c>
      <c r="E4328">
        <f>IF(ISBLANK(C4328),0,VLOOKUP(C4328,$AE$2:$AF$7,2,0))</f>
        <v>1</v>
      </c>
      <c r="F4328">
        <f t="shared" si="143"/>
        <v>1</v>
      </c>
    </row>
    <row r="4329" spans="1:6">
      <c r="A4329" s="30">
        <f t="shared" si="142"/>
        <v>47419</v>
      </c>
      <c r="B4329" s="32" t="s">
        <v>199</v>
      </c>
      <c r="C4329" t="s">
        <v>6</v>
      </c>
      <c r="D4329">
        <f>IF(B4329=$AB$2,$AC$2,$AC$3)</f>
        <v>1</v>
      </c>
      <c r="E4329">
        <f>IF(ISBLANK(C4329),0,VLOOKUP(C4329,$AE$2:$AF$7,2,0))</f>
        <v>1</v>
      </c>
      <c r="F4329">
        <f t="shared" si="143"/>
        <v>1</v>
      </c>
    </row>
    <row r="4330" spans="1:6">
      <c r="A4330" s="30">
        <f t="shared" si="142"/>
        <v>47420</v>
      </c>
      <c r="B4330" s="32" t="s">
        <v>199</v>
      </c>
      <c r="C4330" t="s">
        <v>6</v>
      </c>
      <c r="D4330">
        <f>IF(B4330=$AB$2,$AC$2,$AC$3)</f>
        <v>1</v>
      </c>
      <c r="E4330">
        <f>IF(ISBLANK(C4330),0,VLOOKUP(C4330,$AE$2:$AF$7,2,0))</f>
        <v>1</v>
      </c>
      <c r="F4330">
        <f t="shared" si="143"/>
        <v>1</v>
      </c>
    </row>
    <row r="4331" spans="1:6">
      <c r="A4331" s="30">
        <f t="shared" si="142"/>
        <v>47421</v>
      </c>
      <c r="B4331" s="32" t="s">
        <v>199</v>
      </c>
      <c r="C4331" t="s">
        <v>6</v>
      </c>
      <c r="D4331">
        <f>IF(B4331=$AB$2,$AC$2,$AC$3)</f>
        <v>1</v>
      </c>
      <c r="E4331">
        <f>IF(ISBLANK(C4331),0,VLOOKUP(C4331,$AE$2:$AF$7,2,0))</f>
        <v>1</v>
      </c>
      <c r="F4331">
        <f t="shared" si="143"/>
        <v>1</v>
      </c>
    </row>
    <row r="4332" spans="1:6">
      <c r="A4332" s="30">
        <f t="shared" si="142"/>
        <v>47422</v>
      </c>
      <c r="B4332" s="32" t="s">
        <v>199</v>
      </c>
      <c r="C4332" t="s">
        <v>6</v>
      </c>
      <c r="D4332">
        <f>IF(B4332=$AB$2,$AC$2,$AC$3)</f>
        <v>1</v>
      </c>
      <c r="E4332">
        <f>IF(ISBLANK(C4332),0,VLOOKUP(C4332,$AE$2:$AF$7,2,0))</f>
        <v>1</v>
      </c>
      <c r="F4332">
        <f t="shared" si="143"/>
        <v>1</v>
      </c>
    </row>
    <row r="4333" spans="1:6">
      <c r="A4333" s="30">
        <f t="shared" si="142"/>
        <v>47423</v>
      </c>
      <c r="B4333" s="32" t="s">
        <v>199</v>
      </c>
      <c r="C4333" t="s">
        <v>6</v>
      </c>
      <c r="D4333">
        <f>IF(B4333=$AB$2,$AC$2,$AC$3)</f>
        <v>1</v>
      </c>
      <c r="E4333">
        <f>IF(ISBLANK(C4333),0,VLOOKUP(C4333,$AE$2:$AF$7,2,0))</f>
        <v>1</v>
      </c>
      <c r="F4333">
        <f t="shared" si="143"/>
        <v>1</v>
      </c>
    </row>
    <row r="4334" spans="1:6">
      <c r="A4334" s="30">
        <f t="shared" si="142"/>
        <v>47424</v>
      </c>
      <c r="B4334" s="32" t="s">
        <v>199</v>
      </c>
      <c r="C4334" t="s">
        <v>6</v>
      </c>
      <c r="D4334">
        <f>IF(B4334=$AB$2,$AC$2,$AC$3)</f>
        <v>1</v>
      </c>
      <c r="E4334">
        <f>IF(ISBLANK(C4334),0,VLOOKUP(C4334,$AE$2:$AF$7,2,0))</f>
        <v>1</v>
      </c>
      <c r="F4334">
        <f t="shared" si="143"/>
        <v>1</v>
      </c>
    </row>
    <row r="4335" spans="1:6">
      <c r="A4335" s="30">
        <f>A4334+1</f>
        <v>47425</v>
      </c>
      <c r="B4335" s="32" t="s">
        <v>199</v>
      </c>
      <c r="C4335" t="s">
        <v>6</v>
      </c>
      <c r="D4335">
        <f>IF(B4335=$AB$2,$AC$2,$AC$3)</f>
        <v>1</v>
      </c>
      <c r="E4335">
        <f>IF(ISBLANK(C4335),0,VLOOKUP(C4335,$AE$2:$AF$7,2,0))</f>
        <v>1</v>
      </c>
      <c r="F4335">
        <f t="shared" si="143"/>
        <v>1</v>
      </c>
    </row>
    <row r="4336" spans="1:6">
      <c r="A4336" s="30">
        <f t="shared" ref="A4336:A4399" si="144">A4335+1</f>
        <v>47426</v>
      </c>
      <c r="B4336" s="32" t="s">
        <v>199</v>
      </c>
      <c r="C4336" t="s">
        <v>6</v>
      </c>
      <c r="D4336">
        <f>IF(B4336=$AB$2,$AC$2,$AC$3)</f>
        <v>1</v>
      </c>
      <c r="E4336">
        <f>IF(ISBLANK(C4336),0,VLOOKUP(C4336,$AE$2:$AF$7,2,0))</f>
        <v>1</v>
      </c>
      <c r="F4336">
        <f t="shared" si="143"/>
        <v>1</v>
      </c>
    </row>
    <row r="4337" spans="1:6">
      <c r="A4337" s="30">
        <f t="shared" si="144"/>
        <v>47427</v>
      </c>
      <c r="B4337" s="32" t="s">
        <v>199</v>
      </c>
      <c r="C4337" t="s">
        <v>6</v>
      </c>
      <c r="D4337">
        <f>IF(B4337=$AB$2,$AC$2,$AC$3)</f>
        <v>1</v>
      </c>
      <c r="E4337">
        <f>IF(ISBLANK(C4337),0,VLOOKUP(C4337,$AE$2:$AF$7,2,0))</f>
        <v>1</v>
      </c>
      <c r="F4337">
        <f t="shared" si="143"/>
        <v>1</v>
      </c>
    </row>
    <row r="4338" spans="1:6">
      <c r="A4338" s="30">
        <f t="shared" si="144"/>
        <v>47428</v>
      </c>
      <c r="B4338" s="32" t="s">
        <v>199</v>
      </c>
      <c r="C4338" t="s">
        <v>6</v>
      </c>
      <c r="D4338">
        <f>IF(B4338=$AB$2,$AC$2,$AC$3)</f>
        <v>1</v>
      </c>
      <c r="E4338">
        <f>IF(ISBLANK(C4338),0,VLOOKUP(C4338,$AE$2:$AF$7,2,0))</f>
        <v>1</v>
      </c>
      <c r="F4338">
        <f t="shared" si="143"/>
        <v>1</v>
      </c>
    </row>
    <row r="4339" spans="1:6">
      <c r="A4339" s="30">
        <f t="shared" si="144"/>
        <v>47429</v>
      </c>
      <c r="B4339" s="32" t="s">
        <v>199</v>
      </c>
      <c r="C4339" t="s">
        <v>6</v>
      </c>
      <c r="D4339">
        <f>IF(B4339=$AB$2,$AC$2,$AC$3)</f>
        <v>1</v>
      </c>
      <c r="E4339">
        <f>IF(ISBLANK(C4339),0,VLOOKUP(C4339,$AE$2:$AF$7,2,0))</f>
        <v>1</v>
      </c>
      <c r="F4339">
        <f t="shared" si="143"/>
        <v>1</v>
      </c>
    </row>
    <row r="4340" spans="1:6">
      <c r="A4340" s="30">
        <f t="shared" si="144"/>
        <v>47430</v>
      </c>
      <c r="B4340" s="32" t="s">
        <v>199</v>
      </c>
      <c r="C4340" t="s">
        <v>6</v>
      </c>
      <c r="D4340">
        <f>IF(B4340=$AB$2,$AC$2,$AC$3)</f>
        <v>1</v>
      </c>
      <c r="E4340">
        <f>IF(ISBLANK(C4340),0,VLOOKUP(C4340,$AE$2:$AF$7,2,0))</f>
        <v>1</v>
      </c>
      <c r="F4340">
        <f t="shared" si="143"/>
        <v>1</v>
      </c>
    </row>
    <row r="4341" spans="1:6">
      <c r="A4341" s="30">
        <f t="shared" si="144"/>
        <v>47431</v>
      </c>
      <c r="B4341" s="32" t="s">
        <v>199</v>
      </c>
      <c r="C4341" t="s">
        <v>6</v>
      </c>
      <c r="D4341">
        <f>IF(B4341=$AB$2,$AC$2,$AC$3)</f>
        <v>1</v>
      </c>
      <c r="E4341">
        <f>IF(ISBLANK(C4341),0,VLOOKUP(C4341,$AE$2:$AF$7,2,0))</f>
        <v>1</v>
      </c>
      <c r="F4341">
        <f t="shared" si="143"/>
        <v>1</v>
      </c>
    </row>
    <row r="4342" spans="1:6">
      <c r="A4342" s="30">
        <f t="shared" si="144"/>
        <v>47432</v>
      </c>
      <c r="B4342" s="32" t="s">
        <v>199</v>
      </c>
      <c r="C4342" t="s">
        <v>6</v>
      </c>
      <c r="D4342">
        <f>IF(B4342=$AB$2,$AC$2,$AC$3)</f>
        <v>1</v>
      </c>
      <c r="E4342">
        <f>IF(ISBLANK(C4342),0,VLOOKUP(C4342,$AE$2:$AF$7,2,0))</f>
        <v>1</v>
      </c>
      <c r="F4342">
        <f t="shared" si="143"/>
        <v>1</v>
      </c>
    </row>
    <row r="4343" spans="1:6">
      <c r="A4343" s="30">
        <f t="shared" si="144"/>
        <v>47433</v>
      </c>
      <c r="B4343" s="32" t="s">
        <v>199</v>
      </c>
      <c r="C4343" t="s">
        <v>6</v>
      </c>
      <c r="D4343">
        <f>IF(B4343=$AB$2,$AC$2,$AC$3)</f>
        <v>1</v>
      </c>
      <c r="E4343">
        <f>IF(ISBLANK(C4343),0,VLOOKUP(C4343,$AE$2:$AF$7,2,0))</f>
        <v>1</v>
      </c>
      <c r="F4343">
        <f t="shared" si="143"/>
        <v>1</v>
      </c>
    </row>
    <row r="4344" spans="1:6">
      <c r="A4344" s="30">
        <f t="shared" si="144"/>
        <v>47434</v>
      </c>
      <c r="B4344" s="32" t="s">
        <v>199</v>
      </c>
      <c r="C4344" t="s">
        <v>6</v>
      </c>
      <c r="D4344">
        <f>IF(B4344=$AB$2,$AC$2,$AC$3)</f>
        <v>1</v>
      </c>
      <c r="E4344">
        <f>IF(ISBLANK(C4344),0,VLOOKUP(C4344,$AE$2:$AF$7,2,0))</f>
        <v>1</v>
      </c>
      <c r="F4344">
        <f t="shared" si="143"/>
        <v>1</v>
      </c>
    </row>
    <row r="4345" spans="1:6">
      <c r="A4345" s="30">
        <f t="shared" si="144"/>
        <v>47435</v>
      </c>
      <c r="B4345" s="32" t="s">
        <v>199</v>
      </c>
      <c r="C4345" t="s">
        <v>6</v>
      </c>
      <c r="D4345">
        <f>IF(B4345=$AB$2,$AC$2,$AC$3)</f>
        <v>1</v>
      </c>
      <c r="E4345">
        <f>IF(ISBLANK(C4345),0,VLOOKUP(C4345,$AE$2:$AF$7,2,0))</f>
        <v>1</v>
      </c>
      <c r="F4345">
        <f t="shared" si="143"/>
        <v>1</v>
      </c>
    </row>
    <row r="4346" spans="1:6">
      <c r="A4346" s="30">
        <f t="shared" si="144"/>
        <v>47436</v>
      </c>
      <c r="B4346" s="32" t="s">
        <v>199</v>
      </c>
      <c r="C4346" t="s">
        <v>6</v>
      </c>
      <c r="D4346">
        <f>IF(B4346=$AB$2,$AC$2,$AC$3)</f>
        <v>1</v>
      </c>
      <c r="E4346">
        <f>IF(ISBLANK(C4346),0,VLOOKUP(C4346,$AE$2:$AF$7,2,0))</f>
        <v>1</v>
      </c>
      <c r="F4346">
        <f t="shared" si="143"/>
        <v>1</v>
      </c>
    </row>
    <row r="4347" spans="1:6">
      <c r="A4347" s="30">
        <f t="shared" si="144"/>
        <v>47437</v>
      </c>
      <c r="B4347" s="32" t="s">
        <v>199</v>
      </c>
      <c r="C4347" t="s">
        <v>6</v>
      </c>
      <c r="D4347">
        <f>IF(B4347=$AB$2,$AC$2,$AC$3)</f>
        <v>1</v>
      </c>
      <c r="E4347">
        <f>IF(ISBLANK(C4347),0,VLOOKUP(C4347,$AE$2:$AF$7,2,0))</f>
        <v>1</v>
      </c>
      <c r="F4347">
        <f t="shared" si="143"/>
        <v>1</v>
      </c>
    </row>
    <row r="4348" spans="1:6">
      <c r="A4348" s="30">
        <f t="shared" si="144"/>
        <v>47438</v>
      </c>
      <c r="B4348" s="32" t="s">
        <v>199</v>
      </c>
      <c r="C4348" t="s">
        <v>6</v>
      </c>
      <c r="D4348">
        <f>IF(B4348=$AB$2,$AC$2,$AC$3)</f>
        <v>1</v>
      </c>
      <c r="E4348">
        <f>IF(ISBLANK(C4348),0,VLOOKUP(C4348,$AE$2:$AF$7,2,0))</f>
        <v>1</v>
      </c>
      <c r="F4348">
        <f t="shared" si="143"/>
        <v>1</v>
      </c>
    </row>
    <row r="4349" spans="1:6">
      <c r="A4349" s="30">
        <f t="shared" si="144"/>
        <v>47439</v>
      </c>
      <c r="B4349" s="32" t="s">
        <v>199</v>
      </c>
      <c r="C4349" t="s">
        <v>6</v>
      </c>
      <c r="D4349">
        <f>IF(B4349=$AB$2,$AC$2,$AC$3)</f>
        <v>1</v>
      </c>
      <c r="E4349">
        <f>IF(ISBLANK(C4349),0,VLOOKUP(C4349,$AE$2:$AF$7,2,0))</f>
        <v>1</v>
      </c>
      <c r="F4349">
        <f t="shared" si="143"/>
        <v>1</v>
      </c>
    </row>
    <row r="4350" spans="1:6">
      <c r="A4350" s="30">
        <f t="shared" si="144"/>
        <v>47440</v>
      </c>
      <c r="B4350" s="32" t="s">
        <v>199</v>
      </c>
      <c r="C4350" t="s">
        <v>6</v>
      </c>
      <c r="D4350">
        <f>IF(B4350=$AB$2,$AC$2,$AC$3)</f>
        <v>1</v>
      </c>
      <c r="E4350">
        <f>IF(ISBLANK(C4350),0,VLOOKUP(C4350,$AE$2:$AF$7,2,0))</f>
        <v>1</v>
      </c>
      <c r="F4350">
        <f t="shared" si="143"/>
        <v>1</v>
      </c>
    </row>
    <row r="4351" spans="1:6">
      <c r="A4351" s="30">
        <f t="shared" si="144"/>
        <v>47441</v>
      </c>
      <c r="B4351" s="32" t="s">
        <v>199</v>
      </c>
      <c r="C4351" t="s">
        <v>6</v>
      </c>
      <c r="D4351">
        <f>IF(B4351=$AB$2,$AC$2,$AC$3)</f>
        <v>1</v>
      </c>
      <c r="E4351">
        <f>IF(ISBLANK(C4351),0,VLOOKUP(C4351,$AE$2:$AF$7,2,0))</f>
        <v>1</v>
      </c>
      <c r="F4351">
        <f t="shared" si="143"/>
        <v>1</v>
      </c>
    </row>
    <row r="4352" spans="1:6">
      <c r="A4352" s="30">
        <f t="shared" si="144"/>
        <v>47442</v>
      </c>
      <c r="B4352" s="32" t="s">
        <v>199</v>
      </c>
      <c r="C4352" t="s">
        <v>6</v>
      </c>
      <c r="D4352">
        <f>IF(B4352=$AB$2,$AC$2,$AC$3)</f>
        <v>1</v>
      </c>
      <c r="E4352">
        <f>IF(ISBLANK(C4352),0,VLOOKUP(C4352,$AE$2:$AF$7,2,0))</f>
        <v>1</v>
      </c>
      <c r="F4352">
        <f t="shared" si="143"/>
        <v>1</v>
      </c>
    </row>
    <row r="4353" spans="1:6">
      <c r="A4353" s="30">
        <f t="shared" si="144"/>
        <v>47443</v>
      </c>
      <c r="B4353" s="32" t="s">
        <v>199</v>
      </c>
      <c r="C4353" t="s">
        <v>6</v>
      </c>
      <c r="D4353">
        <f>IF(B4353=$AB$2,$AC$2,$AC$3)</f>
        <v>1</v>
      </c>
      <c r="E4353">
        <f>IF(ISBLANK(C4353),0,VLOOKUP(C4353,$AE$2:$AF$7,2,0))</f>
        <v>1</v>
      </c>
      <c r="F4353">
        <f t="shared" si="143"/>
        <v>1</v>
      </c>
    </row>
    <row r="4354" spans="1:6">
      <c r="A4354" s="30">
        <f t="shared" si="144"/>
        <v>47444</v>
      </c>
      <c r="B4354" s="32" t="s">
        <v>199</v>
      </c>
      <c r="C4354" t="s">
        <v>6</v>
      </c>
      <c r="D4354">
        <f>IF(B4354=$AB$2,$AC$2,$AC$3)</f>
        <v>1</v>
      </c>
      <c r="E4354">
        <f>IF(ISBLANK(C4354),0,VLOOKUP(C4354,$AE$2:$AF$7,2,0))</f>
        <v>1</v>
      </c>
      <c r="F4354">
        <f t="shared" si="143"/>
        <v>1</v>
      </c>
    </row>
    <row r="4355" spans="1:6">
      <c r="A4355" s="30">
        <f t="shared" si="144"/>
        <v>47445</v>
      </c>
      <c r="B4355" s="32" t="s">
        <v>199</v>
      </c>
      <c r="C4355" t="s">
        <v>6</v>
      </c>
      <c r="D4355">
        <f>IF(B4355=$AB$2,$AC$2,$AC$3)</f>
        <v>1</v>
      </c>
      <c r="E4355">
        <f>IF(ISBLANK(C4355),0,VLOOKUP(C4355,$AE$2:$AF$7,2,0))</f>
        <v>1</v>
      </c>
      <c r="F4355">
        <f t="shared" ref="F4355:F4418" si="145">D4355*E4355</f>
        <v>1</v>
      </c>
    </row>
    <row r="4356" spans="1:6">
      <c r="A4356" s="30">
        <f t="shared" si="144"/>
        <v>47446</v>
      </c>
      <c r="B4356" s="32" t="s">
        <v>199</v>
      </c>
      <c r="C4356" t="s">
        <v>6</v>
      </c>
      <c r="D4356">
        <f>IF(B4356=$AB$2,$AC$2,$AC$3)</f>
        <v>1</v>
      </c>
      <c r="E4356">
        <f>IF(ISBLANK(C4356),0,VLOOKUP(C4356,$AE$2:$AF$7,2,0))</f>
        <v>1</v>
      </c>
      <c r="F4356">
        <f t="shared" si="145"/>
        <v>1</v>
      </c>
    </row>
    <row r="4357" spans="1:6">
      <c r="A4357" s="30">
        <f t="shared" si="144"/>
        <v>47447</v>
      </c>
      <c r="B4357" s="32" t="s">
        <v>199</v>
      </c>
      <c r="C4357" t="s">
        <v>6</v>
      </c>
      <c r="D4357">
        <f>IF(B4357=$AB$2,$AC$2,$AC$3)</f>
        <v>1</v>
      </c>
      <c r="E4357">
        <f>IF(ISBLANK(C4357),0,VLOOKUP(C4357,$AE$2:$AF$7,2,0))</f>
        <v>1</v>
      </c>
      <c r="F4357">
        <f t="shared" si="145"/>
        <v>1</v>
      </c>
    </row>
    <row r="4358" spans="1:6">
      <c r="A4358" s="30">
        <f t="shared" si="144"/>
        <v>47448</v>
      </c>
      <c r="B4358" s="32" t="s">
        <v>199</v>
      </c>
      <c r="C4358" t="s">
        <v>6</v>
      </c>
      <c r="D4358">
        <f>IF(B4358=$AB$2,$AC$2,$AC$3)</f>
        <v>1</v>
      </c>
      <c r="E4358">
        <f>IF(ISBLANK(C4358),0,VLOOKUP(C4358,$AE$2:$AF$7,2,0))</f>
        <v>1</v>
      </c>
      <c r="F4358">
        <f t="shared" si="145"/>
        <v>1</v>
      </c>
    </row>
    <row r="4359" spans="1:6">
      <c r="A4359" s="30">
        <f t="shared" si="144"/>
        <v>47449</v>
      </c>
      <c r="B4359" s="32" t="s">
        <v>199</v>
      </c>
      <c r="C4359" t="s">
        <v>6</v>
      </c>
      <c r="D4359">
        <f>IF(B4359=$AB$2,$AC$2,$AC$3)</f>
        <v>1</v>
      </c>
      <c r="E4359">
        <f>IF(ISBLANK(C4359),0,VLOOKUP(C4359,$AE$2:$AF$7,2,0))</f>
        <v>1</v>
      </c>
      <c r="F4359">
        <f t="shared" si="145"/>
        <v>1</v>
      </c>
    </row>
    <row r="4360" spans="1:6">
      <c r="A4360" s="30">
        <f t="shared" si="144"/>
        <v>47450</v>
      </c>
      <c r="B4360" s="32" t="s">
        <v>199</v>
      </c>
      <c r="C4360" t="s">
        <v>6</v>
      </c>
      <c r="D4360">
        <f>IF(B4360=$AB$2,$AC$2,$AC$3)</f>
        <v>1</v>
      </c>
      <c r="E4360">
        <f>IF(ISBLANK(C4360),0,VLOOKUP(C4360,$AE$2:$AF$7,2,0))</f>
        <v>1</v>
      </c>
      <c r="F4360">
        <f t="shared" si="145"/>
        <v>1</v>
      </c>
    </row>
    <row r="4361" spans="1:6">
      <c r="A4361" s="30">
        <f t="shared" si="144"/>
        <v>47451</v>
      </c>
      <c r="B4361" s="32" t="s">
        <v>199</v>
      </c>
      <c r="C4361" t="s">
        <v>6</v>
      </c>
      <c r="D4361">
        <f>IF(B4361=$AB$2,$AC$2,$AC$3)</f>
        <v>1</v>
      </c>
      <c r="E4361">
        <f>IF(ISBLANK(C4361),0,VLOOKUP(C4361,$AE$2:$AF$7,2,0))</f>
        <v>1</v>
      </c>
      <c r="F4361">
        <f t="shared" si="145"/>
        <v>1</v>
      </c>
    </row>
    <row r="4362" spans="1:6">
      <c r="A4362" s="30">
        <f t="shared" si="144"/>
        <v>47452</v>
      </c>
      <c r="B4362" s="32" t="s">
        <v>199</v>
      </c>
      <c r="C4362" t="s">
        <v>6</v>
      </c>
      <c r="D4362">
        <f>IF(B4362=$AB$2,$AC$2,$AC$3)</f>
        <v>1</v>
      </c>
      <c r="E4362">
        <f>IF(ISBLANK(C4362),0,VLOOKUP(C4362,$AE$2:$AF$7,2,0))</f>
        <v>1</v>
      </c>
      <c r="F4362">
        <f t="shared" si="145"/>
        <v>1</v>
      </c>
    </row>
    <row r="4363" spans="1:6">
      <c r="A4363" s="30">
        <f t="shared" si="144"/>
        <v>47453</v>
      </c>
      <c r="B4363" s="32" t="s">
        <v>199</v>
      </c>
      <c r="C4363" t="s">
        <v>6</v>
      </c>
      <c r="D4363">
        <f>IF(B4363=$AB$2,$AC$2,$AC$3)</f>
        <v>1</v>
      </c>
      <c r="E4363">
        <f>IF(ISBLANK(C4363),0,VLOOKUP(C4363,$AE$2:$AF$7,2,0))</f>
        <v>1</v>
      </c>
      <c r="F4363">
        <f t="shared" si="145"/>
        <v>1</v>
      </c>
    </row>
    <row r="4364" spans="1:6">
      <c r="A4364" s="30">
        <f t="shared" si="144"/>
        <v>47454</v>
      </c>
      <c r="B4364" s="32" t="s">
        <v>199</v>
      </c>
      <c r="C4364" t="s">
        <v>6</v>
      </c>
      <c r="D4364">
        <f>IF(B4364=$AB$2,$AC$2,$AC$3)</f>
        <v>1</v>
      </c>
      <c r="E4364">
        <f>IF(ISBLANK(C4364),0,VLOOKUP(C4364,$AE$2:$AF$7,2,0))</f>
        <v>1</v>
      </c>
      <c r="F4364">
        <f t="shared" si="145"/>
        <v>1</v>
      </c>
    </row>
    <row r="4365" spans="1:6">
      <c r="A4365" s="30">
        <f t="shared" si="144"/>
        <v>47455</v>
      </c>
      <c r="B4365" s="32" t="s">
        <v>199</v>
      </c>
      <c r="C4365" t="s">
        <v>6</v>
      </c>
      <c r="D4365">
        <f>IF(B4365=$AB$2,$AC$2,$AC$3)</f>
        <v>1</v>
      </c>
      <c r="E4365">
        <f>IF(ISBLANK(C4365),0,VLOOKUP(C4365,$AE$2:$AF$7,2,0))</f>
        <v>1</v>
      </c>
      <c r="F4365">
        <f t="shared" si="145"/>
        <v>1</v>
      </c>
    </row>
    <row r="4366" spans="1:6">
      <c r="A4366" s="30">
        <f t="shared" si="144"/>
        <v>47456</v>
      </c>
      <c r="B4366" s="32" t="s">
        <v>199</v>
      </c>
      <c r="C4366" t="s">
        <v>6</v>
      </c>
      <c r="D4366">
        <f>IF(B4366=$AB$2,$AC$2,$AC$3)</f>
        <v>1</v>
      </c>
      <c r="E4366">
        <f>IF(ISBLANK(C4366),0,VLOOKUP(C4366,$AE$2:$AF$7,2,0))</f>
        <v>1</v>
      </c>
      <c r="F4366">
        <f t="shared" si="145"/>
        <v>1</v>
      </c>
    </row>
    <row r="4367" spans="1:6">
      <c r="A4367" s="30">
        <f t="shared" si="144"/>
        <v>47457</v>
      </c>
      <c r="B4367" s="32" t="s">
        <v>199</v>
      </c>
      <c r="C4367" t="s">
        <v>6</v>
      </c>
      <c r="D4367">
        <f>IF(B4367=$AB$2,$AC$2,$AC$3)</f>
        <v>1</v>
      </c>
      <c r="E4367">
        <f>IF(ISBLANK(C4367),0,VLOOKUP(C4367,$AE$2:$AF$7,2,0))</f>
        <v>1</v>
      </c>
      <c r="F4367">
        <f t="shared" si="145"/>
        <v>1</v>
      </c>
    </row>
    <row r="4368" spans="1:6">
      <c r="A4368" s="30">
        <f t="shared" si="144"/>
        <v>47458</v>
      </c>
      <c r="B4368" s="32" t="s">
        <v>199</v>
      </c>
      <c r="C4368" t="s">
        <v>6</v>
      </c>
      <c r="D4368">
        <f>IF(B4368=$AB$2,$AC$2,$AC$3)</f>
        <v>1</v>
      </c>
      <c r="E4368">
        <f>IF(ISBLANK(C4368),0,VLOOKUP(C4368,$AE$2:$AF$7,2,0))</f>
        <v>1</v>
      </c>
      <c r="F4368">
        <f t="shared" si="145"/>
        <v>1</v>
      </c>
    </row>
    <row r="4369" spans="1:6">
      <c r="A4369" s="30">
        <f t="shared" si="144"/>
        <v>47459</v>
      </c>
      <c r="B4369" s="32" t="s">
        <v>199</v>
      </c>
      <c r="C4369" t="s">
        <v>6</v>
      </c>
      <c r="D4369">
        <f>IF(B4369=$AB$2,$AC$2,$AC$3)</f>
        <v>1</v>
      </c>
      <c r="E4369">
        <f>IF(ISBLANK(C4369),0,VLOOKUP(C4369,$AE$2:$AF$7,2,0))</f>
        <v>1</v>
      </c>
      <c r="F4369">
        <f t="shared" si="145"/>
        <v>1</v>
      </c>
    </row>
    <row r="4370" spans="1:6">
      <c r="A4370" s="30">
        <f t="shared" si="144"/>
        <v>47460</v>
      </c>
      <c r="B4370" s="32" t="s">
        <v>199</v>
      </c>
      <c r="C4370" t="s">
        <v>6</v>
      </c>
      <c r="D4370">
        <f>IF(B4370=$AB$2,$AC$2,$AC$3)</f>
        <v>1</v>
      </c>
      <c r="E4370">
        <f>IF(ISBLANK(C4370),0,VLOOKUP(C4370,$AE$2:$AF$7,2,0))</f>
        <v>1</v>
      </c>
      <c r="F4370">
        <f t="shared" si="145"/>
        <v>1</v>
      </c>
    </row>
    <row r="4371" spans="1:6">
      <c r="A4371" s="30">
        <f t="shared" si="144"/>
        <v>47461</v>
      </c>
      <c r="B4371" s="32" t="s">
        <v>199</v>
      </c>
      <c r="C4371" t="s">
        <v>6</v>
      </c>
      <c r="D4371">
        <f>IF(B4371=$AB$2,$AC$2,$AC$3)</f>
        <v>1</v>
      </c>
      <c r="E4371">
        <f>IF(ISBLANK(C4371),0,VLOOKUP(C4371,$AE$2:$AF$7,2,0))</f>
        <v>1</v>
      </c>
      <c r="F4371">
        <f t="shared" si="145"/>
        <v>1</v>
      </c>
    </row>
    <row r="4372" spans="1:6">
      <c r="A4372" s="30">
        <f t="shared" si="144"/>
        <v>47462</v>
      </c>
      <c r="B4372" s="32" t="s">
        <v>199</v>
      </c>
      <c r="C4372" t="s">
        <v>6</v>
      </c>
      <c r="D4372">
        <f>IF(B4372=$AB$2,$AC$2,$AC$3)</f>
        <v>1</v>
      </c>
      <c r="E4372">
        <f>IF(ISBLANK(C4372),0,VLOOKUP(C4372,$AE$2:$AF$7,2,0))</f>
        <v>1</v>
      </c>
      <c r="F4372">
        <f t="shared" si="145"/>
        <v>1</v>
      </c>
    </row>
    <row r="4373" spans="1:6">
      <c r="A4373" s="30">
        <f t="shared" si="144"/>
        <v>47463</v>
      </c>
      <c r="B4373" s="32" t="s">
        <v>199</v>
      </c>
      <c r="C4373" t="s">
        <v>6</v>
      </c>
      <c r="D4373">
        <f>IF(B4373=$AB$2,$AC$2,$AC$3)</f>
        <v>1</v>
      </c>
      <c r="E4373">
        <f>IF(ISBLANK(C4373),0,VLOOKUP(C4373,$AE$2:$AF$7,2,0))</f>
        <v>1</v>
      </c>
      <c r="F4373">
        <f t="shared" si="145"/>
        <v>1</v>
      </c>
    </row>
    <row r="4374" spans="1:6">
      <c r="A4374" s="30">
        <f t="shared" si="144"/>
        <v>47464</v>
      </c>
      <c r="B4374" s="32" t="s">
        <v>199</v>
      </c>
      <c r="C4374" t="s">
        <v>6</v>
      </c>
      <c r="D4374">
        <f>IF(B4374=$AB$2,$AC$2,$AC$3)</f>
        <v>1</v>
      </c>
      <c r="E4374">
        <f>IF(ISBLANK(C4374),0,VLOOKUP(C4374,$AE$2:$AF$7,2,0))</f>
        <v>1</v>
      </c>
      <c r="F4374">
        <f t="shared" si="145"/>
        <v>1</v>
      </c>
    </row>
    <row r="4375" spans="1:6">
      <c r="A4375" s="30">
        <f t="shared" si="144"/>
        <v>47465</v>
      </c>
      <c r="B4375" s="32" t="s">
        <v>199</v>
      </c>
      <c r="C4375" t="s">
        <v>6</v>
      </c>
      <c r="D4375">
        <f>IF(B4375=$AB$2,$AC$2,$AC$3)</f>
        <v>1</v>
      </c>
      <c r="E4375">
        <f>IF(ISBLANK(C4375),0,VLOOKUP(C4375,$AE$2:$AF$7,2,0))</f>
        <v>1</v>
      </c>
      <c r="F4375">
        <f t="shared" si="145"/>
        <v>1</v>
      </c>
    </row>
    <row r="4376" spans="1:6">
      <c r="A4376" s="30">
        <f t="shared" si="144"/>
        <v>47466</v>
      </c>
      <c r="B4376" s="32" t="s">
        <v>199</v>
      </c>
      <c r="C4376" t="s">
        <v>6</v>
      </c>
      <c r="D4376">
        <f>IF(B4376=$AB$2,$AC$2,$AC$3)</f>
        <v>1</v>
      </c>
      <c r="E4376">
        <f>IF(ISBLANK(C4376),0,VLOOKUP(C4376,$AE$2:$AF$7,2,0))</f>
        <v>1</v>
      </c>
      <c r="F4376">
        <f t="shared" si="145"/>
        <v>1</v>
      </c>
    </row>
    <row r="4377" spans="1:6">
      <c r="A4377" s="30">
        <f t="shared" si="144"/>
        <v>47467</v>
      </c>
      <c r="B4377" s="32" t="s">
        <v>199</v>
      </c>
      <c r="C4377" t="s">
        <v>6</v>
      </c>
      <c r="D4377">
        <f>IF(B4377=$AB$2,$AC$2,$AC$3)</f>
        <v>1</v>
      </c>
      <c r="E4377">
        <f>IF(ISBLANK(C4377),0,VLOOKUP(C4377,$AE$2:$AF$7,2,0))</f>
        <v>1</v>
      </c>
      <c r="F4377">
        <f t="shared" si="145"/>
        <v>1</v>
      </c>
    </row>
    <row r="4378" spans="1:6">
      <c r="A4378" s="30">
        <f t="shared" si="144"/>
        <v>47468</v>
      </c>
      <c r="B4378" s="32" t="s">
        <v>199</v>
      </c>
      <c r="C4378" t="s">
        <v>6</v>
      </c>
      <c r="D4378">
        <f>IF(B4378=$AB$2,$AC$2,$AC$3)</f>
        <v>1</v>
      </c>
      <c r="E4378">
        <f>IF(ISBLANK(C4378),0,VLOOKUP(C4378,$AE$2:$AF$7,2,0))</f>
        <v>1</v>
      </c>
      <c r="F4378">
        <f t="shared" si="145"/>
        <v>1</v>
      </c>
    </row>
    <row r="4379" spans="1:6">
      <c r="A4379" s="30">
        <f t="shared" si="144"/>
        <v>47469</v>
      </c>
      <c r="B4379" s="32" t="s">
        <v>199</v>
      </c>
      <c r="C4379" t="s">
        <v>6</v>
      </c>
      <c r="D4379">
        <f>IF(B4379=$AB$2,$AC$2,$AC$3)</f>
        <v>1</v>
      </c>
      <c r="E4379">
        <f>IF(ISBLANK(C4379),0,VLOOKUP(C4379,$AE$2:$AF$7,2,0))</f>
        <v>1</v>
      </c>
      <c r="F4379">
        <f t="shared" si="145"/>
        <v>1</v>
      </c>
    </row>
    <row r="4380" spans="1:6">
      <c r="A4380" s="30">
        <f t="shared" si="144"/>
        <v>47470</v>
      </c>
      <c r="B4380" s="32" t="s">
        <v>199</v>
      </c>
      <c r="C4380" t="s">
        <v>6</v>
      </c>
      <c r="D4380">
        <f>IF(B4380=$AB$2,$AC$2,$AC$3)</f>
        <v>1</v>
      </c>
      <c r="E4380">
        <f>IF(ISBLANK(C4380),0,VLOOKUP(C4380,$AE$2:$AF$7,2,0))</f>
        <v>1</v>
      </c>
      <c r="F4380">
        <f t="shared" si="145"/>
        <v>1</v>
      </c>
    </row>
    <row r="4381" spans="1:6">
      <c r="A4381" s="30">
        <f t="shared" si="144"/>
        <v>47471</v>
      </c>
      <c r="B4381" s="32" t="s">
        <v>199</v>
      </c>
      <c r="C4381" t="s">
        <v>6</v>
      </c>
      <c r="D4381">
        <f>IF(B4381=$AB$2,$AC$2,$AC$3)</f>
        <v>1</v>
      </c>
      <c r="E4381">
        <f>IF(ISBLANK(C4381),0,VLOOKUP(C4381,$AE$2:$AF$7,2,0))</f>
        <v>1</v>
      </c>
      <c r="F4381">
        <f t="shared" si="145"/>
        <v>1</v>
      </c>
    </row>
    <row r="4382" spans="1:6">
      <c r="A4382" s="30">
        <f t="shared" si="144"/>
        <v>47472</v>
      </c>
      <c r="B4382" s="32" t="s">
        <v>199</v>
      </c>
      <c r="C4382" t="s">
        <v>6</v>
      </c>
      <c r="D4382">
        <f>IF(B4382=$AB$2,$AC$2,$AC$3)</f>
        <v>1</v>
      </c>
      <c r="E4382">
        <f>IF(ISBLANK(C4382),0,VLOOKUP(C4382,$AE$2:$AF$7,2,0))</f>
        <v>1</v>
      </c>
      <c r="F4382">
        <f t="shared" si="145"/>
        <v>1</v>
      </c>
    </row>
    <row r="4383" spans="1:6">
      <c r="A4383" s="30">
        <f t="shared" si="144"/>
        <v>47473</v>
      </c>
      <c r="B4383" s="32" t="s">
        <v>199</v>
      </c>
      <c r="C4383" t="s">
        <v>6</v>
      </c>
      <c r="D4383">
        <f>IF(B4383=$AB$2,$AC$2,$AC$3)</f>
        <v>1</v>
      </c>
      <c r="E4383">
        <f>IF(ISBLANK(C4383),0,VLOOKUP(C4383,$AE$2:$AF$7,2,0))</f>
        <v>1</v>
      </c>
      <c r="F4383">
        <f t="shared" si="145"/>
        <v>1</v>
      </c>
    </row>
    <row r="4384" spans="1:6">
      <c r="A4384" s="30">
        <f t="shared" si="144"/>
        <v>47474</v>
      </c>
      <c r="B4384" s="32" t="s">
        <v>199</v>
      </c>
      <c r="C4384" t="s">
        <v>6</v>
      </c>
      <c r="D4384">
        <f>IF(B4384=$AB$2,$AC$2,$AC$3)</f>
        <v>1</v>
      </c>
      <c r="E4384">
        <f>IF(ISBLANK(C4384),0,VLOOKUP(C4384,$AE$2:$AF$7,2,0))</f>
        <v>1</v>
      </c>
      <c r="F4384">
        <f t="shared" si="145"/>
        <v>1</v>
      </c>
    </row>
    <row r="4385" spans="1:6">
      <c r="A4385" s="30">
        <f t="shared" si="144"/>
        <v>47475</v>
      </c>
      <c r="B4385" s="32" t="s">
        <v>199</v>
      </c>
      <c r="C4385" t="s">
        <v>6</v>
      </c>
      <c r="D4385">
        <f>IF(B4385=$AB$2,$AC$2,$AC$3)</f>
        <v>1</v>
      </c>
      <c r="E4385">
        <f>IF(ISBLANK(C4385),0,VLOOKUP(C4385,$AE$2:$AF$7,2,0))</f>
        <v>1</v>
      </c>
      <c r="F4385">
        <f t="shared" si="145"/>
        <v>1</v>
      </c>
    </row>
    <row r="4386" spans="1:6">
      <c r="A4386" s="30">
        <f t="shared" si="144"/>
        <v>47476</v>
      </c>
      <c r="B4386" s="32" t="s">
        <v>199</v>
      </c>
      <c r="C4386" t="s">
        <v>6</v>
      </c>
      <c r="D4386">
        <f>IF(B4386=$AB$2,$AC$2,$AC$3)</f>
        <v>1</v>
      </c>
      <c r="E4386">
        <f>IF(ISBLANK(C4386),0,VLOOKUP(C4386,$AE$2:$AF$7,2,0))</f>
        <v>1</v>
      </c>
      <c r="F4386">
        <f t="shared" si="145"/>
        <v>1</v>
      </c>
    </row>
    <row r="4387" spans="1:6">
      <c r="A4387" s="30">
        <f t="shared" si="144"/>
        <v>47477</v>
      </c>
      <c r="B4387" s="32" t="s">
        <v>199</v>
      </c>
      <c r="C4387" t="s">
        <v>6</v>
      </c>
      <c r="D4387">
        <f>IF(B4387=$AB$2,$AC$2,$AC$3)</f>
        <v>1</v>
      </c>
      <c r="E4387">
        <f>IF(ISBLANK(C4387),0,VLOOKUP(C4387,$AE$2:$AF$7,2,0))</f>
        <v>1</v>
      </c>
      <c r="F4387">
        <f t="shared" si="145"/>
        <v>1</v>
      </c>
    </row>
    <row r="4388" spans="1:6">
      <c r="A4388" s="30">
        <f t="shared" si="144"/>
        <v>47478</v>
      </c>
      <c r="B4388" s="32" t="s">
        <v>199</v>
      </c>
      <c r="C4388" t="s">
        <v>6</v>
      </c>
      <c r="D4388">
        <f>IF(B4388=$AB$2,$AC$2,$AC$3)</f>
        <v>1</v>
      </c>
      <c r="E4388">
        <f>IF(ISBLANK(C4388),0,VLOOKUP(C4388,$AE$2:$AF$7,2,0))</f>
        <v>1</v>
      </c>
      <c r="F4388">
        <f t="shared" si="145"/>
        <v>1</v>
      </c>
    </row>
    <row r="4389" spans="1:6">
      <c r="A4389" s="30">
        <f t="shared" si="144"/>
        <v>47479</v>
      </c>
      <c r="B4389" s="32" t="s">
        <v>199</v>
      </c>
      <c r="C4389" t="s">
        <v>6</v>
      </c>
      <c r="D4389">
        <f>IF(B4389=$AB$2,$AC$2,$AC$3)</f>
        <v>1</v>
      </c>
      <c r="E4389">
        <f>IF(ISBLANK(C4389),0,VLOOKUP(C4389,$AE$2:$AF$7,2,0))</f>
        <v>1</v>
      </c>
      <c r="F4389">
        <f t="shared" si="145"/>
        <v>1</v>
      </c>
    </row>
    <row r="4390" spans="1:6">
      <c r="A4390" s="30">
        <f t="shared" si="144"/>
        <v>47480</v>
      </c>
      <c r="B4390" s="32" t="s">
        <v>199</v>
      </c>
      <c r="C4390" t="s">
        <v>6</v>
      </c>
      <c r="D4390">
        <f>IF(B4390=$AB$2,$AC$2,$AC$3)</f>
        <v>1</v>
      </c>
      <c r="E4390">
        <f>IF(ISBLANK(C4390),0,VLOOKUP(C4390,$AE$2:$AF$7,2,0))</f>
        <v>1</v>
      </c>
      <c r="F4390">
        <f t="shared" si="145"/>
        <v>1</v>
      </c>
    </row>
    <row r="4391" spans="1:6">
      <c r="A4391" s="30">
        <f t="shared" si="144"/>
        <v>47481</v>
      </c>
      <c r="B4391" s="32" t="s">
        <v>199</v>
      </c>
      <c r="C4391" t="s">
        <v>6</v>
      </c>
      <c r="D4391">
        <f>IF(B4391=$AB$2,$AC$2,$AC$3)</f>
        <v>1</v>
      </c>
      <c r="E4391">
        <f>IF(ISBLANK(C4391),0,VLOOKUP(C4391,$AE$2:$AF$7,2,0))</f>
        <v>1</v>
      </c>
      <c r="F4391">
        <f t="shared" si="145"/>
        <v>1</v>
      </c>
    </row>
    <row r="4392" spans="1:6">
      <c r="A4392" s="30">
        <f t="shared" si="144"/>
        <v>47482</v>
      </c>
      <c r="B4392" s="32" t="s">
        <v>199</v>
      </c>
      <c r="C4392" t="s">
        <v>6</v>
      </c>
      <c r="D4392">
        <f>IF(B4392=$AB$2,$AC$2,$AC$3)</f>
        <v>1</v>
      </c>
      <c r="E4392">
        <f>IF(ISBLANK(C4392),0,VLOOKUP(C4392,$AE$2:$AF$7,2,0))</f>
        <v>1</v>
      </c>
      <c r="F4392">
        <f t="shared" si="145"/>
        <v>1</v>
      </c>
    </row>
    <row r="4393" spans="1:6">
      <c r="A4393" s="30">
        <f t="shared" si="144"/>
        <v>47483</v>
      </c>
      <c r="B4393" s="32" t="s">
        <v>199</v>
      </c>
      <c r="C4393" t="s">
        <v>6</v>
      </c>
      <c r="D4393">
        <f>IF(B4393=$AB$2,$AC$2,$AC$3)</f>
        <v>1</v>
      </c>
      <c r="E4393">
        <f>IF(ISBLANK(C4393),0,VLOOKUP(C4393,$AE$2:$AF$7,2,0))</f>
        <v>1</v>
      </c>
      <c r="F4393">
        <f t="shared" si="145"/>
        <v>1</v>
      </c>
    </row>
    <row r="4394" spans="1:6">
      <c r="A4394" s="30">
        <f t="shared" si="144"/>
        <v>47484</v>
      </c>
      <c r="B4394" s="32" t="s">
        <v>199</v>
      </c>
      <c r="C4394" t="s">
        <v>6</v>
      </c>
      <c r="D4394">
        <f>IF(B4394=$AB$2,$AC$2,$AC$3)</f>
        <v>1</v>
      </c>
      <c r="E4394">
        <f>IF(ISBLANK(C4394),0,VLOOKUP(C4394,$AE$2:$AF$7,2,0))</f>
        <v>1</v>
      </c>
      <c r="F4394">
        <f t="shared" si="145"/>
        <v>1</v>
      </c>
    </row>
    <row r="4395" spans="1:6">
      <c r="A4395" s="30">
        <f t="shared" si="144"/>
        <v>47485</v>
      </c>
      <c r="B4395" s="32" t="s">
        <v>199</v>
      </c>
      <c r="C4395" t="s">
        <v>6</v>
      </c>
      <c r="D4395">
        <f>IF(B4395=$AB$2,$AC$2,$AC$3)</f>
        <v>1</v>
      </c>
      <c r="E4395">
        <f>IF(ISBLANK(C4395),0,VLOOKUP(C4395,$AE$2:$AF$7,2,0))</f>
        <v>1</v>
      </c>
      <c r="F4395">
        <f t="shared" si="145"/>
        <v>1</v>
      </c>
    </row>
    <row r="4396" spans="1:6">
      <c r="A4396" s="30">
        <f t="shared" si="144"/>
        <v>47486</v>
      </c>
      <c r="B4396" s="32" t="s">
        <v>199</v>
      </c>
      <c r="C4396" t="s">
        <v>6</v>
      </c>
      <c r="D4396">
        <f>IF(B4396=$AB$2,$AC$2,$AC$3)</f>
        <v>1</v>
      </c>
      <c r="E4396">
        <f>IF(ISBLANK(C4396),0,VLOOKUP(C4396,$AE$2:$AF$7,2,0))</f>
        <v>1</v>
      </c>
      <c r="F4396">
        <f t="shared" si="145"/>
        <v>1</v>
      </c>
    </row>
    <row r="4397" spans="1:6">
      <c r="A4397" s="30">
        <f t="shared" si="144"/>
        <v>47487</v>
      </c>
      <c r="B4397" s="32" t="s">
        <v>199</v>
      </c>
      <c r="C4397" t="s">
        <v>6</v>
      </c>
      <c r="D4397">
        <f>IF(B4397=$AB$2,$AC$2,$AC$3)</f>
        <v>1</v>
      </c>
      <c r="E4397">
        <f>IF(ISBLANK(C4397),0,VLOOKUP(C4397,$AE$2:$AF$7,2,0))</f>
        <v>1</v>
      </c>
      <c r="F4397">
        <f t="shared" si="145"/>
        <v>1</v>
      </c>
    </row>
    <row r="4398" spans="1:6">
      <c r="A4398" s="30">
        <f t="shared" si="144"/>
        <v>47488</v>
      </c>
      <c r="B4398" s="32" t="s">
        <v>199</v>
      </c>
      <c r="C4398" t="s">
        <v>6</v>
      </c>
      <c r="D4398">
        <f>IF(B4398=$AB$2,$AC$2,$AC$3)</f>
        <v>1</v>
      </c>
      <c r="E4398">
        <f>IF(ISBLANK(C4398),0,VLOOKUP(C4398,$AE$2:$AF$7,2,0))</f>
        <v>1</v>
      </c>
      <c r="F4398">
        <f t="shared" si="145"/>
        <v>1</v>
      </c>
    </row>
    <row r="4399" spans="1:6">
      <c r="A4399" s="30">
        <f t="shared" si="144"/>
        <v>47489</v>
      </c>
      <c r="B4399" s="32" t="s">
        <v>199</v>
      </c>
      <c r="C4399" t="s">
        <v>6</v>
      </c>
      <c r="D4399">
        <f>IF(B4399=$AB$2,$AC$2,$AC$3)</f>
        <v>1</v>
      </c>
      <c r="E4399">
        <f>IF(ISBLANK(C4399),0,VLOOKUP(C4399,$AE$2:$AF$7,2,0))</f>
        <v>1</v>
      </c>
      <c r="F4399">
        <f t="shared" si="145"/>
        <v>1</v>
      </c>
    </row>
    <row r="4400" spans="1:6">
      <c r="A4400" s="30">
        <f t="shared" ref="A4400:A4448" si="146">A4399+1</f>
        <v>47490</v>
      </c>
      <c r="B4400" s="32" t="s">
        <v>199</v>
      </c>
      <c r="C4400" t="s">
        <v>6</v>
      </c>
      <c r="D4400">
        <f>IF(B4400=$AB$2,$AC$2,$AC$3)</f>
        <v>1</v>
      </c>
      <c r="E4400">
        <f>IF(ISBLANK(C4400),0,VLOOKUP(C4400,$AE$2:$AF$7,2,0))</f>
        <v>1</v>
      </c>
      <c r="F4400">
        <f t="shared" si="145"/>
        <v>1</v>
      </c>
    </row>
    <row r="4401" spans="1:6">
      <c r="A4401" s="30">
        <f t="shared" si="146"/>
        <v>47491</v>
      </c>
      <c r="B4401" s="32" t="s">
        <v>199</v>
      </c>
      <c r="C4401" t="s">
        <v>6</v>
      </c>
      <c r="D4401">
        <f>IF(B4401=$AB$2,$AC$2,$AC$3)</f>
        <v>1</v>
      </c>
      <c r="E4401">
        <f>IF(ISBLANK(C4401),0,VLOOKUP(C4401,$AE$2:$AF$7,2,0))</f>
        <v>1</v>
      </c>
      <c r="F4401">
        <f t="shared" si="145"/>
        <v>1</v>
      </c>
    </row>
    <row r="4402" spans="1:6">
      <c r="A4402" s="30">
        <f t="shared" si="146"/>
        <v>47492</v>
      </c>
      <c r="B4402" s="32" t="s">
        <v>199</v>
      </c>
      <c r="C4402" t="s">
        <v>6</v>
      </c>
      <c r="D4402">
        <f>IF(B4402=$AB$2,$AC$2,$AC$3)</f>
        <v>1</v>
      </c>
      <c r="E4402">
        <f>IF(ISBLANK(C4402),0,VLOOKUP(C4402,$AE$2:$AF$7,2,0))</f>
        <v>1</v>
      </c>
      <c r="F4402">
        <f t="shared" si="145"/>
        <v>1</v>
      </c>
    </row>
    <row r="4403" spans="1:6">
      <c r="A4403" s="30">
        <f t="shared" si="146"/>
        <v>47493</v>
      </c>
      <c r="B4403" s="32" t="s">
        <v>199</v>
      </c>
      <c r="C4403" t="s">
        <v>6</v>
      </c>
      <c r="D4403">
        <f>IF(B4403=$AB$2,$AC$2,$AC$3)</f>
        <v>1</v>
      </c>
      <c r="E4403">
        <f>IF(ISBLANK(C4403),0,VLOOKUP(C4403,$AE$2:$AF$7,2,0))</f>
        <v>1</v>
      </c>
      <c r="F4403">
        <f t="shared" si="145"/>
        <v>1</v>
      </c>
    </row>
    <row r="4404" spans="1:6">
      <c r="A4404" s="30">
        <f t="shared" si="146"/>
        <v>47494</v>
      </c>
      <c r="B4404" s="32" t="s">
        <v>199</v>
      </c>
      <c r="C4404" t="s">
        <v>6</v>
      </c>
      <c r="D4404">
        <f>IF(B4404=$AB$2,$AC$2,$AC$3)</f>
        <v>1</v>
      </c>
      <c r="E4404">
        <f>IF(ISBLANK(C4404),0,VLOOKUP(C4404,$AE$2:$AF$7,2,0))</f>
        <v>1</v>
      </c>
      <c r="F4404">
        <f t="shared" si="145"/>
        <v>1</v>
      </c>
    </row>
    <row r="4405" spans="1:6">
      <c r="A4405" s="30">
        <f t="shared" si="146"/>
        <v>47495</v>
      </c>
      <c r="B4405" s="32" t="s">
        <v>199</v>
      </c>
      <c r="C4405" t="s">
        <v>6</v>
      </c>
      <c r="D4405">
        <f>IF(B4405=$AB$2,$AC$2,$AC$3)</f>
        <v>1</v>
      </c>
      <c r="E4405">
        <f>IF(ISBLANK(C4405),0,VLOOKUP(C4405,$AE$2:$AF$7,2,0))</f>
        <v>1</v>
      </c>
      <c r="F4405">
        <f t="shared" si="145"/>
        <v>1</v>
      </c>
    </row>
    <row r="4406" spans="1:6">
      <c r="A4406" s="30">
        <f t="shared" si="146"/>
        <v>47496</v>
      </c>
      <c r="B4406" s="32" t="s">
        <v>199</v>
      </c>
      <c r="C4406" t="s">
        <v>6</v>
      </c>
      <c r="D4406">
        <f>IF(B4406=$AB$2,$AC$2,$AC$3)</f>
        <v>1</v>
      </c>
      <c r="E4406">
        <f>IF(ISBLANK(C4406),0,VLOOKUP(C4406,$AE$2:$AF$7,2,0))</f>
        <v>1</v>
      </c>
      <c r="F4406">
        <f t="shared" si="145"/>
        <v>1</v>
      </c>
    </row>
    <row r="4407" spans="1:6">
      <c r="A4407" s="30">
        <f t="shared" si="146"/>
        <v>47497</v>
      </c>
      <c r="B4407" s="32" t="s">
        <v>199</v>
      </c>
      <c r="C4407" t="s">
        <v>6</v>
      </c>
      <c r="D4407">
        <f>IF(B4407=$AB$2,$AC$2,$AC$3)</f>
        <v>1</v>
      </c>
      <c r="E4407">
        <f>IF(ISBLANK(C4407),0,VLOOKUP(C4407,$AE$2:$AF$7,2,0))</f>
        <v>1</v>
      </c>
      <c r="F4407">
        <f t="shared" si="145"/>
        <v>1</v>
      </c>
    </row>
    <row r="4408" spans="1:6">
      <c r="A4408" s="30">
        <f t="shared" si="146"/>
        <v>47498</v>
      </c>
      <c r="B4408" s="32" t="s">
        <v>199</v>
      </c>
      <c r="C4408" t="s">
        <v>6</v>
      </c>
      <c r="D4408">
        <f>IF(B4408=$AB$2,$AC$2,$AC$3)</f>
        <v>1</v>
      </c>
      <c r="E4408">
        <f>IF(ISBLANK(C4408),0,VLOOKUP(C4408,$AE$2:$AF$7,2,0))</f>
        <v>1</v>
      </c>
      <c r="F4408">
        <f t="shared" si="145"/>
        <v>1</v>
      </c>
    </row>
    <row r="4409" spans="1:6">
      <c r="A4409" s="30">
        <f t="shared" si="146"/>
        <v>47499</v>
      </c>
      <c r="B4409" s="32" t="s">
        <v>199</v>
      </c>
      <c r="C4409" t="s">
        <v>6</v>
      </c>
      <c r="D4409">
        <f>IF(B4409=$AB$2,$AC$2,$AC$3)</f>
        <v>1</v>
      </c>
      <c r="E4409">
        <f>IF(ISBLANK(C4409),0,VLOOKUP(C4409,$AE$2:$AF$7,2,0))</f>
        <v>1</v>
      </c>
      <c r="F4409">
        <f t="shared" si="145"/>
        <v>1</v>
      </c>
    </row>
    <row r="4410" spans="1:6">
      <c r="A4410" s="30">
        <f t="shared" si="146"/>
        <v>47500</v>
      </c>
      <c r="B4410" s="32" t="s">
        <v>199</v>
      </c>
      <c r="C4410" t="s">
        <v>6</v>
      </c>
      <c r="D4410">
        <f>IF(B4410=$AB$2,$AC$2,$AC$3)</f>
        <v>1</v>
      </c>
      <c r="E4410">
        <f>IF(ISBLANK(C4410),0,VLOOKUP(C4410,$AE$2:$AF$7,2,0))</f>
        <v>1</v>
      </c>
      <c r="F4410">
        <f t="shared" si="145"/>
        <v>1</v>
      </c>
    </row>
    <row r="4411" spans="1:6">
      <c r="A4411" s="30">
        <f t="shared" si="146"/>
        <v>47501</v>
      </c>
      <c r="B4411" s="32" t="s">
        <v>199</v>
      </c>
      <c r="C4411" t="s">
        <v>6</v>
      </c>
      <c r="D4411">
        <f>IF(B4411=$AB$2,$AC$2,$AC$3)</f>
        <v>1</v>
      </c>
      <c r="E4411">
        <f>IF(ISBLANK(C4411),0,VLOOKUP(C4411,$AE$2:$AF$7,2,0))</f>
        <v>1</v>
      </c>
      <c r="F4411">
        <f t="shared" si="145"/>
        <v>1</v>
      </c>
    </row>
    <row r="4412" spans="1:6">
      <c r="A4412" s="30">
        <f t="shared" si="146"/>
        <v>47502</v>
      </c>
      <c r="B4412" s="32" t="s">
        <v>199</v>
      </c>
      <c r="C4412" t="s">
        <v>6</v>
      </c>
      <c r="D4412">
        <f>IF(B4412=$AB$2,$AC$2,$AC$3)</f>
        <v>1</v>
      </c>
      <c r="E4412">
        <f>IF(ISBLANK(C4412),0,VLOOKUP(C4412,$AE$2:$AF$7,2,0))</f>
        <v>1</v>
      </c>
      <c r="F4412">
        <f t="shared" si="145"/>
        <v>1</v>
      </c>
    </row>
    <row r="4413" spans="1:6">
      <c r="A4413" s="30">
        <f t="shared" si="146"/>
        <v>47503</v>
      </c>
      <c r="B4413" s="32" t="s">
        <v>199</v>
      </c>
      <c r="C4413" t="s">
        <v>6</v>
      </c>
      <c r="D4413">
        <f>IF(B4413=$AB$2,$AC$2,$AC$3)</f>
        <v>1</v>
      </c>
      <c r="E4413">
        <f>IF(ISBLANK(C4413),0,VLOOKUP(C4413,$AE$2:$AF$7,2,0))</f>
        <v>1</v>
      </c>
      <c r="F4413">
        <f t="shared" si="145"/>
        <v>1</v>
      </c>
    </row>
    <row r="4414" spans="1:6">
      <c r="A4414" s="30">
        <f t="shared" si="146"/>
        <v>47504</v>
      </c>
      <c r="B4414" s="32" t="s">
        <v>199</v>
      </c>
      <c r="C4414" t="s">
        <v>6</v>
      </c>
      <c r="D4414">
        <f>IF(B4414=$AB$2,$AC$2,$AC$3)</f>
        <v>1</v>
      </c>
      <c r="E4414">
        <f>IF(ISBLANK(C4414),0,VLOOKUP(C4414,$AE$2:$AF$7,2,0))</f>
        <v>1</v>
      </c>
      <c r="F4414">
        <f t="shared" si="145"/>
        <v>1</v>
      </c>
    </row>
    <row r="4415" spans="1:6">
      <c r="A4415" s="30">
        <f t="shared" si="146"/>
        <v>47505</v>
      </c>
      <c r="B4415" s="32" t="s">
        <v>199</v>
      </c>
      <c r="C4415" t="s">
        <v>6</v>
      </c>
      <c r="D4415">
        <f>IF(B4415=$AB$2,$AC$2,$AC$3)</f>
        <v>1</v>
      </c>
      <c r="E4415">
        <f>IF(ISBLANK(C4415),0,VLOOKUP(C4415,$AE$2:$AF$7,2,0))</f>
        <v>1</v>
      </c>
      <c r="F4415">
        <f t="shared" si="145"/>
        <v>1</v>
      </c>
    </row>
    <row r="4416" spans="1:6">
      <c r="A4416" s="30">
        <f t="shared" si="146"/>
        <v>47506</v>
      </c>
      <c r="B4416" s="32" t="s">
        <v>199</v>
      </c>
      <c r="C4416" t="s">
        <v>6</v>
      </c>
      <c r="D4416">
        <f>IF(B4416=$AB$2,$AC$2,$AC$3)</f>
        <v>1</v>
      </c>
      <c r="E4416">
        <f>IF(ISBLANK(C4416),0,VLOOKUP(C4416,$AE$2:$AF$7,2,0))</f>
        <v>1</v>
      </c>
      <c r="F4416">
        <f t="shared" si="145"/>
        <v>1</v>
      </c>
    </row>
    <row r="4417" spans="1:6">
      <c r="A4417" s="30">
        <f t="shared" si="146"/>
        <v>47507</v>
      </c>
      <c r="B4417" s="32" t="s">
        <v>199</v>
      </c>
      <c r="C4417" t="s">
        <v>6</v>
      </c>
      <c r="D4417">
        <f>IF(B4417=$AB$2,$AC$2,$AC$3)</f>
        <v>1</v>
      </c>
      <c r="E4417">
        <f>IF(ISBLANK(C4417),0,VLOOKUP(C4417,$AE$2:$AF$7,2,0))</f>
        <v>1</v>
      </c>
      <c r="F4417">
        <f t="shared" si="145"/>
        <v>1</v>
      </c>
    </row>
    <row r="4418" spans="1:6">
      <c r="A4418" s="30">
        <f t="shared" si="146"/>
        <v>47508</v>
      </c>
      <c r="B4418" s="32" t="s">
        <v>199</v>
      </c>
      <c r="C4418" t="s">
        <v>6</v>
      </c>
      <c r="D4418">
        <f>IF(B4418=$AB$2,$AC$2,$AC$3)</f>
        <v>1</v>
      </c>
      <c r="E4418">
        <f>IF(ISBLANK(C4418),0,VLOOKUP(C4418,$AE$2:$AF$7,2,0))</f>
        <v>1</v>
      </c>
      <c r="F4418">
        <f t="shared" si="145"/>
        <v>1</v>
      </c>
    </row>
    <row r="4419" spans="1:6">
      <c r="A4419" s="30">
        <f t="shared" si="146"/>
        <v>47509</v>
      </c>
      <c r="B4419" s="32" t="s">
        <v>199</v>
      </c>
      <c r="C4419" t="s">
        <v>6</v>
      </c>
      <c r="D4419">
        <f>IF(B4419=$AB$2,$AC$2,$AC$3)</f>
        <v>1</v>
      </c>
      <c r="E4419">
        <f>IF(ISBLANK(C4419),0,VLOOKUP(C4419,$AE$2:$AF$7,2,0))</f>
        <v>1</v>
      </c>
      <c r="F4419">
        <f t="shared" ref="F4419:F4482" si="147">D4419*E4419</f>
        <v>1</v>
      </c>
    </row>
    <row r="4420" spans="1:6">
      <c r="A4420" s="30">
        <f t="shared" si="146"/>
        <v>47510</v>
      </c>
      <c r="B4420" s="32" t="s">
        <v>199</v>
      </c>
      <c r="C4420" t="s">
        <v>6</v>
      </c>
      <c r="D4420">
        <f>IF(B4420=$AB$2,$AC$2,$AC$3)</f>
        <v>1</v>
      </c>
      <c r="E4420">
        <f>IF(ISBLANK(C4420),0,VLOOKUP(C4420,$AE$2:$AF$7,2,0))</f>
        <v>1</v>
      </c>
      <c r="F4420">
        <f t="shared" si="147"/>
        <v>1</v>
      </c>
    </row>
    <row r="4421" spans="1:6">
      <c r="A4421" s="30">
        <f t="shared" si="146"/>
        <v>47511</v>
      </c>
      <c r="B4421" s="32" t="s">
        <v>199</v>
      </c>
      <c r="C4421" t="s">
        <v>6</v>
      </c>
      <c r="D4421">
        <f>IF(B4421=$AB$2,$AC$2,$AC$3)</f>
        <v>1</v>
      </c>
      <c r="E4421">
        <f>IF(ISBLANK(C4421),0,VLOOKUP(C4421,$AE$2:$AF$7,2,0))</f>
        <v>1</v>
      </c>
      <c r="F4421">
        <f t="shared" si="147"/>
        <v>1</v>
      </c>
    </row>
    <row r="4422" spans="1:6">
      <c r="A4422" s="30">
        <f t="shared" si="146"/>
        <v>47512</v>
      </c>
      <c r="B4422" s="32" t="s">
        <v>199</v>
      </c>
      <c r="C4422" t="s">
        <v>6</v>
      </c>
      <c r="D4422">
        <f>IF(B4422=$AB$2,$AC$2,$AC$3)</f>
        <v>1</v>
      </c>
      <c r="E4422">
        <f>IF(ISBLANK(C4422),0,VLOOKUP(C4422,$AE$2:$AF$7,2,0))</f>
        <v>1</v>
      </c>
      <c r="F4422">
        <f t="shared" si="147"/>
        <v>1</v>
      </c>
    </row>
    <row r="4423" spans="1:6">
      <c r="A4423" s="30">
        <f t="shared" si="146"/>
        <v>47513</v>
      </c>
      <c r="B4423" s="32" t="s">
        <v>199</v>
      </c>
      <c r="C4423" t="s">
        <v>6</v>
      </c>
      <c r="D4423">
        <f>IF(B4423=$AB$2,$AC$2,$AC$3)</f>
        <v>1</v>
      </c>
      <c r="E4423">
        <f>IF(ISBLANK(C4423),0,VLOOKUP(C4423,$AE$2:$AF$7,2,0))</f>
        <v>1</v>
      </c>
      <c r="F4423">
        <f t="shared" si="147"/>
        <v>1</v>
      </c>
    </row>
    <row r="4424" spans="1:6">
      <c r="A4424" s="30">
        <f t="shared" si="146"/>
        <v>47514</v>
      </c>
      <c r="B4424" s="32" t="s">
        <v>199</v>
      </c>
      <c r="C4424" t="s">
        <v>6</v>
      </c>
      <c r="D4424">
        <f>IF(B4424=$AB$2,$AC$2,$AC$3)</f>
        <v>1</v>
      </c>
      <c r="E4424">
        <f>IF(ISBLANK(C4424),0,VLOOKUP(C4424,$AE$2:$AF$7,2,0))</f>
        <v>1</v>
      </c>
      <c r="F4424">
        <f t="shared" si="147"/>
        <v>1</v>
      </c>
    </row>
    <row r="4425" spans="1:6">
      <c r="A4425" s="30">
        <f t="shared" si="146"/>
        <v>47515</v>
      </c>
      <c r="B4425" s="32" t="s">
        <v>199</v>
      </c>
      <c r="C4425" t="s">
        <v>6</v>
      </c>
      <c r="D4425">
        <f>IF(B4425=$AB$2,$AC$2,$AC$3)</f>
        <v>1</v>
      </c>
      <c r="E4425">
        <f>IF(ISBLANK(C4425),0,VLOOKUP(C4425,$AE$2:$AF$7,2,0))</f>
        <v>1</v>
      </c>
      <c r="F4425">
        <f t="shared" si="147"/>
        <v>1</v>
      </c>
    </row>
    <row r="4426" spans="1:6">
      <c r="A4426" s="30">
        <f t="shared" si="146"/>
        <v>47516</v>
      </c>
      <c r="B4426" s="32" t="s">
        <v>199</v>
      </c>
      <c r="C4426" t="s">
        <v>6</v>
      </c>
      <c r="D4426">
        <f>IF(B4426=$AB$2,$AC$2,$AC$3)</f>
        <v>1</v>
      </c>
      <c r="E4426">
        <f>IF(ISBLANK(C4426),0,VLOOKUP(C4426,$AE$2:$AF$7,2,0))</f>
        <v>1</v>
      </c>
      <c r="F4426">
        <f t="shared" si="147"/>
        <v>1</v>
      </c>
    </row>
    <row r="4427" spans="1:6">
      <c r="A4427" s="30">
        <f t="shared" si="146"/>
        <v>47517</v>
      </c>
      <c r="B4427" s="32" t="s">
        <v>199</v>
      </c>
      <c r="C4427" t="s">
        <v>6</v>
      </c>
      <c r="D4427">
        <f>IF(B4427=$AB$2,$AC$2,$AC$3)</f>
        <v>1</v>
      </c>
      <c r="E4427">
        <f>IF(ISBLANK(C4427),0,VLOOKUP(C4427,$AE$2:$AF$7,2,0))</f>
        <v>1</v>
      </c>
      <c r="F4427">
        <f t="shared" si="147"/>
        <v>1</v>
      </c>
    </row>
    <row r="4428" spans="1:6">
      <c r="A4428" s="30">
        <f t="shared" si="146"/>
        <v>47518</v>
      </c>
      <c r="B4428" s="32" t="s">
        <v>199</v>
      </c>
      <c r="C4428" t="s">
        <v>6</v>
      </c>
      <c r="D4428">
        <f>IF(B4428=$AB$2,$AC$2,$AC$3)</f>
        <v>1</v>
      </c>
      <c r="E4428">
        <f>IF(ISBLANK(C4428),0,VLOOKUP(C4428,$AE$2:$AF$7,2,0))</f>
        <v>1</v>
      </c>
      <c r="F4428">
        <f t="shared" si="147"/>
        <v>1</v>
      </c>
    </row>
    <row r="4429" spans="1:6">
      <c r="A4429" s="30">
        <f t="shared" si="146"/>
        <v>47519</v>
      </c>
      <c r="B4429" s="32" t="s">
        <v>199</v>
      </c>
      <c r="C4429" t="s">
        <v>6</v>
      </c>
      <c r="D4429">
        <f>IF(B4429=$AB$2,$AC$2,$AC$3)</f>
        <v>1</v>
      </c>
      <c r="E4429">
        <f>IF(ISBLANK(C4429),0,VLOOKUP(C4429,$AE$2:$AF$7,2,0))</f>
        <v>1</v>
      </c>
      <c r="F4429">
        <f t="shared" si="147"/>
        <v>1</v>
      </c>
    </row>
    <row r="4430" spans="1:6">
      <c r="A4430" s="30">
        <f t="shared" si="146"/>
        <v>47520</v>
      </c>
      <c r="B4430" s="32" t="s">
        <v>199</v>
      </c>
      <c r="C4430" t="s">
        <v>6</v>
      </c>
      <c r="D4430">
        <f>IF(B4430=$AB$2,$AC$2,$AC$3)</f>
        <v>1</v>
      </c>
      <c r="E4430">
        <f>IF(ISBLANK(C4430),0,VLOOKUP(C4430,$AE$2:$AF$7,2,0))</f>
        <v>1</v>
      </c>
      <c r="F4430">
        <f t="shared" si="147"/>
        <v>1</v>
      </c>
    </row>
    <row r="4431" spans="1:6">
      <c r="A4431" s="30">
        <f t="shared" si="146"/>
        <v>47521</v>
      </c>
      <c r="B4431" s="32" t="s">
        <v>199</v>
      </c>
      <c r="C4431" t="s">
        <v>6</v>
      </c>
      <c r="D4431">
        <f>IF(B4431=$AB$2,$AC$2,$AC$3)</f>
        <v>1</v>
      </c>
      <c r="E4431">
        <f>IF(ISBLANK(C4431),0,VLOOKUP(C4431,$AE$2:$AF$7,2,0))</f>
        <v>1</v>
      </c>
      <c r="F4431">
        <f t="shared" si="147"/>
        <v>1</v>
      </c>
    </row>
    <row r="4432" spans="1:6">
      <c r="A4432" s="30">
        <f t="shared" si="146"/>
        <v>47522</v>
      </c>
      <c r="B4432" s="32" t="s">
        <v>199</v>
      </c>
      <c r="C4432" t="s">
        <v>6</v>
      </c>
      <c r="D4432">
        <f>IF(B4432=$AB$2,$AC$2,$AC$3)</f>
        <v>1</v>
      </c>
      <c r="E4432">
        <f>IF(ISBLANK(C4432),0,VLOOKUP(C4432,$AE$2:$AF$7,2,0))</f>
        <v>1</v>
      </c>
      <c r="F4432">
        <f t="shared" si="147"/>
        <v>1</v>
      </c>
    </row>
    <row r="4433" spans="1:6">
      <c r="A4433" s="30">
        <f t="shared" si="146"/>
        <v>47523</v>
      </c>
      <c r="B4433" s="32" t="s">
        <v>199</v>
      </c>
      <c r="C4433" t="s">
        <v>6</v>
      </c>
      <c r="D4433">
        <f>IF(B4433=$AB$2,$AC$2,$AC$3)</f>
        <v>1</v>
      </c>
      <c r="E4433">
        <f>IF(ISBLANK(C4433),0,VLOOKUP(C4433,$AE$2:$AF$7,2,0))</f>
        <v>1</v>
      </c>
      <c r="F4433">
        <f t="shared" si="147"/>
        <v>1</v>
      </c>
    </row>
    <row r="4434" spans="1:6">
      <c r="A4434" s="30">
        <f t="shared" si="146"/>
        <v>47524</v>
      </c>
      <c r="B4434" s="32" t="s">
        <v>199</v>
      </c>
      <c r="C4434" t="s">
        <v>6</v>
      </c>
      <c r="D4434">
        <f>IF(B4434=$AB$2,$AC$2,$AC$3)</f>
        <v>1</v>
      </c>
      <c r="E4434">
        <f>IF(ISBLANK(C4434),0,VLOOKUP(C4434,$AE$2:$AF$7,2,0))</f>
        <v>1</v>
      </c>
      <c r="F4434">
        <f t="shared" si="147"/>
        <v>1</v>
      </c>
    </row>
    <row r="4435" spans="1:6">
      <c r="A4435" s="30">
        <f t="shared" si="146"/>
        <v>47525</v>
      </c>
      <c r="B4435" s="32" t="s">
        <v>199</v>
      </c>
      <c r="C4435" t="s">
        <v>6</v>
      </c>
      <c r="D4435">
        <f>IF(B4435=$AB$2,$AC$2,$AC$3)</f>
        <v>1</v>
      </c>
      <c r="E4435">
        <f>IF(ISBLANK(C4435),0,VLOOKUP(C4435,$AE$2:$AF$7,2,0))</f>
        <v>1</v>
      </c>
      <c r="F4435">
        <f t="shared" si="147"/>
        <v>1</v>
      </c>
    </row>
    <row r="4436" spans="1:6">
      <c r="A4436" s="30">
        <f t="shared" si="146"/>
        <v>47526</v>
      </c>
      <c r="B4436" s="32" t="s">
        <v>199</v>
      </c>
      <c r="C4436" t="s">
        <v>6</v>
      </c>
      <c r="D4436">
        <f>IF(B4436=$AB$2,$AC$2,$AC$3)</f>
        <v>1</v>
      </c>
      <c r="E4436">
        <f>IF(ISBLANK(C4436),0,VLOOKUP(C4436,$AE$2:$AF$7,2,0))</f>
        <v>1</v>
      </c>
      <c r="F4436">
        <f t="shared" si="147"/>
        <v>1</v>
      </c>
    </row>
    <row r="4437" spans="1:6">
      <c r="A4437" s="30">
        <f t="shared" si="146"/>
        <v>47527</v>
      </c>
      <c r="B4437" s="32" t="s">
        <v>199</v>
      </c>
      <c r="C4437" t="s">
        <v>6</v>
      </c>
      <c r="D4437">
        <f>IF(B4437=$AB$2,$AC$2,$AC$3)</f>
        <v>1</v>
      </c>
      <c r="E4437">
        <f>IF(ISBLANK(C4437),0,VLOOKUP(C4437,$AE$2:$AF$7,2,0))</f>
        <v>1</v>
      </c>
      <c r="F4437">
        <f t="shared" si="147"/>
        <v>1</v>
      </c>
    </row>
    <row r="4438" spans="1:6">
      <c r="A4438" s="30">
        <f t="shared" si="146"/>
        <v>47528</v>
      </c>
      <c r="B4438" s="32" t="s">
        <v>199</v>
      </c>
      <c r="C4438" t="s">
        <v>6</v>
      </c>
      <c r="D4438">
        <f>IF(B4438=$AB$2,$AC$2,$AC$3)</f>
        <v>1</v>
      </c>
      <c r="E4438">
        <f>IF(ISBLANK(C4438),0,VLOOKUP(C4438,$AE$2:$AF$7,2,0))</f>
        <v>1</v>
      </c>
      <c r="F4438">
        <f t="shared" si="147"/>
        <v>1</v>
      </c>
    </row>
    <row r="4439" spans="1:6">
      <c r="A4439" s="30">
        <f t="shared" si="146"/>
        <v>47529</v>
      </c>
      <c r="B4439" s="32" t="s">
        <v>199</v>
      </c>
      <c r="C4439" t="s">
        <v>6</v>
      </c>
      <c r="D4439">
        <f>IF(B4439=$AB$2,$AC$2,$AC$3)</f>
        <v>1</v>
      </c>
      <c r="E4439">
        <f>IF(ISBLANK(C4439),0,VLOOKUP(C4439,$AE$2:$AF$7,2,0))</f>
        <v>1</v>
      </c>
      <c r="F4439">
        <f t="shared" si="147"/>
        <v>1</v>
      </c>
    </row>
    <row r="4440" spans="1:6">
      <c r="A4440" s="30">
        <f t="shared" si="146"/>
        <v>47530</v>
      </c>
      <c r="B4440" s="32" t="s">
        <v>199</v>
      </c>
      <c r="C4440" t="s">
        <v>6</v>
      </c>
      <c r="D4440">
        <f>IF(B4440=$AB$2,$AC$2,$AC$3)</f>
        <v>1</v>
      </c>
      <c r="E4440">
        <f>IF(ISBLANK(C4440),0,VLOOKUP(C4440,$AE$2:$AF$7,2,0))</f>
        <v>1</v>
      </c>
      <c r="F4440">
        <f t="shared" si="147"/>
        <v>1</v>
      </c>
    </row>
    <row r="4441" spans="1:6">
      <c r="A4441" s="30">
        <f t="shared" si="146"/>
        <v>47531</v>
      </c>
      <c r="B4441" s="32" t="s">
        <v>199</v>
      </c>
      <c r="C4441" t="s">
        <v>6</v>
      </c>
      <c r="D4441">
        <f>IF(B4441=$AB$2,$AC$2,$AC$3)</f>
        <v>1</v>
      </c>
      <c r="E4441">
        <f>IF(ISBLANK(C4441),0,VLOOKUP(C4441,$AE$2:$AF$7,2,0))</f>
        <v>1</v>
      </c>
      <c r="F4441">
        <f t="shared" si="147"/>
        <v>1</v>
      </c>
    </row>
    <row r="4442" spans="1:6">
      <c r="A4442" s="30">
        <f t="shared" si="146"/>
        <v>47532</v>
      </c>
      <c r="B4442" s="32" t="s">
        <v>199</v>
      </c>
      <c r="C4442" t="s">
        <v>6</v>
      </c>
      <c r="D4442">
        <f>IF(B4442=$AB$2,$AC$2,$AC$3)</f>
        <v>1</v>
      </c>
      <c r="E4442">
        <f>IF(ISBLANK(C4442),0,VLOOKUP(C4442,$AE$2:$AF$7,2,0))</f>
        <v>1</v>
      </c>
      <c r="F4442">
        <f t="shared" si="147"/>
        <v>1</v>
      </c>
    </row>
    <row r="4443" spans="1:6">
      <c r="A4443" s="30">
        <f t="shared" si="146"/>
        <v>47533</v>
      </c>
      <c r="B4443" s="32" t="s">
        <v>199</v>
      </c>
      <c r="C4443" t="s">
        <v>6</v>
      </c>
      <c r="D4443">
        <f>IF(B4443=$AB$2,$AC$2,$AC$3)</f>
        <v>1</v>
      </c>
      <c r="E4443">
        <f>IF(ISBLANK(C4443),0,VLOOKUP(C4443,$AE$2:$AF$7,2,0))</f>
        <v>1</v>
      </c>
      <c r="F4443">
        <f t="shared" si="147"/>
        <v>1</v>
      </c>
    </row>
    <row r="4444" spans="1:6">
      <c r="A4444" s="30">
        <f t="shared" si="146"/>
        <v>47534</v>
      </c>
      <c r="B4444" s="32" t="s">
        <v>199</v>
      </c>
      <c r="C4444" t="s">
        <v>6</v>
      </c>
      <c r="D4444">
        <f>IF(B4444=$AB$2,$AC$2,$AC$3)</f>
        <v>1</v>
      </c>
      <c r="E4444">
        <f>IF(ISBLANK(C4444),0,VLOOKUP(C4444,$AE$2:$AF$7,2,0))</f>
        <v>1</v>
      </c>
      <c r="F4444">
        <f t="shared" si="147"/>
        <v>1</v>
      </c>
    </row>
    <row r="4445" spans="1:6">
      <c r="A4445" s="30">
        <f t="shared" si="146"/>
        <v>47535</v>
      </c>
      <c r="B4445" s="32" t="s">
        <v>199</v>
      </c>
      <c r="C4445" t="s">
        <v>6</v>
      </c>
      <c r="D4445">
        <f>IF(B4445=$AB$2,$AC$2,$AC$3)</f>
        <v>1</v>
      </c>
      <c r="E4445">
        <f>IF(ISBLANK(C4445),0,VLOOKUP(C4445,$AE$2:$AF$7,2,0))</f>
        <v>1</v>
      </c>
      <c r="F4445">
        <f t="shared" si="147"/>
        <v>1</v>
      </c>
    </row>
    <row r="4446" spans="1:6">
      <c r="A4446" s="30">
        <f t="shared" si="146"/>
        <v>47536</v>
      </c>
      <c r="B4446" s="32" t="s">
        <v>199</v>
      </c>
      <c r="C4446" t="s">
        <v>6</v>
      </c>
      <c r="D4446">
        <f>IF(B4446=$AB$2,$AC$2,$AC$3)</f>
        <v>1</v>
      </c>
      <c r="E4446">
        <f>IF(ISBLANK(C4446),0,VLOOKUP(C4446,$AE$2:$AF$7,2,0))</f>
        <v>1</v>
      </c>
      <c r="F4446">
        <f t="shared" si="147"/>
        <v>1</v>
      </c>
    </row>
    <row r="4447" spans="1:6">
      <c r="A4447" s="30">
        <f t="shared" si="146"/>
        <v>47537</v>
      </c>
      <c r="B4447" s="32" t="s">
        <v>199</v>
      </c>
      <c r="C4447" t="s">
        <v>6</v>
      </c>
      <c r="D4447">
        <f>IF(B4447=$AB$2,$AC$2,$AC$3)</f>
        <v>1</v>
      </c>
      <c r="E4447">
        <f>IF(ISBLANK(C4447),0,VLOOKUP(C4447,$AE$2:$AF$7,2,0))</f>
        <v>1</v>
      </c>
      <c r="F4447">
        <f t="shared" si="147"/>
        <v>1</v>
      </c>
    </row>
    <row r="4448" spans="1:6">
      <c r="A4448" s="30">
        <f t="shared" si="146"/>
        <v>47538</v>
      </c>
      <c r="B4448" s="32" t="s">
        <v>199</v>
      </c>
      <c r="C4448" t="s">
        <v>6</v>
      </c>
      <c r="D4448">
        <f>IF(B4448=$AB$2,$AC$2,$AC$3)</f>
        <v>1</v>
      </c>
      <c r="E4448">
        <f>IF(ISBLANK(C4448),0,VLOOKUP(C4448,$AE$2:$AF$7,2,0))</f>
        <v>1</v>
      </c>
      <c r="F4448">
        <f t="shared" si="147"/>
        <v>1</v>
      </c>
    </row>
    <row r="4449" spans="1:6">
      <c r="A4449" s="30">
        <f>A4448+1</f>
        <v>47539</v>
      </c>
      <c r="B4449" s="32" t="s">
        <v>199</v>
      </c>
      <c r="C4449" t="s">
        <v>6</v>
      </c>
      <c r="D4449">
        <f>IF(B4449=$AB$2,$AC$2,$AC$3)</f>
        <v>1</v>
      </c>
      <c r="E4449">
        <f>IF(ISBLANK(C4449),0,VLOOKUP(C4449,$AE$2:$AF$7,2,0))</f>
        <v>1</v>
      </c>
      <c r="F4449">
        <f t="shared" si="147"/>
        <v>1</v>
      </c>
    </row>
    <row r="4450" spans="1:6">
      <c r="A4450" s="30">
        <f t="shared" ref="A4450:A4513" si="148">A4449+1</f>
        <v>47540</v>
      </c>
      <c r="B4450" s="32" t="s">
        <v>199</v>
      </c>
      <c r="C4450" t="s">
        <v>6</v>
      </c>
      <c r="D4450">
        <f>IF(B4450=$AB$2,$AC$2,$AC$3)</f>
        <v>1</v>
      </c>
      <c r="E4450">
        <f>IF(ISBLANK(C4450),0,VLOOKUP(C4450,$AE$2:$AF$7,2,0))</f>
        <v>1</v>
      </c>
      <c r="F4450">
        <f t="shared" si="147"/>
        <v>1</v>
      </c>
    </row>
    <row r="4451" spans="1:6">
      <c r="A4451" s="30">
        <f t="shared" si="148"/>
        <v>47541</v>
      </c>
      <c r="B4451" s="32" t="s">
        <v>199</v>
      </c>
      <c r="C4451" t="s">
        <v>6</v>
      </c>
      <c r="D4451">
        <f>IF(B4451=$AB$2,$AC$2,$AC$3)</f>
        <v>1</v>
      </c>
      <c r="E4451">
        <f>IF(ISBLANK(C4451),0,VLOOKUP(C4451,$AE$2:$AF$7,2,0))</f>
        <v>1</v>
      </c>
      <c r="F4451">
        <f t="shared" si="147"/>
        <v>1</v>
      </c>
    </row>
    <row r="4452" spans="1:6">
      <c r="A4452" s="30">
        <f t="shared" si="148"/>
        <v>47542</v>
      </c>
      <c r="B4452" s="32" t="s">
        <v>199</v>
      </c>
      <c r="C4452" t="s">
        <v>6</v>
      </c>
      <c r="D4452">
        <f>IF(B4452=$AB$2,$AC$2,$AC$3)</f>
        <v>1</v>
      </c>
      <c r="E4452">
        <f>IF(ISBLANK(C4452),0,VLOOKUP(C4452,$AE$2:$AF$7,2,0))</f>
        <v>1</v>
      </c>
      <c r="F4452">
        <f t="shared" si="147"/>
        <v>1</v>
      </c>
    </row>
    <row r="4453" spans="1:6">
      <c r="A4453" s="30">
        <f t="shared" si="148"/>
        <v>47543</v>
      </c>
      <c r="B4453" s="32" t="s">
        <v>199</v>
      </c>
      <c r="C4453" t="s">
        <v>6</v>
      </c>
      <c r="D4453">
        <f>IF(B4453=$AB$2,$AC$2,$AC$3)</f>
        <v>1</v>
      </c>
      <c r="E4453">
        <f>IF(ISBLANK(C4453),0,VLOOKUP(C4453,$AE$2:$AF$7,2,0))</f>
        <v>1</v>
      </c>
      <c r="F4453">
        <f t="shared" si="147"/>
        <v>1</v>
      </c>
    </row>
    <row r="4454" spans="1:6">
      <c r="A4454" s="30">
        <f t="shared" si="148"/>
        <v>47544</v>
      </c>
      <c r="B4454" s="32" t="s">
        <v>199</v>
      </c>
      <c r="C4454" t="s">
        <v>6</v>
      </c>
      <c r="D4454">
        <f>IF(B4454=$AB$2,$AC$2,$AC$3)</f>
        <v>1</v>
      </c>
      <c r="E4454">
        <f>IF(ISBLANK(C4454),0,VLOOKUP(C4454,$AE$2:$AF$7,2,0))</f>
        <v>1</v>
      </c>
      <c r="F4454">
        <f t="shared" si="147"/>
        <v>1</v>
      </c>
    </row>
    <row r="4455" spans="1:6">
      <c r="A4455" s="30">
        <f t="shared" si="148"/>
        <v>47545</v>
      </c>
      <c r="B4455" s="32" t="s">
        <v>199</v>
      </c>
      <c r="C4455" t="s">
        <v>6</v>
      </c>
      <c r="D4455">
        <f>IF(B4455=$AB$2,$AC$2,$AC$3)</f>
        <v>1</v>
      </c>
      <c r="E4455">
        <f>IF(ISBLANK(C4455),0,VLOOKUP(C4455,$AE$2:$AF$7,2,0))</f>
        <v>1</v>
      </c>
      <c r="F4455">
        <f t="shared" si="147"/>
        <v>1</v>
      </c>
    </row>
    <row r="4456" spans="1:6">
      <c r="A4456" s="30">
        <f t="shared" si="148"/>
        <v>47546</v>
      </c>
      <c r="B4456" s="32" t="s">
        <v>199</v>
      </c>
      <c r="C4456" t="s">
        <v>6</v>
      </c>
      <c r="D4456">
        <f>IF(B4456=$AB$2,$AC$2,$AC$3)</f>
        <v>1</v>
      </c>
      <c r="E4456">
        <f>IF(ISBLANK(C4456),0,VLOOKUP(C4456,$AE$2:$AF$7,2,0))</f>
        <v>1</v>
      </c>
      <c r="F4456">
        <f t="shared" si="147"/>
        <v>1</v>
      </c>
    </row>
    <row r="4457" spans="1:6">
      <c r="A4457" s="30">
        <f t="shared" si="148"/>
        <v>47547</v>
      </c>
      <c r="B4457" s="32" t="s">
        <v>199</v>
      </c>
      <c r="C4457" t="s">
        <v>6</v>
      </c>
      <c r="D4457">
        <f>IF(B4457=$AB$2,$AC$2,$AC$3)</f>
        <v>1</v>
      </c>
      <c r="E4457">
        <f>IF(ISBLANK(C4457),0,VLOOKUP(C4457,$AE$2:$AF$7,2,0))</f>
        <v>1</v>
      </c>
      <c r="F4457">
        <f t="shared" si="147"/>
        <v>1</v>
      </c>
    </row>
    <row r="4458" spans="1:6">
      <c r="A4458" s="30">
        <f t="shared" si="148"/>
        <v>47548</v>
      </c>
      <c r="B4458" s="32" t="s">
        <v>199</v>
      </c>
      <c r="C4458" t="s">
        <v>6</v>
      </c>
      <c r="D4458">
        <f>IF(B4458=$AB$2,$AC$2,$AC$3)</f>
        <v>1</v>
      </c>
      <c r="E4458">
        <f>IF(ISBLANK(C4458),0,VLOOKUP(C4458,$AE$2:$AF$7,2,0))</f>
        <v>1</v>
      </c>
      <c r="F4458">
        <f t="shared" si="147"/>
        <v>1</v>
      </c>
    </row>
    <row r="4459" spans="1:6">
      <c r="A4459" s="30">
        <f t="shared" si="148"/>
        <v>47549</v>
      </c>
      <c r="B4459" s="32" t="s">
        <v>199</v>
      </c>
      <c r="C4459" t="s">
        <v>6</v>
      </c>
      <c r="D4459">
        <f>IF(B4459=$AB$2,$AC$2,$AC$3)</f>
        <v>1</v>
      </c>
      <c r="E4459">
        <f>IF(ISBLANK(C4459),0,VLOOKUP(C4459,$AE$2:$AF$7,2,0))</f>
        <v>1</v>
      </c>
      <c r="F4459">
        <f t="shared" si="147"/>
        <v>1</v>
      </c>
    </row>
    <row r="4460" spans="1:6">
      <c r="A4460" s="30">
        <f t="shared" si="148"/>
        <v>47550</v>
      </c>
      <c r="B4460" s="32" t="s">
        <v>199</v>
      </c>
      <c r="C4460" t="s">
        <v>6</v>
      </c>
      <c r="D4460">
        <f>IF(B4460=$AB$2,$AC$2,$AC$3)</f>
        <v>1</v>
      </c>
      <c r="E4460">
        <f>IF(ISBLANK(C4460),0,VLOOKUP(C4460,$AE$2:$AF$7,2,0))</f>
        <v>1</v>
      </c>
      <c r="F4460">
        <f t="shared" si="147"/>
        <v>1</v>
      </c>
    </row>
    <row r="4461" spans="1:6">
      <c r="A4461" s="30">
        <f t="shared" si="148"/>
        <v>47551</v>
      </c>
      <c r="B4461" s="32" t="s">
        <v>199</v>
      </c>
      <c r="C4461" t="s">
        <v>6</v>
      </c>
      <c r="D4461">
        <f>IF(B4461=$AB$2,$AC$2,$AC$3)</f>
        <v>1</v>
      </c>
      <c r="E4461">
        <f>IF(ISBLANK(C4461),0,VLOOKUP(C4461,$AE$2:$AF$7,2,0))</f>
        <v>1</v>
      </c>
      <c r="F4461">
        <f t="shared" si="147"/>
        <v>1</v>
      </c>
    </row>
    <row r="4462" spans="1:6">
      <c r="A4462" s="30">
        <f t="shared" si="148"/>
        <v>47552</v>
      </c>
      <c r="B4462" s="32" t="s">
        <v>199</v>
      </c>
      <c r="C4462" t="s">
        <v>6</v>
      </c>
      <c r="D4462">
        <f>IF(B4462=$AB$2,$AC$2,$AC$3)</f>
        <v>1</v>
      </c>
      <c r="E4462">
        <f>IF(ISBLANK(C4462),0,VLOOKUP(C4462,$AE$2:$AF$7,2,0))</f>
        <v>1</v>
      </c>
      <c r="F4462">
        <f t="shared" si="147"/>
        <v>1</v>
      </c>
    </row>
    <row r="4463" spans="1:6">
      <c r="A4463" s="30">
        <f t="shared" si="148"/>
        <v>47553</v>
      </c>
      <c r="B4463" s="32" t="s">
        <v>199</v>
      </c>
      <c r="C4463" t="s">
        <v>6</v>
      </c>
      <c r="D4463">
        <f>IF(B4463=$AB$2,$AC$2,$AC$3)</f>
        <v>1</v>
      </c>
      <c r="E4463">
        <f>IF(ISBLANK(C4463),0,VLOOKUP(C4463,$AE$2:$AF$7,2,0))</f>
        <v>1</v>
      </c>
      <c r="F4463">
        <f t="shared" si="147"/>
        <v>1</v>
      </c>
    </row>
    <row r="4464" spans="1:6">
      <c r="A4464" s="30">
        <f t="shared" si="148"/>
        <v>47554</v>
      </c>
      <c r="B4464" s="32" t="s">
        <v>199</v>
      </c>
      <c r="C4464" t="s">
        <v>6</v>
      </c>
      <c r="D4464">
        <f>IF(B4464=$AB$2,$AC$2,$AC$3)</f>
        <v>1</v>
      </c>
      <c r="E4464">
        <f>IF(ISBLANK(C4464),0,VLOOKUP(C4464,$AE$2:$AF$7,2,0))</f>
        <v>1</v>
      </c>
      <c r="F4464">
        <f t="shared" si="147"/>
        <v>1</v>
      </c>
    </row>
    <row r="4465" spans="1:6">
      <c r="A4465" s="30">
        <f t="shared" si="148"/>
        <v>47555</v>
      </c>
      <c r="B4465" s="32" t="s">
        <v>199</v>
      </c>
      <c r="C4465" t="s">
        <v>6</v>
      </c>
      <c r="D4465">
        <f>IF(B4465=$AB$2,$AC$2,$AC$3)</f>
        <v>1</v>
      </c>
      <c r="E4465">
        <f>IF(ISBLANK(C4465),0,VLOOKUP(C4465,$AE$2:$AF$7,2,0))</f>
        <v>1</v>
      </c>
      <c r="F4465">
        <f t="shared" si="147"/>
        <v>1</v>
      </c>
    </row>
    <row r="4466" spans="1:6">
      <c r="A4466" s="30">
        <f t="shared" si="148"/>
        <v>47556</v>
      </c>
      <c r="B4466" s="32" t="s">
        <v>199</v>
      </c>
      <c r="C4466" t="s">
        <v>6</v>
      </c>
      <c r="D4466">
        <f>IF(B4466=$AB$2,$AC$2,$AC$3)</f>
        <v>1</v>
      </c>
      <c r="E4466">
        <f>IF(ISBLANK(C4466),0,VLOOKUP(C4466,$AE$2:$AF$7,2,0))</f>
        <v>1</v>
      </c>
      <c r="F4466">
        <f t="shared" si="147"/>
        <v>1</v>
      </c>
    </row>
    <row r="4467" spans="1:6">
      <c r="A4467" s="30">
        <f t="shared" si="148"/>
        <v>47557</v>
      </c>
      <c r="B4467" s="32" t="s">
        <v>199</v>
      </c>
      <c r="C4467" t="s">
        <v>6</v>
      </c>
      <c r="D4467">
        <f>IF(B4467=$AB$2,$AC$2,$AC$3)</f>
        <v>1</v>
      </c>
      <c r="E4467">
        <f>IF(ISBLANK(C4467),0,VLOOKUP(C4467,$AE$2:$AF$7,2,0))</f>
        <v>1</v>
      </c>
      <c r="F4467">
        <f t="shared" si="147"/>
        <v>1</v>
      </c>
    </row>
    <row r="4468" spans="1:6">
      <c r="A4468" s="30">
        <f t="shared" si="148"/>
        <v>47558</v>
      </c>
      <c r="B4468" s="32" t="s">
        <v>199</v>
      </c>
      <c r="C4468" t="s">
        <v>6</v>
      </c>
      <c r="D4468">
        <f>IF(B4468=$AB$2,$AC$2,$AC$3)</f>
        <v>1</v>
      </c>
      <c r="E4468">
        <f>IF(ISBLANK(C4468),0,VLOOKUP(C4468,$AE$2:$AF$7,2,0))</f>
        <v>1</v>
      </c>
      <c r="F4468">
        <f t="shared" si="147"/>
        <v>1</v>
      </c>
    </row>
    <row r="4469" spans="1:6">
      <c r="A4469" s="30">
        <f t="shared" si="148"/>
        <v>47559</v>
      </c>
      <c r="B4469" s="32" t="s">
        <v>199</v>
      </c>
      <c r="C4469" t="s">
        <v>6</v>
      </c>
      <c r="D4469">
        <f>IF(B4469=$AB$2,$AC$2,$AC$3)</f>
        <v>1</v>
      </c>
      <c r="E4469">
        <f>IF(ISBLANK(C4469),0,VLOOKUP(C4469,$AE$2:$AF$7,2,0))</f>
        <v>1</v>
      </c>
      <c r="F4469">
        <f t="shared" si="147"/>
        <v>1</v>
      </c>
    </row>
    <row r="4470" spans="1:6">
      <c r="A4470" s="30">
        <f t="shared" si="148"/>
        <v>47560</v>
      </c>
      <c r="B4470" s="32" t="s">
        <v>199</v>
      </c>
      <c r="C4470" t="s">
        <v>6</v>
      </c>
      <c r="D4470">
        <f>IF(B4470=$AB$2,$AC$2,$AC$3)</f>
        <v>1</v>
      </c>
      <c r="E4470">
        <f>IF(ISBLANK(C4470),0,VLOOKUP(C4470,$AE$2:$AF$7,2,0))</f>
        <v>1</v>
      </c>
      <c r="F4470">
        <f t="shared" si="147"/>
        <v>1</v>
      </c>
    </row>
    <row r="4471" spans="1:6">
      <c r="A4471" s="30">
        <f t="shared" si="148"/>
        <v>47561</v>
      </c>
      <c r="B4471" s="32" t="s">
        <v>199</v>
      </c>
      <c r="C4471" t="s">
        <v>6</v>
      </c>
      <c r="D4471">
        <f>IF(B4471=$AB$2,$AC$2,$AC$3)</f>
        <v>1</v>
      </c>
      <c r="E4471">
        <f>IF(ISBLANK(C4471),0,VLOOKUP(C4471,$AE$2:$AF$7,2,0))</f>
        <v>1</v>
      </c>
      <c r="F4471">
        <f t="shared" si="147"/>
        <v>1</v>
      </c>
    </row>
    <row r="4472" spans="1:6">
      <c r="A4472" s="30">
        <f t="shared" si="148"/>
        <v>47562</v>
      </c>
      <c r="B4472" s="32" t="s">
        <v>199</v>
      </c>
      <c r="C4472" t="s">
        <v>6</v>
      </c>
      <c r="D4472">
        <f>IF(B4472=$AB$2,$AC$2,$AC$3)</f>
        <v>1</v>
      </c>
      <c r="E4472">
        <f>IF(ISBLANK(C4472),0,VLOOKUP(C4472,$AE$2:$AF$7,2,0))</f>
        <v>1</v>
      </c>
      <c r="F4472">
        <f t="shared" si="147"/>
        <v>1</v>
      </c>
    </row>
    <row r="4473" spans="1:6">
      <c r="A4473" s="30">
        <f t="shared" si="148"/>
        <v>47563</v>
      </c>
      <c r="B4473" s="32" t="s">
        <v>199</v>
      </c>
      <c r="C4473" t="s">
        <v>6</v>
      </c>
      <c r="D4473">
        <f>IF(B4473=$AB$2,$AC$2,$AC$3)</f>
        <v>1</v>
      </c>
      <c r="E4473">
        <f>IF(ISBLANK(C4473),0,VLOOKUP(C4473,$AE$2:$AF$7,2,0))</f>
        <v>1</v>
      </c>
      <c r="F4473">
        <f t="shared" si="147"/>
        <v>1</v>
      </c>
    </row>
    <row r="4474" spans="1:6">
      <c r="A4474" s="30">
        <f t="shared" si="148"/>
        <v>47564</v>
      </c>
      <c r="B4474" s="32" t="s">
        <v>199</v>
      </c>
      <c r="C4474" t="s">
        <v>6</v>
      </c>
      <c r="D4474">
        <f>IF(B4474=$AB$2,$AC$2,$AC$3)</f>
        <v>1</v>
      </c>
      <c r="E4474">
        <f>IF(ISBLANK(C4474),0,VLOOKUP(C4474,$AE$2:$AF$7,2,0))</f>
        <v>1</v>
      </c>
      <c r="F4474">
        <f t="shared" si="147"/>
        <v>1</v>
      </c>
    </row>
    <row r="4475" spans="1:6">
      <c r="A4475" s="30">
        <f t="shared" si="148"/>
        <v>47565</v>
      </c>
      <c r="B4475" s="32" t="s">
        <v>199</v>
      </c>
      <c r="C4475" t="s">
        <v>6</v>
      </c>
      <c r="D4475">
        <f>IF(B4475=$AB$2,$AC$2,$AC$3)</f>
        <v>1</v>
      </c>
      <c r="E4475">
        <f>IF(ISBLANK(C4475),0,VLOOKUP(C4475,$AE$2:$AF$7,2,0))</f>
        <v>1</v>
      </c>
      <c r="F4475">
        <f t="shared" si="147"/>
        <v>1</v>
      </c>
    </row>
    <row r="4476" spans="1:6">
      <c r="A4476" s="30">
        <f t="shared" si="148"/>
        <v>47566</v>
      </c>
      <c r="B4476" s="32" t="s">
        <v>199</v>
      </c>
      <c r="C4476" t="s">
        <v>6</v>
      </c>
      <c r="D4476">
        <f>IF(B4476=$AB$2,$AC$2,$AC$3)</f>
        <v>1</v>
      </c>
      <c r="E4476">
        <f>IF(ISBLANK(C4476),0,VLOOKUP(C4476,$AE$2:$AF$7,2,0))</f>
        <v>1</v>
      </c>
      <c r="F4476">
        <f t="shared" si="147"/>
        <v>1</v>
      </c>
    </row>
    <row r="4477" spans="1:6">
      <c r="A4477" s="30">
        <f t="shared" si="148"/>
        <v>47567</v>
      </c>
      <c r="B4477" s="32" t="s">
        <v>199</v>
      </c>
      <c r="C4477" t="s">
        <v>6</v>
      </c>
      <c r="D4477">
        <f>IF(B4477=$AB$2,$AC$2,$AC$3)</f>
        <v>1</v>
      </c>
      <c r="E4477">
        <f>IF(ISBLANK(C4477),0,VLOOKUP(C4477,$AE$2:$AF$7,2,0))</f>
        <v>1</v>
      </c>
      <c r="F4477">
        <f t="shared" si="147"/>
        <v>1</v>
      </c>
    </row>
    <row r="4478" spans="1:6">
      <c r="A4478" s="30">
        <f t="shared" si="148"/>
        <v>47568</v>
      </c>
      <c r="B4478" s="32" t="s">
        <v>199</v>
      </c>
      <c r="C4478" t="s">
        <v>6</v>
      </c>
      <c r="D4478">
        <f>IF(B4478=$AB$2,$AC$2,$AC$3)</f>
        <v>1</v>
      </c>
      <c r="E4478">
        <f>IF(ISBLANK(C4478),0,VLOOKUP(C4478,$AE$2:$AF$7,2,0))</f>
        <v>1</v>
      </c>
      <c r="F4478">
        <f t="shared" si="147"/>
        <v>1</v>
      </c>
    </row>
    <row r="4479" spans="1:6">
      <c r="A4479" s="30">
        <f t="shared" si="148"/>
        <v>47569</v>
      </c>
      <c r="B4479" s="32" t="s">
        <v>199</v>
      </c>
      <c r="C4479" t="s">
        <v>6</v>
      </c>
      <c r="D4479">
        <f>IF(B4479=$AB$2,$AC$2,$AC$3)</f>
        <v>1</v>
      </c>
      <c r="E4479">
        <f>IF(ISBLANK(C4479),0,VLOOKUP(C4479,$AE$2:$AF$7,2,0))</f>
        <v>1</v>
      </c>
      <c r="F4479">
        <f t="shared" si="147"/>
        <v>1</v>
      </c>
    </row>
    <row r="4480" spans="1:6">
      <c r="A4480" s="30">
        <f t="shared" si="148"/>
        <v>47570</v>
      </c>
      <c r="B4480" s="32" t="s">
        <v>199</v>
      </c>
      <c r="C4480" t="s">
        <v>6</v>
      </c>
      <c r="D4480">
        <f>IF(B4480=$AB$2,$AC$2,$AC$3)</f>
        <v>1</v>
      </c>
      <c r="E4480">
        <f>IF(ISBLANK(C4480),0,VLOOKUP(C4480,$AE$2:$AF$7,2,0))</f>
        <v>1</v>
      </c>
      <c r="F4480">
        <f t="shared" si="147"/>
        <v>1</v>
      </c>
    </row>
    <row r="4481" spans="1:6">
      <c r="A4481" s="30">
        <f t="shared" si="148"/>
        <v>47571</v>
      </c>
      <c r="B4481" s="32" t="s">
        <v>199</v>
      </c>
      <c r="C4481" t="s">
        <v>6</v>
      </c>
      <c r="D4481">
        <f>IF(B4481=$AB$2,$AC$2,$AC$3)</f>
        <v>1</v>
      </c>
      <c r="E4481">
        <f>IF(ISBLANK(C4481),0,VLOOKUP(C4481,$AE$2:$AF$7,2,0))</f>
        <v>1</v>
      </c>
      <c r="F4481">
        <f t="shared" si="147"/>
        <v>1</v>
      </c>
    </row>
    <row r="4482" spans="1:6">
      <c r="A4482" s="30">
        <f t="shared" si="148"/>
        <v>47572</v>
      </c>
      <c r="B4482" s="32" t="s">
        <v>199</v>
      </c>
      <c r="C4482" t="s">
        <v>6</v>
      </c>
      <c r="D4482">
        <f>IF(B4482=$AB$2,$AC$2,$AC$3)</f>
        <v>1</v>
      </c>
      <c r="E4482">
        <f>IF(ISBLANK(C4482),0,VLOOKUP(C4482,$AE$2:$AF$7,2,0))</f>
        <v>1</v>
      </c>
      <c r="F4482">
        <f t="shared" si="147"/>
        <v>1</v>
      </c>
    </row>
    <row r="4483" spans="1:6">
      <c r="A4483" s="30">
        <f t="shared" si="148"/>
        <v>47573</v>
      </c>
      <c r="B4483" s="32" t="s">
        <v>199</v>
      </c>
      <c r="C4483" t="s">
        <v>6</v>
      </c>
      <c r="D4483">
        <f>IF(B4483=$AB$2,$AC$2,$AC$3)</f>
        <v>1</v>
      </c>
      <c r="E4483">
        <f>IF(ISBLANK(C4483),0,VLOOKUP(C4483,$AE$2:$AF$7,2,0))</f>
        <v>1</v>
      </c>
      <c r="F4483">
        <f t="shared" ref="F4483:F4546" si="149">D4483*E4483</f>
        <v>1</v>
      </c>
    </row>
    <row r="4484" spans="1:6">
      <c r="A4484" s="30">
        <f t="shared" si="148"/>
        <v>47574</v>
      </c>
      <c r="B4484" s="32" t="s">
        <v>199</v>
      </c>
      <c r="C4484" t="s">
        <v>6</v>
      </c>
      <c r="D4484">
        <f>IF(B4484=$AB$2,$AC$2,$AC$3)</f>
        <v>1</v>
      </c>
      <c r="E4484">
        <f>IF(ISBLANK(C4484),0,VLOOKUP(C4484,$AE$2:$AF$7,2,0))</f>
        <v>1</v>
      </c>
      <c r="F4484">
        <f t="shared" si="149"/>
        <v>1</v>
      </c>
    </row>
    <row r="4485" spans="1:6">
      <c r="A4485" s="30">
        <f t="shared" si="148"/>
        <v>47575</v>
      </c>
      <c r="B4485" s="32" t="s">
        <v>199</v>
      </c>
      <c r="C4485" t="s">
        <v>6</v>
      </c>
      <c r="D4485">
        <f>IF(B4485=$AB$2,$AC$2,$AC$3)</f>
        <v>1</v>
      </c>
      <c r="E4485">
        <f>IF(ISBLANK(C4485),0,VLOOKUP(C4485,$AE$2:$AF$7,2,0))</f>
        <v>1</v>
      </c>
      <c r="F4485">
        <f t="shared" si="149"/>
        <v>1</v>
      </c>
    </row>
    <row r="4486" spans="1:6">
      <c r="A4486" s="30">
        <f t="shared" si="148"/>
        <v>47576</v>
      </c>
      <c r="B4486" s="32" t="s">
        <v>199</v>
      </c>
      <c r="C4486" t="s">
        <v>6</v>
      </c>
      <c r="D4486">
        <f>IF(B4486=$AB$2,$AC$2,$AC$3)</f>
        <v>1</v>
      </c>
      <c r="E4486">
        <f>IF(ISBLANK(C4486),0,VLOOKUP(C4486,$AE$2:$AF$7,2,0))</f>
        <v>1</v>
      </c>
      <c r="F4486">
        <f t="shared" si="149"/>
        <v>1</v>
      </c>
    </row>
    <row r="4487" spans="1:6">
      <c r="A4487" s="30">
        <f t="shared" si="148"/>
        <v>47577</v>
      </c>
      <c r="B4487" s="32" t="s">
        <v>199</v>
      </c>
      <c r="C4487" t="s">
        <v>6</v>
      </c>
      <c r="D4487">
        <f>IF(B4487=$AB$2,$AC$2,$AC$3)</f>
        <v>1</v>
      </c>
      <c r="E4487">
        <f>IF(ISBLANK(C4487),0,VLOOKUP(C4487,$AE$2:$AF$7,2,0))</f>
        <v>1</v>
      </c>
      <c r="F4487">
        <f t="shared" si="149"/>
        <v>1</v>
      </c>
    </row>
    <row r="4488" spans="1:6">
      <c r="A4488" s="30">
        <f t="shared" si="148"/>
        <v>47578</v>
      </c>
      <c r="B4488" s="32" t="s">
        <v>199</v>
      </c>
      <c r="C4488" t="s">
        <v>6</v>
      </c>
      <c r="D4488">
        <f>IF(B4488=$AB$2,$AC$2,$AC$3)</f>
        <v>1</v>
      </c>
      <c r="E4488">
        <f>IF(ISBLANK(C4488),0,VLOOKUP(C4488,$AE$2:$AF$7,2,0))</f>
        <v>1</v>
      </c>
      <c r="F4488">
        <f t="shared" si="149"/>
        <v>1</v>
      </c>
    </row>
    <row r="4489" spans="1:6">
      <c r="A4489" s="30">
        <f t="shared" si="148"/>
        <v>47579</v>
      </c>
      <c r="B4489" s="32" t="s">
        <v>199</v>
      </c>
      <c r="C4489" t="s">
        <v>6</v>
      </c>
      <c r="D4489">
        <f>IF(B4489=$AB$2,$AC$2,$AC$3)</f>
        <v>1</v>
      </c>
      <c r="E4489">
        <f>IF(ISBLANK(C4489),0,VLOOKUP(C4489,$AE$2:$AF$7,2,0))</f>
        <v>1</v>
      </c>
      <c r="F4489">
        <f t="shared" si="149"/>
        <v>1</v>
      </c>
    </row>
    <row r="4490" spans="1:6">
      <c r="A4490" s="30">
        <f t="shared" si="148"/>
        <v>47580</v>
      </c>
      <c r="B4490" s="32" t="s">
        <v>199</v>
      </c>
      <c r="C4490" t="s">
        <v>6</v>
      </c>
      <c r="D4490">
        <f>IF(B4490=$AB$2,$AC$2,$AC$3)</f>
        <v>1</v>
      </c>
      <c r="E4490">
        <f>IF(ISBLANK(C4490),0,VLOOKUP(C4490,$AE$2:$AF$7,2,0))</f>
        <v>1</v>
      </c>
      <c r="F4490">
        <f t="shared" si="149"/>
        <v>1</v>
      </c>
    </row>
    <row r="4491" spans="1:6">
      <c r="A4491" s="30">
        <f t="shared" si="148"/>
        <v>47581</v>
      </c>
      <c r="B4491" s="32" t="s">
        <v>199</v>
      </c>
      <c r="C4491" t="s">
        <v>6</v>
      </c>
      <c r="D4491">
        <f>IF(B4491=$AB$2,$AC$2,$AC$3)</f>
        <v>1</v>
      </c>
      <c r="E4491">
        <f>IF(ISBLANK(C4491),0,VLOOKUP(C4491,$AE$2:$AF$7,2,0))</f>
        <v>1</v>
      </c>
      <c r="F4491">
        <f t="shared" si="149"/>
        <v>1</v>
      </c>
    </row>
    <row r="4492" spans="1:6">
      <c r="A4492" s="30">
        <f t="shared" si="148"/>
        <v>47582</v>
      </c>
      <c r="B4492" s="32" t="s">
        <v>199</v>
      </c>
      <c r="C4492" t="s">
        <v>6</v>
      </c>
      <c r="D4492">
        <f>IF(B4492=$AB$2,$AC$2,$AC$3)</f>
        <v>1</v>
      </c>
      <c r="E4492">
        <f>IF(ISBLANK(C4492),0,VLOOKUP(C4492,$AE$2:$AF$7,2,0))</f>
        <v>1</v>
      </c>
      <c r="F4492">
        <f t="shared" si="149"/>
        <v>1</v>
      </c>
    </row>
    <row r="4493" spans="1:6">
      <c r="A4493" s="30">
        <f t="shared" si="148"/>
        <v>47583</v>
      </c>
      <c r="B4493" s="32" t="s">
        <v>199</v>
      </c>
      <c r="C4493" t="s">
        <v>6</v>
      </c>
      <c r="D4493">
        <f>IF(B4493=$AB$2,$AC$2,$AC$3)</f>
        <v>1</v>
      </c>
      <c r="E4493">
        <f>IF(ISBLANK(C4493),0,VLOOKUP(C4493,$AE$2:$AF$7,2,0))</f>
        <v>1</v>
      </c>
      <c r="F4493">
        <f t="shared" si="149"/>
        <v>1</v>
      </c>
    </row>
    <row r="4494" spans="1:6">
      <c r="A4494" s="30">
        <f t="shared" si="148"/>
        <v>47584</v>
      </c>
      <c r="B4494" s="32" t="s">
        <v>199</v>
      </c>
      <c r="C4494" t="s">
        <v>6</v>
      </c>
      <c r="D4494">
        <f>IF(B4494=$AB$2,$AC$2,$AC$3)</f>
        <v>1</v>
      </c>
      <c r="E4494">
        <f>IF(ISBLANK(C4494),0,VLOOKUP(C4494,$AE$2:$AF$7,2,0))</f>
        <v>1</v>
      </c>
      <c r="F4494">
        <f t="shared" si="149"/>
        <v>1</v>
      </c>
    </row>
    <row r="4495" spans="1:6">
      <c r="A4495" s="30">
        <f t="shared" si="148"/>
        <v>47585</v>
      </c>
      <c r="B4495" s="32" t="s">
        <v>199</v>
      </c>
      <c r="C4495" t="s">
        <v>6</v>
      </c>
      <c r="D4495">
        <f>IF(B4495=$AB$2,$AC$2,$AC$3)</f>
        <v>1</v>
      </c>
      <c r="E4495">
        <f>IF(ISBLANK(C4495),0,VLOOKUP(C4495,$AE$2:$AF$7,2,0))</f>
        <v>1</v>
      </c>
      <c r="F4495">
        <f t="shared" si="149"/>
        <v>1</v>
      </c>
    </row>
    <row r="4496" spans="1:6">
      <c r="A4496" s="30">
        <f t="shared" si="148"/>
        <v>47586</v>
      </c>
      <c r="B4496" s="32" t="s">
        <v>199</v>
      </c>
      <c r="C4496" t="s">
        <v>6</v>
      </c>
      <c r="D4496">
        <f>IF(B4496=$AB$2,$AC$2,$AC$3)</f>
        <v>1</v>
      </c>
      <c r="E4496">
        <f>IF(ISBLANK(C4496),0,VLOOKUP(C4496,$AE$2:$AF$7,2,0))</f>
        <v>1</v>
      </c>
      <c r="F4496">
        <f t="shared" si="149"/>
        <v>1</v>
      </c>
    </row>
    <row r="4497" spans="1:6">
      <c r="A4497" s="30">
        <f t="shared" si="148"/>
        <v>47587</v>
      </c>
      <c r="B4497" s="32" t="s">
        <v>199</v>
      </c>
      <c r="C4497" t="s">
        <v>6</v>
      </c>
      <c r="D4497">
        <f>IF(B4497=$AB$2,$AC$2,$AC$3)</f>
        <v>1</v>
      </c>
      <c r="E4497">
        <f>IF(ISBLANK(C4497),0,VLOOKUP(C4497,$AE$2:$AF$7,2,0))</f>
        <v>1</v>
      </c>
      <c r="F4497">
        <f t="shared" si="149"/>
        <v>1</v>
      </c>
    </row>
    <row r="4498" spans="1:6">
      <c r="A4498" s="30">
        <f t="shared" si="148"/>
        <v>47588</v>
      </c>
      <c r="B4498" s="32" t="s">
        <v>199</v>
      </c>
      <c r="C4498" t="s">
        <v>6</v>
      </c>
      <c r="D4498">
        <f>IF(B4498=$AB$2,$AC$2,$AC$3)</f>
        <v>1</v>
      </c>
      <c r="E4498">
        <f>IF(ISBLANK(C4498),0,VLOOKUP(C4498,$AE$2:$AF$7,2,0))</f>
        <v>1</v>
      </c>
      <c r="F4498">
        <f t="shared" si="149"/>
        <v>1</v>
      </c>
    </row>
    <row r="4499" spans="1:6">
      <c r="A4499" s="30">
        <f t="shared" si="148"/>
        <v>47589</v>
      </c>
      <c r="B4499" s="32" t="s">
        <v>199</v>
      </c>
      <c r="C4499" t="s">
        <v>6</v>
      </c>
      <c r="D4499">
        <f>IF(B4499=$AB$2,$AC$2,$AC$3)</f>
        <v>1</v>
      </c>
      <c r="E4499">
        <f>IF(ISBLANK(C4499),0,VLOOKUP(C4499,$AE$2:$AF$7,2,0))</f>
        <v>1</v>
      </c>
      <c r="F4499">
        <f t="shared" si="149"/>
        <v>1</v>
      </c>
    </row>
    <row r="4500" spans="1:6">
      <c r="A4500" s="30">
        <f t="shared" si="148"/>
        <v>47590</v>
      </c>
      <c r="B4500" s="32" t="s">
        <v>199</v>
      </c>
      <c r="C4500" t="s">
        <v>6</v>
      </c>
      <c r="D4500">
        <f>IF(B4500=$AB$2,$AC$2,$AC$3)</f>
        <v>1</v>
      </c>
      <c r="E4500">
        <f>IF(ISBLANK(C4500),0,VLOOKUP(C4500,$AE$2:$AF$7,2,0))</f>
        <v>1</v>
      </c>
      <c r="F4500">
        <f t="shared" si="149"/>
        <v>1</v>
      </c>
    </row>
    <row r="4501" spans="1:6">
      <c r="A4501" s="30">
        <f t="shared" si="148"/>
        <v>47591</v>
      </c>
      <c r="B4501" s="32" t="s">
        <v>199</v>
      </c>
      <c r="C4501" t="s">
        <v>6</v>
      </c>
      <c r="D4501">
        <f>IF(B4501=$AB$2,$AC$2,$AC$3)</f>
        <v>1</v>
      </c>
      <c r="E4501">
        <f>IF(ISBLANK(C4501),0,VLOOKUP(C4501,$AE$2:$AF$7,2,0))</f>
        <v>1</v>
      </c>
      <c r="F4501">
        <f t="shared" si="149"/>
        <v>1</v>
      </c>
    </row>
    <row r="4502" spans="1:6">
      <c r="A4502" s="30">
        <f t="shared" si="148"/>
        <v>47592</v>
      </c>
      <c r="B4502" s="32" t="s">
        <v>199</v>
      </c>
      <c r="C4502" t="s">
        <v>6</v>
      </c>
      <c r="D4502">
        <f>IF(B4502=$AB$2,$AC$2,$AC$3)</f>
        <v>1</v>
      </c>
      <c r="E4502">
        <f>IF(ISBLANK(C4502),0,VLOOKUP(C4502,$AE$2:$AF$7,2,0))</f>
        <v>1</v>
      </c>
      <c r="F4502">
        <f t="shared" si="149"/>
        <v>1</v>
      </c>
    </row>
    <row r="4503" spans="1:6">
      <c r="A4503" s="30">
        <f t="shared" si="148"/>
        <v>47593</v>
      </c>
      <c r="B4503" s="32" t="s">
        <v>199</v>
      </c>
      <c r="C4503" t="s">
        <v>6</v>
      </c>
      <c r="D4503">
        <f>IF(B4503=$AB$2,$AC$2,$AC$3)</f>
        <v>1</v>
      </c>
      <c r="E4503">
        <f>IF(ISBLANK(C4503),0,VLOOKUP(C4503,$AE$2:$AF$7,2,0))</f>
        <v>1</v>
      </c>
      <c r="F4503">
        <f t="shared" si="149"/>
        <v>1</v>
      </c>
    </row>
    <row r="4504" spans="1:6">
      <c r="A4504" s="30">
        <f t="shared" si="148"/>
        <v>47594</v>
      </c>
      <c r="B4504" s="32" t="s">
        <v>199</v>
      </c>
      <c r="C4504" t="s">
        <v>6</v>
      </c>
      <c r="D4504">
        <f>IF(B4504=$AB$2,$AC$2,$AC$3)</f>
        <v>1</v>
      </c>
      <c r="E4504">
        <f>IF(ISBLANK(C4504),0,VLOOKUP(C4504,$AE$2:$AF$7,2,0))</f>
        <v>1</v>
      </c>
      <c r="F4504">
        <f t="shared" si="149"/>
        <v>1</v>
      </c>
    </row>
    <row r="4505" spans="1:6">
      <c r="A4505" s="30">
        <f t="shared" si="148"/>
        <v>47595</v>
      </c>
      <c r="B4505" s="32" t="s">
        <v>199</v>
      </c>
      <c r="C4505" t="s">
        <v>6</v>
      </c>
      <c r="D4505">
        <f>IF(B4505=$AB$2,$AC$2,$AC$3)</f>
        <v>1</v>
      </c>
      <c r="E4505">
        <f>IF(ISBLANK(C4505),0,VLOOKUP(C4505,$AE$2:$AF$7,2,0))</f>
        <v>1</v>
      </c>
      <c r="F4505">
        <f t="shared" si="149"/>
        <v>1</v>
      </c>
    </row>
    <row r="4506" spans="1:6">
      <c r="A4506" s="30">
        <f t="shared" si="148"/>
        <v>47596</v>
      </c>
      <c r="B4506" s="32" t="s">
        <v>199</v>
      </c>
      <c r="C4506" t="s">
        <v>6</v>
      </c>
      <c r="D4506">
        <f>IF(B4506=$AB$2,$AC$2,$AC$3)</f>
        <v>1</v>
      </c>
      <c r="E4506">
        <f>IF(ISBLANK(C4506),0,VLOOKUP(C4506,$AE$2:$AF$7,2,0))</f>
        <v>1</v>
      </c>
      <c r="F4506">
        <f t="shared" si="149"/>
        <v>1</v>
      </c>
    </row>
    <row r="4507" spans="1:6">
      <c r="A4507" s="30">
        <f t="shared" si="148"/>
        <v>47597</v>
      </c>
      <c r="B4507" s="32" t="s">
        <v>199</v>
      </c>
      <c r="C4507" t="s">
        <v>6</v>
      </c>
      <c r="D4507">
        <f>IF(B4507=$AB$2,$AC$2,$AC$3)</f>
        <v>1</v>
      </c>
      <c r="E4507">
        <f>IF(ISBLANK(C4507),0,VLOOKUP(C4507,$AE$2:$AF$7,2,0))</f>
        <v>1</v>
      </c>
      <c r="F4507">
        <f t="shared" si="149"/>
        <v>1</v>
      </c>
    </row>
    <row r="4508" spans="1:6">
      <c r="A4508" s="30">
        <f t="shared" si="148"/>
        <v>47598</v>
      </c>
      <c r="B4508" s="32" t="s">
        <v>199</v>
      </c>
      <c r="C4508" t="s">
        <v>6</v>
      </c>
      <c r="D4508">
        <f>IF(B4508=$AB$2,$AC$2,$AC$3)</f>
        <v>1</v>
      </c>
      <c r="E4508">
        <f>IF(ISBLANK(C4508),0,VLOOKUP(C4508,$AE$2:$AF$7,2,0))</f>
        <v>1</v>
      </c>
      <c r="F4508">
        <f t="shared" si="149"/>
        <v>1</v>
      </c>
    </row>
    <row r="4509" spans="1:6">
      <c r="A4509" s="30">
        <f t="shared" si="148"/>
        <v>47599</v>
      </c>
      <c r="B4509" s="32" t="s">
        <v>199</v>
      </c>
      <c r="C4509" t="s">
        <v>6</v>
      </c>
      <c r="D4509">
        <f>IF(B4509=$AB$2,$AC$2,$AC$3)</f>
        <v>1</v>
      </c>
      <c r="E4509">
        <f>IF(ISBLANK(C4509),0,VLOOKUP(C4509,$AE$2:$AF$7,2,0))</f>
        <v>1</v>
      </c>
      <c r="F4509">
        <f t="shared" si="149"/>
        <v>1</v>
      </c>
    </row>
    <row r="4510" spans="1:6">
      <c r="A4510" s="30">
        <f t="shared" si="148"/>
        <v>47600</v>
      </c>
      <c r="B4510" s="32" t="s">
        <v>199</v>
      </c>
      <c r="C4510" t="s">
        <v>6</v>
      </c>
      <c r="D4510">
        <f>IF(B4510=$AB$2,$AC$2,$AC$3)</f>
        <v>1</v>
      </c>
      <c r="E4510">
        <f>IF(ISBLANK(C4510),0,VLOOKUP(C4510,$AE$2:$AF$7,2,0))</f>
        <v>1</v>
      </c>
      <c r="F4510">
        <f t="shared" si="149"/>
        <v>1</v>
      </c>
    </row>
    <row r="4511" spans="1:6">
      <c r="A4511" s="30">
        <f t="shared" si="148"/>
        <v>47601</v>
      </c>
      <c r="B4511" s="32" t="s">
        <v>199</v>
      </c>
      <c r="C4511" t="s">
        <v>6</v>
      </c>
      <c r="D4511">
        <f>IF(B4511=$AB$2,$AC$2,$AC$3)</f>
        <v>1</v>
      </c>
      <c r="E4511">
        <f>IF(ISBLANK(C4511),0,VLOOKUP(C4511,$AE$2:$AF$7,2,0))</f>
        <v>1</v>
      </c>
      <c r="F4511">
        <f t="shared" si="149"/>
        <v>1</v>
      </c>
    </row>
    <row r="4512" spans="1:6">
      <c r="A4512" s="30">
        <f t="shared" si="148"/>
        <v>47602</v>
      </c>
      <c r="B4512" s="32" t="s">
        <v>199</v>
      </c>
      <c r="C4512" t="s">
        <v>6</v>
      </c>
      <c r="D4512">
        <f>IF(B4512=$AB$2,$AC$2,$AC$3)</f>
        <v>1</v>
      </c>
      <c r="E4512">
        <f>IF(ISBLANK(C4512),0,VLOOKUP(C4512,$AE$2:$AF$7,2,0))</f>
        <v>1</v>
      </c>
      <c r="F4512">
        <f t="shared" si="149"/>
        <v>1</v>
      </c>
    </row>
    <row r="4513" spans="1:6">
      <c r="A4513" s="30">
        <f t="shared" si="148"/>
        <v>47603</v>
      </c>
      <c r="B4513" s="32" t="s">
        <v>199</v>
      </c>
      <c r="C4513" t="s">
        <v>6</v>
      </c>
      <c r="D4513">
        <f>IF(B4513=$AB$2,$AC$2,$AC$3)</f>
        <v>1</v>
      </c>
      <c r="E4513">
        <f>IF(ISBLANK(C4513),0,VLOOKUP(C4513,$AE$2:$AF$7,2,0))</f>
        <v>1</v>
      </c>
      <c r="F4513">
        <f t="shared" si="149"/>
        <v>1</v>
      </c>
    </row>
    <row r="4514" spans="1:6">
      <c r="A4514" s="30">
        <f t="shared" ref="A4514:A4562" si="150">A4513+1</f>
        <v>47604</v>
      </c>
      <c r="B4514" s="32" t="s">
        <v>199</v>
      </c>
      <c r="C4514" t="s">
        <v>6</v>
      </c>
      <c r="D4514">
        <f>IF(B4514=$AB$2,$AC$2,$AC$3)</f>
        <v>1</v>
      </c>
      <c r="E4514">
        <f>IF(ISBLANK(C4514),0,VLOOKUP(C4514,$AE$2:$AF$7,2,0))</f>
        <v>1</v>
      </c>
      <c r="F4514">
        <f t="shared" si="149"/>
        <v>1</v>
      </c>
    </row>
    <row r="4515" spans="1:6">
      <c r="A4515" s="30">
        <f t="shared" si="150"/>
        <v>47605</v>
      </c>
      <c r="B4515" s="32" t="s">
        <v>199</v>
      </c>
      <c r="C4515" t="s">
        <v>6</v>
      </c>
      <c r="D4515">
        <f>IF(B4515=$AB$2,$AC$2,$AC$3)</f>
        <v>1</v>
      </c>
      <c r="E4515">
        <f>IF(ISBLANK(C4515),0,VLOOKUP(C4515,$AE$2:$AF$7,2,0))</f>
        <v>1</v>
      </c>
      <c r="F4515">
        <f t="shared" si="149"/>
        <v>1</v>
      </c>
    </row>
    <row r="4516" spans="1:6">
      <c r="A4516" s="30">
        <f t="shared" si="150"/>
        <v>47606</v>
      </c>
      <c r="B4516" s="32" t="s">
        <v>199</v>
      </c>
      <c r="C4516" t="s">
        <v>6</v>
      </c>
      <c r="D4516">
        <f>IF(B4516=$AB$2,$AC$2,$AC$3)</f>
        <v>1</v>
      </c>
      <c r="E4516">
        <f>IF(ISBLANK(C4516),0,VLOOKUP(C4516,$AE$2:$AF$7,2,0))</f>
        <v>1</v>
      </c>
      <c r="F4516">
        <f t="shared" si="149"/>
        <v>1</v>
      </c>
    </row>
    <row r="4517" spans="1:6">
      <c r="A4517" s="30">
        <f t="shared" si="150"/>
        <v>47607</v>
      </c>
      <c r="B4517" s="32" t="s">
        <v>199</v>
      </c>
      <c r="C4517" t="s">
        <v>6</v>
      </c>
      <c r="D4517">
        <f>IF(B4517=$AB$2,$AC$2,$AC$3)</f>
        <v>1</v>
      </c>
      <c r="E4517">
        <f>IF(ISBLANK(C4517),0,VLOOKUP(C4517,$AE$2:$AF$7,2,0))</f>
        <v>1</v>
      </c>
      <c r="F4517">
        <f t="shared" si="149"/>
        <v>1</v>
      </c>
    </row>
    <row r="4518" spans="1:6">
      <c r="A4518" s="30">
        <f t="shared" si="150"/>
        <v>47608</v>
      </c>
      <c r="B4518" s="32" t="s">
        <v>199</v>
      </c>
      <c r="C4518" t="s">
        <v>6</v>
      </c>
      <c r="D4518">
        <f>IF(B4518=$AB$2,$AC$2,$AC$3)</f>
        <v>1</v>
      </c>
      <c r="E4518">
        <f>IF(ISBLANK(C4518),0,VLOOKUP(C4518,$AE$2:$AF$7,2,0))</f>
        <v>1</v>
      </c>
      <c r="F4518">
        <f t="shared" si="149"/>
        <v>1</v>
      </c>
    </row>
    <row r="4519" spans="1:6">
      <c r="A4519" s="30">
        <f t="shared" si="150"/>
        <v>47609</v>
      </c>
      <c r="B4519" s="32" t="s">
        <v>199</v>
      </c>
      <c r="C4519" t="s">
        <v>6</v>
      </c>
      <c r="D4519">
        <f>IF(B4519=$AB$2,$AC$2,$AC$3)</f>
        <v>1</v>
      </c>
      <c r="E4519">
        <f>IF(ISBLANK(C4519),0,VLOOKUP(C4519,$AE$2:$AF$7,2,0))</f>
        <v>1</v>
      </c>
      <c r="F4519">
        <f t="shared" si="149"/>
        <v>1</v>
      </c>
    </row>
    <row r="4520" spans="1:6">
      <c r="A4520" s="30">
        <f t="shared" si="150"/>
        <v>47610</v>
      </c>
      <c r="B4520" s="32" t="s">
        <v>199</v>
      </c>
      <c r="C4520" t="s">
        <v>6</v>
      </c>
      <c r="D4520">
        <f>IF(B4520=$AB$2,$AC$2,$AC$3)</f>
        <v>1</v>
      </c>
      <c r="E4520">
        <f>IF(ISBLANK(C4520),0,VLOOKUP(C4520,$AE$2:$AF$7,2,0))</f>
        <v>1</v>
      </c>
      <c r="F4520">
        <f t="shared" si="149"/>
        <v>1</v>
      </c>
    </row>
    <row r="4521" spans="1:6">
      <c r="A4521" s="30">
        <f t="shared" si="150"/>
        <v>47611</v>
      </c>
      <c r="B4521" s="32" t="s">
        <v>199</v>
      </c>
      <c r="C4521" t="s">
        <v>6</v>
      </c>
      <c r="D4521">
        <f>IF(B4521=$AB$2,$AC$2,$AC$3)</f>
        <v>1</v>
      </c>
      <c r="E4521">
        <f>IF(ISBLANK(C4521),0,VLOOKUP(C4521,$AE$2:$AF$7,2,0))</f>
        <v>1</v>
      </c>
      <c r="F4521">
        <f t="shared" si="149"/>
        <v>1</v>
      </c>
    </row>
    <row r="4522" spans="1:6">
      <c r="A4522" s="30">
        <f t="shared" si="150"/>
        <v>47612</v>
      </c>
      <c r="B4522" s="32" t="s">
        <v>199</v>
      </c>
      <c r="C4522" t="s">
        <v>6</v>
      </c>
      <c r="D4522">
        <f>IF(B4522=$AB$2,$AC$2,$AC$3)</f>
        <v>1</v>
      </c>
      <c r="E4522">
        <f>IF(ISBLANK(C4522),0,VLOOKUP(C4522,$AE$2:$AF$7,2,0))</f>
        <v>1</v>
      </c>
      <c r="F4522">
        <f t="shared" si="149"/>
        <v>1</v>
      </c>
    </row>
    <row r="4523" spans="1:6">
      <c r="A4523" s="30">
        <f t="shared" si="150"/>
        <v>47613</v>
      </c>
      <c r="B4523" s="32" t="s">
        <v>199</v>
      </c>
      <c r="C4523" t="s">
        <v>6</v>
      </c>
      <c r="D4523">
        <f>IF(B4523=$AB$2,$AC$2,$AC$3)</f>
        <v>1</v>
      </c>
      <c r="E4523">
        <f>IF(ISBLANK(C4523),0,VLOOKUP(C4523,$AE$2:$AF$7,2,0))</f>
        <v>1</v>
      </c>
      <c r="F4523">
        <f t="shared" si="149"/>
        <v>1</v>
      </c>
    </row>
    <row r="4524" spans="1:6">
      <c r="A4524" s="30">
        <f t="shared" si="150"/>
        <v>47614</v>
      </c>
      <c r="B4524" s="32" t="s">
        <v>199</v>
      </c>
      <c r="C4524" t="s">
        <v>6</v>
      </c>
      <c r="D4524">
        <f>IF(B4524=$AB$2,$AC$2,$AC$3)</f>
        <v>1</v>
      </c>
      <c r="E4524">
        <f>IF(ISBLANK(C4524),0,VLOOKUP(C4524,$AE$2:$AF$7,2,0))</f>
        <v>1</v>
      </c>
      <c r="F4524">
        <f t="shared" si="149"/>
        <v>1</v>
      </c>
    </row>
    <row r="4525" spans="1:6">
      <c r="A4525" s="30">
        <f t="shared" si="150"/>
        <v>47615</v>
      </c>
      <c r="B4525" s="32" t="s">
        <v>199</v>
      </c>
      <c r="C4525" t="s">
        <v>6</v>
      </c>
      <c r="D4525">
        <f>IF(B4525=$AB$2,$AC$2,$AC$3)</f>
        <v>1</v>
      </c>
      <c r="E4525">
        <f>IF(ISBLANK(C4525),0,VLOOKUP(C4525,$AE$2:$AF$7,2,0))</f>
        <v>1</v>
      </c>
      <c r="F4525">
        <f t="shared" si="149"/>
        <v>1</v>
      </c>
    </row>
    <row r="4526" spans="1:6">
      <c r="A4526" s="30">
        <f t="shared" si="150"/>
        <v>47616</v>
      </c>
      <c r="B4526" s="32" t="s">
        <v>199</v>
      </c>
      <c r="C4526" t="s">
        <v>6</v>
      </c>
      <c r="D4526">
        <f>IF(B4526=$AB$2,$AC$2,$AC$3)</f>
        <v>1</v>
      </c>
      <c r="E4526">
        <f>IF(ISBLANK(C4526),0,VLOOKUP(C4526,$AE$2:$AF$7,2,0))</f>
        <v>1</v>
      </c>
      <c r="F4526">
        <f t="shared" si="149"/>
        <v>1</v>
      </c>
    </row>
    <row r="4527" spans="1:6">
      <c r="A4527" s="30">
        <f t="shared" si="150"/>
        <v>47617</v>
      </c>
      <c r="B4527" s="32" t="s">
        <v>199</v>
      </c>
      <c r="C4527" t="s">
        <v>6</v>
      </c>
      <c r="D4527">
        <f>IF(B4527=$AB$2,$AC$2,$AC$3)</f>
        <v>1</v>
      </c>
      <c r="E4527">
        <f>IF(ISBLANK(C4527),0,VLOOKUP(C4527,$AE$2:$AF$7,2,0))</f>
        <v>1</v>
      </c>
      <c r="F4527">
        <f t="shared" si="149"/>
        <v>1</v>
      </c>
    </row>
    <row r="4528" spans="1:6">
      <c r="A4528" s="30">
        <f t="shared" si="150"/>
        <v>47618</v>
      </c>
      <c r="B4528" s="32" t="s">
        <v>199</v>
      </c>
      <c r="C4528" t="s">
        <v>6</v>
      </c>
      <c r="D4528">
        <f>IF(B4528=$AB$2,$AC$2,$AC$3)</f>
        <v>1</v>
      </c>
      <c r="E4528">
        <f>IF(ISBLANK(C4528),0,VLOOKUP(C4528,$AE$2:$AF$7,2,0))</f>
        <v>1</v>
      </c>
      <c r="F4528">
        <f t="shared" si="149"/>
        <v>1</v>
      </c>
    </row>
    <row r="4529" spans="1:6">
      <c r="A4529" s="30">
        <f t="shared" si="150"/>
        <v>47619</v>
      </c>
      <c r="B4529" s="32" t="s">
        <v>199</v>
      </c>
      <c r="C4529" t="s">
        <v>6</v>
      </c>
      <c r="D4529">
        <f>IF(B4529=$AB$2,$AC$2,$AC$3)</f>
        <v>1</v>
      </c>
      <c r="E4529">
        <f>IF(ISBLANK(C4529),0,VLOOKUP(C4529,$AE$2:$AF$7,2,0))</f>
        <v>1</v>
      </c>
      <c r="F4529">
        <f t="shared" si="149"/>
        <v>1</v>
      </c>
    </row>
    <row r="4530" spans="1:6">
      <c r="A4530" s="30">
        <f t="shared" si="150"/>
        <v>47620</v>
      </c>
      <c r="B4530" s="32" t="s">
        <v>199</v>
      </c>
      <c r="C4530" t="s">
        <v>6</v>
      </c>
      <c r="D4530">
        <f>IF(B4530=$AB$2,$AC$2,$AC$3)</f>
        <v>1</v>
      </c>
      <c r="E4530">
        <f>IF(ISBLANK(C4530),0,VLOOKUP(C4530,$AE$2:$AF$7,2,0))</f>
        <v>1</v>
      </c>
      <c r="F4530">
        <f t="shared" si="149"/>
        <v>1</v>
      </c>
    </row>
    <row r="4531" spans="1:6">
      <c r="A4531" s="30">
        <f t="shared" si="150"/>
        <v>47621</v>
      </c>
      <c r="B4531" s="32" t="s">
        <v>199</v>
      </c>
      <c r="C4531" t="s">
        <v>6</v>
      </c>
      <c r="D4531">
        <f>IF(B4531=$AB$2,$AC$2,$AC$3)</f>
        <v>1</v>
      </c>
      <c r="E4531">
        <f>IF(ISBLANK(C4531),0,VLOOKUP(C4531,$AE$2:$AF$7,2,0))</f>
        <v>1</v>
      </c>
      <c r="F4531">
        <f t="shared" si="149"/>
        <v>1</v>
      </c>
    </row>
    <row r="4532" spans="1:6">
      <c r="A4532" s="30">
        <f t="shared" si="150"/>
        <v>47622</v>
      </c>
      <c r="B4532" s="32" t="s">
        <v>199</v>
      </c>
      <c r="C4532" t="s">
        <v>6</v>
      </c>
      <c r="D4532">
        <f>IF(B4532=$AB$2,$AC$2,$AC$3)</f>
        <v>1</v>
      </c>
      <c r="E4532">
        <f>IF(ISBLANK(C4532),0,VLOOKUP(C4532,$AE$2:$AF$7,2,0))</f>
        <v>1</v>
      </c>
      <c r="F4532">
        <f t="shared" si="149"/>
        <v>1</v>
      </c>
    </row>
    <row r="4533" spans="1:6">
      <c r="A4533" s="30">
        <f t="shared" si="150"/>
        <v>47623</v>
      </c>
      <c r="B4533" s="32" t="s">
        <v>199</v>
      </c>
      <c r="C4533" t="s">
        <v>6</v>
      </c>
      <c r="D4533">
        <f>IF(B4533=$AB$2,$AC$2,$AC$3)</f>
        <v>1</v>
      </c>
      <c r="E4533">
        <f>IF(ISBLANK(C4533),0,VLOOKUP(C4533,$AE$2:$AF$7,2,0))</f>
        <v>1</v>
      </c>
      <c r="F4533">
        <f t="shared" si="149"/>
        <v>1</v>
      </c>
    </row>
    <row r="4534" spans="1:6">
      <c r="A4534" s="30">
        <f t="shared" si="150"/>
        <v>47624</v>
      </c>
      <c r="B4534" s="32" t="s">
        <v>199</v>
      </c>
      <c r="C4534" t="s">
        <v>6</v>
      </c>
      <c r="D4534">
        <f>IF(B4534=$AB$2,$AC$2,$AC$3)</f>
        <v>1</v>
      </c>
      <c r="E4534">
        <f>IF(ISBLANK(C4534),0,VLOOKUP(C4534,$AE$2:$AF$7,2,0))</f>
        <v>1</v>
      </c>
      <c r="F4534">
        <f t="shared" si="149"/>
        <v>1</v>
      </c>
    </row>
    <row r="4535" spans="1:6">
      <c r="A4535" s="30">
        <f t="shared" si="150"/>
        <v>47625</v>
      </c>
      <c r="B4535" s="32" t="s">
        <v>199</v>
      </c>
      <c r="C4535" t="s">
        <v>6</v>
      </c>
      <c r="D4535">
        <f>IF(B4535=$AB$2,$AC$2,$AC$3)</f>
        <v>1</v>
      </c>
      <c r="E4535">
        <f>IF(ISBLANK(C4535),0,VLOOKUP(C4535,$AE$2:$AF$7,2,0))</f>
        <v>1</v>
      </c>
      <c r="F4535">
        <f t="shared" si="149"/>
        <v>1</v>
      </c>
    </row>
    <row r="4536" spans="1:6">
      <c r="A4536" s="30">
        <f t="shared" si="150"/>
        <v>47626</v>
      </c>
      <c r="B4536" s="32" t="s">
        <v>199</v>
      </c>
      <c r="C4536" t="s">
        <v>6</v>
      </c>
      <c r="D4536">
        <f>IF(B4536=$AB$2,$AC$2,$AC$3)</f>
        <v>1</v>
      </c>
      <c r="E4536">
        <f>IF(ISBLANK(C4536),0,VLOOKUP(C4536,$AE$2:$AF$7,2,0))</f>
        <v>1</v>
      </c>
      <c r="F4536">
        <f t="shared" si="149"/>
        <v>1</v>
      </c>
    </row>
    <row r="4537" spans="1:6">
      <c r="A4537" s="30">
        <f t="shared" si="150"/>
        <v>47627</v>
      </c>
      <c r="B4537" s="32" t="s">
        <v>199</v>
      </c>
      <c r="C4537" t="s">
        <v>6</v>
      </c>
      <c r="D4537">
        <f>IF(B4537=$AB$2,$AC$2,$AC$3)</f>
        <v>1</v>
      </c>
      <c r="E4537">
        <f>IF(ISBLANK(C4537),0,VLOOKUP(C4537,$AE$2:$AF$7,2,0))</f>
        <v>1</v>
      </c>
      <c r="F4537">
        <f t="shared" si="149"/>
        <v>1</v>
      </c>
    </row>
    <row r="4538" spans="1:6">
      <c r="A4538" s="30">
        <f t="shared" si="150"/>
        <v>47628</v>
      </c>
      <c r="B4538" s="32" t="s">
        <v>199</v>
      </c>
      <c r="C4538" t="s">
        <v>6</v>
      </c>
      <c r="D4538">
        <f>IF(B4538=$AB$2,$AC$2,$AC$3)</f>
        <v>1</v>
      </c>
      <c r="E4538">
        <f>IF(ISBLANK(C4538),0,VLOOKUP(C4538,$AE$2:$AF$7,2,0))</f>
        <v>1</v>
      </c>
      <c r="F4538">
        <f t="shared" si="149"/>
        <v>1</v>
      </c>
    </row>
    <row r="4539" spans="1:6">
      <c r="A4539" s="30">
        <f t="shared" si="150"/>
        <v>47629</v>
      </c>
      <c r="B4539" s="32" t="s">
        <v>199</v>
      </c>
      <c r="C4539" t="s">
        <v>6</v>
      </c>
      <c r="D4539">
        <f>IF(B4539=$AB$2,$AC$2,$AC$3)</f>
        <v>1</v>
      </c>
      <c r="E4539">
        <f>IF(ISBLANK(C4539),0,VLOOKUP(C4539,$AE$2:$AF$7,2,0))</f>
        <v>1</v>
      </c>
      <c r="F4539">
        <f t="shared" si="149"/>
        <v>1</v>
      </c>
    </row>
    <row r="4540" spans="1:6">
      <c r="A4540" s="30">
        <f t="shared" si="150"/>
        <v>47630</v>
      </c>
      <c r="B4540" s="32" t="s">
        <v>199</v>
      </c>
      <c r="C4540" t="s">
        <v>6</v>
      </c>
      <c r="D4540">
        <f>IF(B4540=$AB$2,$AC$2,$AC$3)</f>
        <v>1</v>
      </c>
      <c r="E4540">
        <f>IF(ISBLANK(C4540),0,VLOOKUP(C4540,$AE$2:$AF$7,2,0))</f>
        <v>1</v>
      </c>
      <c r="F4540">
        <f t="shared" si="149"/>
        <v>1</v>
      </c>
    </row>
    <row r="4541" spans="1:6">
      <c r="A4541" s="30">
        <f t="shared" si="150"/>
        <v>47631</v>
      </c>
      <c r="B4541" s="32" t="s">
        <v>199</v>
      </c>
      <c r="C4541" t="s">
        <v>6</v>
      </c>
      <c r="D4541">
        <f>IF(B4541=$AB$2,$AC$2,$AC$3)</f>
        <v>1</v>
      </c>
      <c r="E4541">
        <f>IF(ISBLANK(C4541),0,VLOOKUP(C4541,$AE$2:$AF$7,2,0))</f>
        <v>1</v>
      </c>
      <c r="F4541">
        <f t="shared" si="149"/>
        <v>1</v>
      </c>
    </row>
    <row r="4542" spans="1:6">
      <c r="A4542" s="30">
        <f t="shared" si="150"/>
        <v>47632</v>
      </c>
      <c r="B4542" s="32" t="s">
        <v>199</v>
      </c>
      <c r="C4542" t="s">
        <v>6</v>
      </c>
      <c r="D4542">
        <f>IF(B4542=$AB$2,$AC$2,$AC$3)</f>
        <v>1</v>
      </c>
      <c r="E4542">
        <f>IF(ISBLANK(C4542),0,VLOOKUP(C4542,$AE$2:$AF$7,2,0))</f>
        <v>1</v>
      </c>
      <c r="F4542">
        <f t="shared" si="149"/>
        <v>1</v>
      </c>
    </row>
    <row r="4543" spans="1:6">
      <c r="A4543" s="30">
        <f t="shared" si="150"/>
        <v>47633</v>
      </c>
      <c r="B4543" s="32" t="s">
        <v>199</v>
      </c>
      <c r="C4543" t="s">
        <v>6</v>
      </c>
      <c r="D4543">
        <f>IF(B4543=$AB$2,$AC$2,$AC$3)</f>
        <v>1</v>
      </c>
      <c r="E4543">
        <f>IF(ISBLANK(C4543),0,VLOOKUP(C4543,$AE$2:$AF$7,2,0))</f>
        <v>1</v>
      </c>
      <c r="F4543">
        <f t="shared" si="149"/>
        <v>1</v>
      </c>
    </row>
    <row r="4544" spans="1:6">
      <c r="A4544" s="30">
        <f t="shared" si="150"/>
        <v>47634</v>
      </c>
      <c r="B4544" s="32" t="s">
        <v>199</v>
      </c>
      <c r="C4544" t="s">
        <v>6</v>
      </c>
      <c r="D4544">
        <f>IF(B4544=$AB$2,$AC$2,$AC$3)</f>
        <v>1</v>
      </c>
      <c r="E4544">
        <f>IF(ISBLANK(C4544),0,VLOOKUP(C4544,$AE$2:$AF$7,2,0))</f>
        <v>1</v>
      </c>
      <c r="F4544">
        <f t="shared" si="149"/>
        <v>1</v>
      </c>
    </row>
    <row r="4545" spans="1:6">
      <c r="A4545" s="30">
        <f t="shared" si="150"/>
        <v>47635</v>
      </c>
      <c r="B4545" s="32" t="s">
        <v>199</v>
      </c>
      <c r="C4545" t="s">
        <v>6</v>
      </c>
      <c r="D4545">
        <f>IF(B4545=$AB$2,$AC$2,$AC$3)</f>
        <v>1</v>
      </c>
      <c r="E4545">
        <f>IF(ISBLANK(C4545),0,VLOOKUP(C4545,$AE$2:$AF$7,2,0))</f>
        <v>1</v>
      </c>
      <c r="F4545">
        <f t="shared" si="149"/>
        <v>1</v>
      </c>
    </row>
    <row r="4546" spans="1:6">
      <c r="A4546" s="30">
        <f t="shared" si="150"/>
        <v>47636</v>
      </c>
      <c r="B4546" s="32" t="s">
        <v>199</v>
      </c>
      <c r="C4546" t="s">
        <v>6</v>
      </c>
      <c r="D4546">
        <f>IF(B4546=$AB$2,$AC$2,$AC$3)</f>
        <v>1</v>
      </c>
      <c r="E4546">
        <f>IF(ISBLANK(C4546),0,VLOOKUP(C4546,$AE$2:$AF$7,2,0))</f>
        <v>1</v>
      </c>
      <c r="F4546">
        <f t="shared" si="149"/>
        <v>1</v>
      </c>
    </row>
    <row r="4547" spans="1:6">
      <c r="A4547" s="30">
        <f t="shared" si="150"/>
        <v>47637</v>
      </c>
      <c r="B4547" s="32" t="s">
        <v>199</v>
      </c>
      <c r="C4547" t="s">
        <v>6</v>
      </c>
      <c r="D4547">
        <f>IF(B4547=$AB$2,$AC$2,$AC$3)</f>
        <v>1</v>
      </c>
      <c r="E4547">
        <f>IF(ISBLANK(C4547),0,VLOOKUP(C4547,$AE$2:$AF$7,2,0))</f>
        <v>1</v>
      </c>
      <c r="F4547">
        <f t="shared" ref="F4547:F4562" si="151">D4547*E4547</f>
        <v>1</v>
      </c>
    </row>
    <row r="4548" spans="1:6">
      <c r="A4548" s="30">
        <f t="shared" si="150"/>
        <v>47638</v>
      </c>
      <c r="B4548" s="32" t="s">
        <v>199</v>
      </c>
      <c r="C4548" t="s">
        <v>6</v>
      </c>
      <c r="D4548">
        <f>IF(B4548=$AB$2,$AC$2,$AC$3)</f>
        <v>1</v>
      </c>
      <c r="E4548">
        <f>IF(ISBLANK(C4548),0,VLOOKUP(C4548,$AE$2:$AF$7,2,0))</f>
        <v>1</v>
      </c>
      <c r="F4548">
        <f t="shared" si="151"/>
        <v>1</v>
      </c>
    </row>
    <row r="4549" spans="1:6">
      <c r="A4549" s="30">
        <f t="shared" si="150"/>
        <v>47639</v>
      </c>
      <c r="B4549" s="32" t="s">
        <v>199</v>
      </c>
      <c r="C4549" t="s">
        <v>6</v>
      </c>
      <c r="D4549">
        <f>IF(B4549=$AB$2,$AC$2,$AC$3)</f>
        <v>1</v>
      </c>
      <c r="E4549">
        <f>IF(ISBLANK(C4549),0,VLOOKUP(C4549,$AE$2:$AF$7,2,0))</f>
        <v>1</v>
      </c>
      <c r="F4549">
        <f t="shared" si="151"/>
        <v>1</v>
      </c>
    </row>
    <row r="4550" spans="1:6">
      <c r="A4550" s="30">
        <f t="shared" si="150"/>
        <v>47640</v>
      </c>
      <c r="B4550" s="32" t="s">
        <v>199</v>
      </c>
      <c r="C4550" t="s">
        <v>6</v>
      </c>
      <c r="D4550">
        <f>IF(B4550=$AB$2,$AC$2,$AC$3)</f>
        <v>1</v>
      </c>
      <c r="E4550">
        <f>IF(ISBLANK(C4550),0,VLOOKUP(C4550,$AE$2:$AF$7,2,0))</f>
        <v>1</v>
      </c>
      <c r="F4550">
        <f t="shared" si="151"/>
        <v>1</v>
      </c>
    </row>
    <row r="4551" spans="1:6">
      <c r="A4551" s="30">
        <f t="shared" si="150"/>
        <v>47641</v>
      </c>
      <c r="B4551" s="32" t="s">
        <v>199</v>
      </c>
      <c r="C4551" t="s">
        <v>6</v>
      </c>
      <c r="D4551">
        <f>IF(B4551=$AB$2,$AC$2,$AC$3)</f>
        <v>1</v>
      </c>
      <c r="E4551">
        <f>IF(ISBLANK(C4551),0,VLOOKUP(C4551,$AE$2:$AF$7,2,0))</f>
        <v>1</v>
      </c>
      <c r="F4551">
        <f t="shared" si="151"/>
        <v>1</v>
      </c>
    </row>
    <row r="4552" spans="1:6">
      <c r="A4552" s="30">
        <f t="shared" si="150"/>
        <v>47642</v>
      </c>
      <c r="B4552" s="32" t="s">
        <v>199</v>
      </c>
      <c r="C4552" t="s">
        <v>6</v>
      </c>
      <c r="D4552">
        <f>IF(B4552=$AB$2,$AC$2,$AC$3)</f>
        <v>1</v>
      </c>
      <c r="E4552">
        <f>IF(ISBLANK(C4552),0,VLOOKUP(C4552,$AE$2:$AF$7,2,0))</f>
        <v>1</v>
      </c>
      <c r="F4552">
        <f t="shared" si="151"/>
        <v>1</v>
      </c>
    </row>
    <row r="4553" spans="1:6">
      <c r="A4553" s="30">
        <f t="shared" si="150"/>
        <v>47643</v>
      </c>
      <c r="B4553" s="32" t="s">
        <v>199</v>
      </c>
      <c r="C4553" t="s">
        <v>6</v>
      </c>
      <c r="D4553">
        <f>IF(B4553=$AB$2,$AC$2,$AC$3)</f>
        <v>1</v>
      </c>
      <c r="E4553">
        <f>IF(ISBLANK(C4553),0,VLOOKUP(C4553,$AE$2:$AF$7,2,0))</f>
        <v>1</v>
      </c>
      <c r="F4553">
        <f t="shared" si="151"/>
        <v>1</v>
      </c>
    </row>
    <row r="4554" spans="1:6">
      <c r="A4554" s="30">
        <f t="shared" si="150"/>
        <v>47644</v>
      </c>
      <c r="B4554" s="32" t="s">
        <v>199</v>
      </c>
      <c r="C4554" t="s">
        <v>6</v>
      </c>
      <c r="D4554">
        <f>IF(B4554=$AB$2,$AC$2,$AC$3)</f>
        <v>1</v>
      </c>
      <c r="E4554">
        <f>IF(ISBLANK(C4554),0,VLOOKUP(C4554,$AE$2:$AF$7,2,0))</f>
        <v>1</v>
      </c>
      <c r="F4554">
        <f t="shared" si="151"/>
        <v>1</v>
      </c>
    </row>
    <row r="4555" spans="1:6">
      <c r="A4555" s="30">
        <f t="shared" si="150"/>
        <v>47645</v>
      </c>
      <c r="B4555" s="32" t="s">
        <v>199</v>
      </c>
      <c r="C4555" t="s">
        <v>6</v>
      </c>
      <c r="D4555">
        <f>IF(B4555=$AB$2,$AC$2,$AC$3)</f>
        <v>1</v>
      </c>
      <c r="E4555">
        <f>IF(ISBLANK(C4555),0,VLOOKUP(C4555,$AE$2:$AF$7,2,0))</f>
        <v>1</v>
      </c>
      <c r="F4555">
        <f t="shared" si="151"/>
        <v>1</v>
      </c>
    </row>
    <row r="4556" spans="1:6">
      <c r="A4556" s="30">
        <f t="shared" si="150"/>
        <v>47646</v>
      </c>
      <c r="B4556" s="32" t="s">
        <v>199</v>
      </c>
      <c r="C4556" t="s">
        <v>6</v>
      </c>
      <c r="D4556">
        <f>IF(B4556=$AB$2,$AC$2,$AC$3)</f>
        <v>1</v>
      </c>
      <c r="E4556">
        <f>IF(ISBLANK(C4556),0,VLOOKUP(C4556,$AE$2:$AF$7,2,0))</f>
        <v>1</v>
      </c>
      <c r="F4556">
        <f t="shared" si="151"/>
        <v>1</v>
      </c>
    </row>
    <row r="4557" spans="1:6">
      <c r="A4557" s="30">
        <f t="shared" si="150"/>
        <v>47647</v>
      </c>
      <c r="B4557" s="32" t="s">
        <v>199</v>
      </c>
      <c r="C4557" t="s">
        <v>6</v>
      </c>
      <c r="D4557">
        <f>IF(B4557=$AB$2,$AC$2,$AC$3)</f>
        <v>1</v>
      </c>
      <c r="E4557">
        <f>IF(ISBLANK(C4557),0,VLOOKUP(C4557,$AE$2:$AF$7,2,0))</f>
        <v>1</v>
      </c>
      <c r="F4557">
        <f t="shared" si="151"/>
        <v>1</v>
      </c>
    </row>
    <row r="4558" spans="1:6">
      <c r="A4558" s="30">
        <f t="shared" si="150"/>
        <v>47648</v>
      </c>
      <c r="B4558" s="32" t="s">
        <v>199</v>
      </c>
      <c r="C4558" t="s">
        <v>6</v>
      </c>
      <c r="D4558">
        <f>IF(B4558=$AB$2,$AC$2,$AC$3)</f>
        <v>1</v>
      </c>
      <c r="E4558">
        <f>IF(ISBLANK(C4558),0,VLOOKUP(C4558,$AE$2:$AF$7,2,0))</f>
        <v>1</v>
      </c>
      <c r="F4558">
        <f t="shared" si="151"/>
        <v>1</v>
      </c>
    </row>
    <row r="4559" spans="1:6">
      <c r="A4559" s="30">
        <f t="shared" si="150"/>
        <v>47649</v>
      </c>
      <c r="B4559" s="32" t="s">
        <v>199</v>
      </c>
      <c r="C4559" t="s">
        <v>6</v>
      </c>
      <c r="D4559">
        <f>IF(B4559=$AB$2,$AC$2,$AC$3)</f>
        <v>1</v>
      </c>
      <c r="E4559">
        <f>IF(ISBLANK(C4559),0,VLOOKUP(C4559,$AE$2:$AF$7,2,0))</f>
        <v>1</v>
      </c>
      <c r="F4559">
        <f t="shared" si="151"/>
        <v>1</v>
      </c>
    </row>
    <row r="4560" spans="1:6">
      <c r="A4560" s="30">
        <f t="shared" si="150"/>
        <v>47650</v>
      </c>
      <c r="B4560" s="32" t="s">
        <v>199</v>
      </c>
      <c r="C4560" t="s">
        <v>6</v>
      </c>
      <c r="D4560">
        <f>IF(B4560=$AB$2,$AC$2,$AC$3)</f>
        <v>1</v>
      </c>
      <c r="E4560">
        <f>IF(ISBLANK(C4560),0,VLOOKUP(C4560,$AE$2:$AF$7,2,0))</f>
        <v>1</v>
      </c>
      <c r="F4560">
        <f t="shared" si="151"/>
        <v>1</v>
      </c>
    </row>
    <row r="4561" spans="1:6">
      <c r="A4561" s="30">
        <f t="shared" si="150"/>
        <v>47651</v>
      </c>
      <c r="B4561" s="32" t="s">
        <v>199</v>
      </c>
      <c r="C4561" t="s">
        <v>6</v>
      </c>
      <c r="D4561">
        <f>IF(B4561=$AB$2,$AC$2,$AC$3)</f>
        <v>1</v>
      </c>
      <c r="E4561">
        <f>IF(ISBLANK(C4561),0,VLOOKUP(C4561,$AE$2:$AF$7,2,0))</f>
        <v>1</v>
      </c>
      <c r="F4561">
        <f t="shared" si="151"/>
        <v>1</v>
      </c>
    </row>
    <row r="4562" spans="1:6">
      <c r="A4562" s="30">
        <f t="shared" si="150"/>
        <v>47652</v>
      </c>
      <c r="B4562" s="32" t="s">
        <v>199</v>
      </c>
      <c r="C4562" t="s">
        <v>6</v>
      </c>
      <c r="D4562">
        <f>IF(B4562=$AB$2,$AC$2,$AC$3)</f>
        <v>1</v>
      </c>
      <c r="E4562">
        <f>IF(ISBLANK(C4562),0,VLOOKUP(C4562,$AE$2:$AF$7,2,0))</f>
        <v>1</v>
      </c>
      <c r="F4562">
        <f t="shared" si="151"/>
        <v>1</v>
      </c>
    </row>
    <row r="4563" spans="1:6">
      <c r="A4563" s="30">
        <f t="shared" ref="A4563:A4626" si="152">A4562+1</f>
        <v>47653</v>
      </c>
      <c r="B4563" s="32" t="s">
        <v>199</v>
      </c>
      <c r="C4563" t="s">
        <v>6</v>
      </c>
      <c r="D4563">
        <f t="shared" ref="D4563:D4626" si="153">IF(B4563=$AB$2,$AC$2,$AC$3)</f>
        <v>1</v>
      </c>
      <c r="E4563">
        <f t="shared" ref="E4563:E4626" si="154">IF(ISBLANK(C4563),0,VLOOKUP(C4563,$AE$2:$AF$7,2,0))</f>
        <v>1</v>
      </c>
      <c r="F4563">
        <f t="shared" ref="F4563:F4626" si="155">D4563*E4563</f>
        <v>1</v>
      </c>
    </row>
    <row r="4564" spans="1:6">
      <c r="A4564" s="30">
        <f t="shared" si="152"/>
        <v>47654</v>
      </c>
      <c r="B4564" s="32" t="s">
        <v>199</v>
      </c>
      <c r="C4564" t="s">
        <v>6</v>
      </c>
      <c r="D4564">
        <f t="shared" si="153"/>
        <v>1</v>
      </c>
      <c r="E4564">
        <f t="shared" si="154"/>
        <v>1</v>
      </c>
      <c r="F4564">
        <f t="shared" si="155"/>
        <v>1</v>
      </c>
    </row>
    <row r="4565" spans="1:6">
      <c r="A4565" s="30">
        <f t="shared" si="152"/>
        <v>47655</v>
      </c>
      <c r="B4565" s="32" t="s">
        <v>199</v>
      </c>
      <c r="C4565" t="s">
        <v>6</v>
      </c>
      <c r="D4565">
        <f t="shared" si="153"/>
        <v>1</v>
      </c>
      <c r="E4565">
        <f t="shared" si="154"/>
        <v>1</v>
      </c>
      <c r="F4565">
        <f t="shared" si="155"/>
        <v>1</v>
      </c>
    </row>
    <row r="4566" spans="1:6">
      <c r="A4566" s="30">
        <f t="shared" si="152"/>
        <v>47656</v>
      </c>
      <c r="B4566" s="32" t="s">
        <v>199</v>
      </c>
      <c r="C4566" t="s">
        <v>6</v>
      </c>
      <c r="D4566">
        <f t="shared" si="153"/>
        <v>1</v>
      </c>
      <c r="E4566">
        <f t="shared" si="154"/>
        <v>1</v>
      </c>
      <c r="F4566">
        <f t="shared" si="155"/>
        <v>1</v>
      </c>
    </row>
    <row r="4567" spans="1:6">
      <c r="A4567" s="30">
        <f t="shared" si="152"/>
        <v>47657</v>
      </c>
      <c r="B4567" s="32" t="s">
        <v>199</v>
      </c>
      <c r="C4567" t="s">
        <v>6</v>
      </c>
      <c r="D4567">
        <f t="shared" si="153"/>
        <v>1</v>
      </c>
      <c r="E4567">
        <f t="shared" si="154"/>
        <v>1</v>
      </c>
      <c r="F4567">
        <f t="shared" si="155"/>
        <v>1</v>
      </c>
    </row>
    <row r="4568" spans="1:6">
      <c r="A4568" s="30">
        <f t="shared" si="152"/>
        <v>47658</v>
      </c>
      <c r="B4568" s="32" t="s">
        <v>199</v>
      </c>
      <c r="C4568" t="s">
        <v>6</v>
      </c>
      <c r="D4568">
        <f t="shared" si="153"/>
        <v>1</v>
      </c>
      <c r="E4568">
        <f t="shared" si="154"/>
        <v>1</v>
      </c>
      <c r="F4568">
        <f t="shared" si="155"/>
        <v>1</v>
      </c>
    </row>
    <row r="4569" spans="1:6">
      <c r="A4569" s="30">
        <f t="shared" si="152"/>
        <v>47659</v>
      </c>
      <c r="B4569" s="32" t="s">
        <v>199</v>
      </c>
      <c r="C4569" t="s">
        <v>6</v>
      </c>
      <c r="D4569">
        <f t="shared" si="153"/>
        <v>1</v>
      </c>
      <c r="E4569">
        <f t="shared" si="154"/>
        <v>1</v>
      </c>
      <c r="F4569">
        <f t="shared" si="155"/>
        <v>1</v>
      </c>
    </row>
    <row r="4570" spans="1:6">
      <c r="A4570" s="30">
        <f t="shared" si="152"/>
        <v>47660</v>
      </c>
      <c r="B4570" s="32" t="s">
        <v>199</v>
      </c>
      <c r="C4570" t="s">
        <v>6</v>
      </c>
      <c r="D4570">
        <f t="shared" si="153"/>
        <v>1</v>
      </c>
      <c r="E4570">
        <f t="shared" si="154"/>
        <v>1</v>
      </c>
      <c r="F4570">
        <f t="shared" si="155"/>
        <v>1</v>
      </c>
    </row>
    <row r="4571" spans="1:6">
      <c r="A4571" s="30">
        <f t="shared" si="152"/>
        <v>47661</v>
      </c>
      <c r="B4571" s="32" t="s">
        <v>199</v>
      </c>
      <c r="C4571" t="s">
        <v>6</v>
      </c>
      <c r="D4571">
        <f t="shared" si="153"/>
        <v>1</v>
      </c>
      <c r="E4571">
        <f t="shared" si="154"/>
        <v>1</v>
      </c>
      <c r="F4571">
        <f t="shared" si="155"/>
        <v>1</v>
      </c>
    </row>
    <row r="4572" spans="1:6">
      <c r="A4572" s="30">
        <f t="shared" si="152"/>
        <v>47662</v>
      </c>
      <c r="B4572" s="32" t="s">
        <v>199</v>
      </c>
      <c r="C4572" t="s">
        <v>6</v>
      </c>
      <c r="D4572">
        <f t="shared" si="153"/>
        <v>1</v>
      </c>
      <c r="E4572">
        <f t="shared" si="154"/>
        <v>1</v>
      </c>
      <c r="F4572">
        <f t="shared" si="155"/>
        <v>1</v>
      </c>
    </row>
    <row r="4573" spans="1:6">
      <c r="A4573" s="30">
        <f t="shared" si="152"/>
        <v>47663</v>
      </c>
      <c r="B4573" s="32" t="s">
        <v>199</v>
      </c>
      <c r="C4573" t="s">
        <v>6</v>
      </c>
      <c r="D4573">
        <f t="shared" si="153"/>
        <v>1</v>
      </c>
      <c r="E4573">
        <f t="shared" si="154"/>
        <v>1</v>
      </c>
      <c r="F4573">
        <f t="shared" si="155"/>
        <v>1</v>
      </c>
    </row>
    <row r="4574" spans="1:6">
      <c r="A4574" s="30">
        <f t="shared" si="152"/>
        <v>47664</v>
      </c>
      <c r="B4574" s="32" t="s">
        <v>199</v>
      </c>
      <c r="C4574" t="s">
        <v>6</v>
      </c>
      <c r="D4574">
        <f t="shared" si="153"/>
        <v>1</v>
      </c>
      <c r="E4574">
        <f t="shared" si="154"/>
        <v>1</v>
      </c>
      <c r="F4574">
        <f t="shared" si="155"/>
        <v>1</v>
      </c>
    </row>
    <row r="4575" spans="1:6">
      <c r="A4575" s="30">
        <f t="shared" si="152"/>
        <v>47665</v>
      </c>
      <c r="B4575" s="32" t="s">
        <v>199</v>
      </c>
      <c r="C4575" t="s">
        <v>6</v>
      </c>
      <c r="D4575">
        <f t="shared" si="153"/>
        <v>1</v>
      </c>
      <c r="E4575">
        <f t="shared" si="154"/>
        <v>1</v>
      </c>
      <c r="F4575">
        <f t="shared" si="155"/>
        <v>1</v>
      </c>
    </row>
    <row r="4576" spans="1:6">
      <c r="A4576" s="30">
        <f t="shared" si="152"/>
        <v>47666</v>
      </c>
      <c r="B4576" s="32" t="s">
        <v>199</v>
      </c>
      <c r="C4576" t="s">
        <v>6</v>
      </c>
      <c r="D4576">
        <f t="shared" si="153"/>
        <v>1</v>
      </c>
      <c r="E4576">
        <f t="shared" si="154"/>
        <v>1</v>
      </c>
      <c r="F4576">
        <f t="shared" si="155"/>
        <v>1</v>
      </c>
    </row>
    <row r="4577" spans="1:6">
      <c r="A4577" s="30">
        <f t="shared" si="152"/>
        <v>47667</v>
      </c>
      <c r="B4577" s="32" t="s">
        <v>199</v>
      </c>
      <c r="C4577" t="s">
        <v>6</v>
      </c>
      <c r="D4577">
        <f t="shared" si="153"/>
        <v>1</v>
      </c>
      <c r="E4577">
        <f t="shared" si="154"/>
        <v>1</v>
      </c>
      <c r="F4577">
        <f t="shared" si="155"/>
        <v>1</v>
      </c>
    </row>
    <row r="4578" spans="1:6">
      <c r="A4578" s="30">
        <f t="shared" si="152"/>
        <v>47668</v>
      </c>
      <c r="B4578" s="32" t="s">
        <v>199</v>
      </c>
      <c r="C4578" t="s">
        <v>6</v>
      </c>
      <c r="D4578">
        <f t="shared" si="153"/>
        <v>1</v>
      </c>
      <c r="E4578">
        <f t="shared" si="154"/>
        <v>1</v>
      </c>
      <c r="F4578">
        <f t="shared" si="155"/>
        <v>1</v>
      </c>
    </row>
    <row r="4579" spans="1:6">
      <c r="A4579" s="30">
        <f t="shared" si="152"/>
        <v>47669</v>
      </c>
      <c r="B4579" s="32" t="s">
        <v>199</v>
      </c>
      <c r="C4579" t="s">
        <v>6</v>
      </c>
      <c r="D4579">
        <f t="shared" si="153"/>
        <v>1</v>
      </c>
      <c r="E4579">
        <f t="shared" si="154"/>
        <v>1</v>
      </c>
      <c r="F4579">
        <f t="shared" si="155"/>
        <v>1</v>
      </c>
    </row>
    <row r="4580" spans="1:6">
      <c r="A4580" s="30">
        <f t="shared" si="152"/>
        <v>47670</v>
      </c>
      <c r="B4580" s="32" t="s">
        <v>199</v>
      </c>
      <c r="C4580" t="s">
        <v>6</v>
      </c>
      <c r="D4580">
        <f t="shared" si="153"/>
        <v>1</v>
      </c>
      <c r="E4580">
        <f t="shared" si="154"/>
        <v>1</v>
      </c>
      <c r="F4580">
        <f t="shared" si="155"/>
        <v>1</v>
      </c>
    </row>
    <row r="4581" spans="1:6">
      <c r="A4581" s="30">
        <f t="shared" si="152"/>
        <v>47671</v>
      </c>
      <c r="B4581" s="32" t="s">
        <v>199</v>
      </c>
      <c r="C4581" t="s">
        <v>6</v>
      </c>
      <c r="D4581">
        <f t="shared" si="153"/>
        <v>1</v>
      </c>
      <c r="E4581">
        <f t="shared" si="154"/>
        <v>1</v>
      </c>
      <c r="F4581">
        <f t="shared" si="155"/>
        <v>1</v>
      </c>
    </row>
    <row r="4582" spans="1:6">
      <c r="A4582" s="30">
        <f t="shared" si="152"/>
        <v>47672</v>
      </c>
      <c r="B4582" s="32" t="s">
        <v>199</v>
      </c>
      <c r="C4582" t="s">
        <v>6</v>
      </c>
      <c r="D4582">
        <f t="shared" si="153"/>
        <v>1</v>
      </c>
      <c r="E4582">
        <f t="shared" si="154"/>
        <v>1</v>
      </c>
      <c r="F4582">
        <f t="shared" si="155"/>
        <v>1</v>
      </c>
    </row>
    <row r="4583" spans="1:6">
      <c r="A4583" s="30">
        <f t="shared" si="152"/>
        <v>47673</v>
      </c>
      <c r="B4583" s="32" t="s">
        <v>199</v>
      </c>
      <c r="C4583" t="s">
        <v>6</v>
      </c>
      <c r="D4583">
        <f t="shared" si="153"/>
        <v>1</v>
      </c>
      <c r="E4583">
        <f t="shared" si="154"/>
        <v>1</v>
      </c>
      <c r="F4583">
        <f t="shared" si="155"/>
        <v>1</v>
      </c>
    </row>
    <row r="4584" spans="1:6">
      <c r="A4584" s="30">
        <f t="shared" si="152"/>
        <v>47674</v>
      </c>
      <c r="B4584" s="32" t="s">
        <v>199</v>
      </c>
      <c r="C4584" t="s">
        <v>6</v>
      </c>
      <c r="D4584">
        <f t="shared" si="153"/>
        <v>1</v>
      </c>
      <c r="E4584">
        <f t="shared" si="154"/>
        <v>1</v>
      </c>
      <c r="F4584">
        <f t="shared" si="155"/>
        <v>1</v>
      </c>
    </row>
    <row r="4585" spans="1:6">
      <c r="A4585" s="30">
        <f t="shared" si="152"/>
        <v>47675</v>
      </c>
      <c r="B4585" s="32" t="s">
        <v>199</v>
      </c>
      <c r="C4585" t="s">
        <v>6</v>
      </c>
      <c r="D4585">
        <f t="shared" si="153"/>
        <v>1</v>
      </c>
      <c r="E4585">
        <f t="shared" si="154"/>
        <v>1</v>
      </c>
      <c r="F4585">
        <f t="shared" si="155"/>
        <v>1</v>
      </c>
    </row>
    <row r="4586" spans="1:6">
      <c r="A4586" s="30">
        <f t="shared" si="152"/>
        <v>47676</v>
      </c>
      <c r="B4586" s="32" t="s">
        <v>199</v>
      </c>
      <c r="C4586" t="s">
        <v>6</v>
      </c>
      <c r="D4586">
        <f t="shared" si="153"/>
        <v>1</v>
      </c>
      <c r="E4586">
        <f t="shared" si="154"/>
        <v>1</v>
      </c>
      <c r="F4586">
        <f t="shared" si="155"/>
        <v>1</v>
      </c>
    </row>
    <row r="4587" spans="1:6">
      <c r="A4587" s="30">
        <f t="shared" si="152"/>
        <v>47677</v>
      </c>
      <c r="B4587" s="32" t="s">
        <v>199</v>
      </c>
      <c r="C4587" t="s">
        <v>6</v>
      </c>
      <c r="D4587">
        <f t="shared" si="153"/>
        <v>1</v>
      </c>
      <c r="E4587">
        <f t="shared" si="154"/>
        <v>1</v>
      </c>
      <c r="F4587">
        <f t="shared" si="155"/>
        <v>1</v>
      </c>
    </row>
    <row r="4588" spans="1:6">
      <c r="A4588" s="30">
        <f t="shared" si="152"/>
        <v>47678</v>
      </c>
      <c r="B4588" s="32" t="s">
        <v>199</v>
      </c>
      <c r="C4588" t="s">
        <v>6</v>
      </c>
      <c r="D4588">
        <f t="shared" si="153"/>
        <v>1</v>
      </c>
      <c r="E4588">
        <f t="shared" si="154"/>
        <v>1</v>
      </c>
      <c r="F4588">
        <f t="shared" si="155"/>
        <v>1</v>
      </c>
    </row>
    <row r="4589" spans="1:6">
      <c r="A4589" s="30">
        <f t="shared" si="152"/>
        <v>47679</v>
      </c>
      <c r="B4589" s="32" t="s">
        <v>199</v>
      </c>
      <c r="C4589" t="s">
        <v>6</v>
      </c>
      <c r="D4589">
        <f t="shared" si="153"/>
        <v>1</v>
      </c>
      <c r="E4589">
        <f t="shared" si="154"/>
        <v>1</v>
      </c>
      <c r="F4589">
        <f t="shared" si="155"/>
        <v>1</v>
      </c>
    </row>
    <row r="4590" spans="1:6">
      <c r="A4590" s="30">
        <f t="shared" si="152"/>
        <v>47680</v>
      </c>
      <c r="B4590" s="32" t="s">
        <v>199</v>
      </c>
      <c r="C4590" t="s">
        <v>6</v>
      </c>
      <c r="D4590">
        <f t="shared" si="153"/>
        <v>1</v>
      </c>
      <c r="E4590">
        <f t="shared" si="154"/>
        <v>1</v>
      </c>
      <c r="F4590">
        <f t="shared" si="155"/>
        <v>1</v>
      </c>
    </row>
    <row r="4591" spans="1:6">
      <c r="A4591" s="30">
        <f t="shared" si="152"/>
        <v>47681</v>
      </c>
      <c r="B4591" s="32" t="s">
        <v>199</v>
      </c>
      <c r="C4591" t="s">
        <v>6</v>
      </c>
      <c r="D4591">
        <f t="shared" si="153"/>
        <v>1</v>
      </c>
      <c r="E4591">
        <f t="shared" si="154"/>
        <v>1</v>
      </c>
      <c r="F4591">
        <f t="shared" si="155"/>
        <v>1</v>
      </c>
    </row>
    <row r="4592" spans="1:6">
      <c r="A4592" s="30">
        <f t="shared" si="152"/>
        <v>47682</v>
      </c>
      <c r="B4592" s="32" t="s">
        <v>199</v>
      </c>
      <c r="C4592" t="s">
        <v>6</v>
      </c>
      <c r="D4592">
        <f t="shared" si="153"/>
        <v>1</v>
      </c>
      <c r="E4592">
        <f t="shared" si="154"/>
        <v>1</v>
      </c>
      <c r="F4592">
        <f t="shared" si="155"/>
        <v>1</v>
      </c>
    </row>
    <row r="4593" spans="1:6">
      <c r="A4593" s="30">
        <f t="shared" si="152"/>
        <v>47683</v>
      </c>
      <c r="B4593" s="32" t="s">
        <v>199</v>
      </c>
      <c r="C4593" t="s">
        <v>6</v>
      </c>
      <c r="D4593">
        <f t="shared" si="153"/>
        <v>1</v>
      </c>
      <c r="E4593">
        <f t="shared" si="154"/>
        <v>1</v>
      </c>
      <c r="F4593">
        <f t="shared" si="155"/>
        <v>1</v>
      </c>
    </row>
    <row r="4594" spans="1:6">
      <c r="A4594" s="30">
        <f t="shared" si="152"/>
        <v>47684</v>
      </c>
      <c r="B4594" s="32" t="s">
        <v>199</v>
      </c>
      <c r="C4594" t="s">
        <v>6</v>
      </c>
      <c r="D4594">
        <f t="shared" si="153"/>
        <v>1</v>
      </c>
      <c r="E4594">
        <f t="shared" si="154"/>
        <v>1</v>
      </c>
      <c r="F4594">
        <f t="shared" si="155"/>
        <v>1</v>
      </c>
    </row>
    <row r="4595" spans="1:6">
      <c r="A4595" s="30">
        <f t="shared" si="152"/>
        <v>47685</v>
      </c>
      <c r="B4595" s="32" t="s">
        <v>199</v>
      </c>
      <c r="C4595" t="s">
        <v>6</v>
      </c>
      <c r="D4595">
        <f t="shared" si="153"/>
        <v>1</v>
      </c>
      <c r="E4595">
        <f t="shared" si="154"/>
        <v>1</v>
      </c>
      <c r="F4595">
        <f t="shared" si="155"/>
        <v>1</v>
      </c>
    </row>
    <row r="4596" spans="1:6">
      <c r="A4596" s="30">
        <f t="shared" si="152"/>
        <v>47686</v>
      </c>
      <c r="B4596" s="32" t="s">
        <v>199</v>
      </c>
      <c r="C4596" t="s">
        <v>6</v>
      </c>
      <c r="D4596">
        <f t="shared" si="153"/>
        <v>1</v>
      </c>
      <c r="E4596">
        <f t="shared" si="154"/>
        <v>1</v>
      </c>
      <c r="F4596">
        <f t="shared" si="155"/>
        <v>1</v>
      </c>
    </row>
    <row r="4597" spans="1:6">
      <c r="A4597" s="30">
        <f t="shared" si="152"/>
        <v>47687</v>
      </c>
      <c r="B4597" s="32" t="s">
        <v>199</v>
      </c>
      <c r="C4597" t="s">
        <v>6</v>
      </c>
      <c r="D4597">
        <f t="shared" si="153"/>
        <v>1</v>
      </c>
      <c r="E4597">
        <f t="shared" si="154"/>
        <v>1</v>
      </c>
      <c r="F4597">
        <f t="shared" si="155"/>
        <v>1</v>
      </c>
    </row>
    <row r="4598" spans="1:6">
      <c r="A4598" s="30">
        <f t="shared" si="152"/>
        <v>47688</v>
      </c>
      <c r="B4598" s="32" t="s">
        <v>199</v>
      </c>
      <c r="C4598" t="s">
        <v>6</v>
      </c>
      <c r="D4598">
        <f t="shared" si="153"/>
        <v>1</v>
      </c>
      <c r="E4598">
        <f t="shared" si="154"/>
        <v>1</v>
      </c>
      <c r="F4598">
        <f t="shared" si="155"/>
        <v>1</v>
      </c>
    </row>
    <row r="4599" spans="1:6">
      <c r="A4599" s="30">
        <f t="shared" si="152"/>
        <v>47689</v>
      </c>
      <c r="B4599" s="32" t="s">
        <v>199</v>
      </c>
      <c r="C4599" t="s">
        <v>6</v>
      </c>
      <c r="D4599">
        <f t="shared" si="153"/>
        <v>1</v>
      </c>
      <c r="E4599">
        <f t="shared" si="154"/>
        <v>1</v>
      </c>
      <c r="F4599">
        <f t="shared" si="155"/>
        <v>1</v>
      </c>
    </row>
    <row r="4600" spans="1:6">
      <c r="A4600" s="30">
        <f t="shared" si="152"/>
        <v>47690</v>
      </c>
      <c r="B4600" s="32" t="s">
        <v>199</v>
      </c>
      <c r="C4600" t="s">
        <v>6</v>
      </c>
      <c r="D4600">
        <f t="shared" si="153"/>
        <v>1</v>
      </c>
      <c r="E4600">
        <f t="shared" si="154"/>
        <v>1</v>
      </c>
      <c r="F4600">
        <f t="shared" si="155"/>
        <v>1</v>
      </c>
    </row>
    <row r="4601" spans="1:6">
      <c r="A4601" s="30">
        <f t="shared" si="152"/>
        <v>47691</v>
      </c>
      <c r="B4601" s="32" t="s">
        <v>199</v>
      </c>
      <c r="C4601" t="s">
        <v>6</v>
      </c>
      <c r="D4601">
        <f t="shared" si="153"/>
        <v>1</v>
      </c>
      <c r="E4601">
        <f t="shared" si="154"/>
        <v>1</v>
      </c>
      <c r="F4601">
        <f t="shared" si="155"/>
        <v>1</v>
      </c>
    </row>
    <row r="4602" spans="1:6">
      <c r="A4602" s="30">
        <f t="shared" si="152"/>
        <v>47692</v>
      </c>
      <c r="B4602" s="32" t="s">
        <v>199</v>
      </c>
      <c r="C4602" t="s">
        <v>6</v>
      </c>
      <c r="D4602">
        <f t="shared" si="153"/>
        <v>1</v>
      </c>
      <c r="E4602">
        <f t="shared" si="154"/>
        <v>1</v>
      </c>
      <c r="F4602">
        <f t="shared" si="155"/>
        <v>1</v>
      </c>
    </row>
    <row r="4603" spans="1:6">
      <c r="A4603" s="30">
        <f t="shared" si="152"/>
        <v>47693</v>
      </c>
      <c r="B4603" s="32" t="s">
        <v>199</v>
      </c>
      <c r="C4603" t="s">
        <v>6</v>
      </c>
      <c r="D4603">
        <f t="shared" si="153"/>
        <v>1</v>
      </c>
      <c r="E4603">
        <f t="shared" si="154"/>
        <v>1</v>
      </c>
      <c r="F4603">
        <f t="shared" si="155"/>
        <v>1</v>
      </c>
    </row>
    <row r="4604" spans="1:6">
      <c r="A4604" s="30">
        <f t="shared" si="152"/>
        <v>47694</v>
      </c>
      <c r="B4604" s="32" t="s">
        <v>199</v>
      </c>
      <c r="C4604" t="s">
        <v>6</v>
      </c>
      <c r="D4604">
        <f t="shared" si="153"/>
        <v>1</v>
      </c>
      <c r="E4604">
        <f t="shared" si="154"/>
        <v>1</v>
      </c>
      <c r="F4604">
        <f t="shared" si="155"/>
        <v>1</v>
      </c>
    </row>
    <row r="4605" spans="1:6">
      <c r="A4605" s="30">
        <f t="shared" si="152"/>
        <v>47695</v>
      </c>
      <c r="B4605" s="32" t="s">
        <v>199</v>
      </c>
      <c r="C4605" t="s">
        <v>6</v>
      </c>
      <c r="D4605">
        <f t="shared" si="153"/>
        <v>1</v>
      </c>
      <c r="E4605">
        <f t="shared" si="154"/>
        <v>1</v>
      </c>
      <c r="F4605">
        <f t="shared" si="155"/>
        <v>1</v>
      </c>
    </row>
    <row r="4606" spans="1:6">
      <c r="A4606" s="30">
        <f t="shared" si="152"/>
        <v>47696</v>
      </c>
      <c r="B4606" s="32" t="s">
        <v>199</v>
      </c>
      <c r="C4606" t="s">
        <v>6</v>
      </c>
      <c r="D4606">
        <f t="shared" si="153"/>
        <v>1</v>
      </c>
      <c r="E4606">
        <f t="shared" si="154"/>
        <v>1</v>
      </c>
      <c r="F4606">
        <f t="shared" si="155"/>
        <v>1</v>
      </c>
    </row>
    <row r="4607" spans="1:6">
      <c r="A4607" s="30">
        <f t="shared" si="152"/>
        <v>47697</v>
      </c>
      <c r="B4607" s="32" t="s">
        <v>199</v>
      </c>
      <c r="C4607" t="s">
        <v>6</v>
      </c>
      <c r="D4607">
        <f t="shared" si="153"/>
        <v>1</v>
      </c>
      <c r="E4607">
        <f t="shared" si="154"/>
        <v>1</v>
      </c>
      <c r="F4607">
        <f t="shared" si="155"/>
        <v>1</v>
      </c>
    </row>
    <row r="4608" spans="1:6">
      <c r="A4608" s="30">
        <f t="shared" si="152"/>
        <v>47698</v>
      </c>
      <c r="B4608" s="32" t="s">
        <v>199</v>
      </c>
      <c r="C4608" t="s">
        <v>6</v>
      </c>
      <c r="D4608">
        <f t="shared" si="153"/>
        <v>1</v>
      </c>
      <c r="E4608">
        <f t="shared" si="154"/>
        <v>1</v>
      </c>
      <c r="F4608">
        <f t="shared" si="155"/>
        <v>1</v>
      </c>
    </row>
    <row r="4609" spans="1:6">
      <c r="A4609" s="30">
        <f t="shared" si="152"/>
        <v>47699</v>
      </c>
      <c r="B4609" s="32" t="s">
        <v>199</v>
      </c>
      <c r="C4609" t="s">
        <v>6</v>
      </c>
      <c r="D4609">
        <f t="shared" si="153"/>
        <v>1</v>
      </c>
      <c r="E4609">
        <f t="shared" si="154"/>
        <v>1</v>
      </c>
      <c r="F4609">
        <f t="shared" si="155"/>
        <v>1</v>
      </c>
    </row>
    <row r="4610" spans="1:6">
      <c r="A4610" s="30">
        <f t="shared" si="152"/>
        <v>47700</v>
      </c>
      <c r="B4610" s="32" t="s">
        <v>199</v>
      </c>
      <c r="C4610" t="s">
        <v>6</v>
      </c>
      <c r="D4610">
        <f t="shared" si="153"/>
        <v>1</v>
      </c>
      <c r="E4610">
        <f t="shared" si="154"/>
        <v>1</v>
      </c>
      <c r="F4610">
        <f t="shared" si="155"/>
        <v>1</v>
      </c>
    </row>
    <row r="4611" spans="1:6">
      <c r="A4611" s="30">
        <f t="shared" si="152"/>
        <v>47701</v>
      </c>
      <c r="B4611" s="32" t="s">
        <v>199</v>
      </c>
      <c r="C4611" t="s">
        <v>6</v>
      </c>
      <c r="D4611">
        <f t="shared" si="153"/>
        <v>1</v>
      </c>
      <c r="E4611">
        <f t="shared" si="154"/>
        <v>1</v>
      </c>
      <c r="F4611">
        <f t="shared" si="155"/>
        <v>1</v>
      </c>
    </row>
    <row r="4612" spans="1:6">
      <c r="A4612" s="30">
        <f t="shared" si="152"/>
        <v>47702</v>
      </c>
      <c r="B4612" s="32" t="s">
        <v>199</v>
      </c>
      <c r="C4612" t="s">
        <v>6</v>
      </c>
      <c r="D4612">
        <f t="shared" si="153"/>
        <v>1</v>
      </c>
      <c r="E4612">
        <f t="shared" si="154"/>
        <v>1</v>
      </c>
      <c r="F4612">
        <f t="shared" si="155"/>
        <v>1</v>
      </c>
    </row>
    <row r="4613" spans="1:6">
      <c r="A4613" s="30">
        <f t="shared" si="152"/>
        <v>47703</v>
      </c>
      <c r="B4613" s="32" t="s">
        <v>199</v>
      </c>
      <c r="C4613" t="s">
        <v>6</v>
      </c>
      <c r="D4613">
        <f t="shared" si="153"/>
        <v>1</v>
      </c>
      <c r="E4613">
        <f t="shared" si="154"/>
        <v>1</v>
      </c>
      <c r="F4613">
        <f t="shared" si="155"/>
        <v>1</v>
      </c>
    </row>
    <row r="4614" spans="1:6">
      <c r="A4614" s="30">
        <f t="shared" si="152"/>
        <v>47704</v>
      </c>
      <c r="B4614" s="32" t="s">
        <v>199</v>
      </c>
      <c r="C4614" t="s">
        <v>6</v>
      </c>
      <c r="D4614">
        <f t="shared" si="153"/>
        <v>1</v>
      </c>
      <c r="E4614">
        <f t="shared" si="154"/>
        <v>1</v>
      </c>
      <c r="F4614">
        <f t="shared" si="155"/>
        <v>1</v>
      </c>
    </row>
    <row r="4615" spans="1:6">
      <c r="A4615" s="30">
        <f t="shared" si="152"/>
        <v>47705</v>
      </c>
      <c r="B4615" s="32" t="s">
        <v>199</v>
      </c>
      <c r="C4615" t="s">
        <v>6</v>
      </c>
      <c r="D4615">
        <f t="shared" si="153"/>
        <v>1</v>
      </c>
      <c r="E4615">
        <f t="shared" si="154"/>
        <v>1</v>
      </c>
      <c r="F4615">
        <f t="shared" si="155"/>
        <v>1</v>
      </c>
    </row>
    <row r="4616" spans="1:6">
      <c r="A4616" s="30">
        <f t="shared" si="152"/>
        <v>47706</v>
      </c>
      <c r="B4616" s="32" t="s">
        <v>199</v>
      </c>
      <c r="C4616" t="s">
        <v>6</v>
      </c>
      <c r="D4616">
        <f t="shared" si="153"/>
        <v>1</v>
      </c>
      <c r="E4616">
        <f t="shared" si="154"/>
        <v>1</v>
      </c>
      <c r="F4616">
        <f t="shared" si="155"/>
        <v>1</v>
      </c>
    </row>
    <row r="4617" spans="1:6">
      <c r="A4617" s="30">
        <f t="shared" si="152"/>
        <v>47707</v>
      </c>
      <c r="B4617" s="32" t="s">
        <v>199</v>
      </c>
      <c r="C4617" t="s">
        <v>6</v>
      </c>
      <c r="D4617">
        <f t="shared" si="153"/>
        <v>1</v>
      </c>
      <c r="E4617">
        <f t="shared" si="154"/>
        <v>1</v>
      </c>
      <c r="F4617">
        <f t="shared" si="155"/>
        <v>1</v>
      </c>
    </row>
    <row r="4618" spans="1:6">
      <c r="A4618" s="30">
        <f t="shared" si="152"/>
        <v>47708</v>
      </c>
      <c r="B4618" s="32" t="s">
        <v>199</v>
      </c>
      <c r="C4618" t="s">
        <v>6</v>
      </c>
      <c r="D4618">
        <f t="shared" si="153"/>
        <v>1</v>
      </c>
      <c r="E4618">
        <f t="shared" si="154"/>
        <v>1</v>
      </c>
      <c r="F4618">
        <f t="shared" si="155"/>
        <v>1</v>
      </c>
    </row>
    <row r="4619" spans="1:6">
      <c r="A4619" s="30">
        <f t="shared" si="152"/>
        <v>47709</v>
      </c>
      <c r="B4619" s="32" t="s">
        <v>199</v>
      </c>
      <c r="C4619" t="s">
        <v>6</v>
      </c>
      <c r="D4619">
        <f t="shared" si="153"/>
        <v>1</v>
      </c>
      <c r="E4619">
        <f t="shared" si="154"/>
        <v>1</v>
      </c>
      <c r="F4619">
        <f t="shared" si="155"/>
        <v>1</v>
      </c>
    </row>
    <row r="4620" spans="1:6">
      <c r="A4620" s="30">
        <f t="shared" si="152"/>
        <v>47710</v>
      </c>
      <c r="B4620" s="32" t="s">
        <v>199</v>
      </c>
      <c r="C4620" t="s">
        <v>6</v>
      </c>
      <c r="D4620">
        <f t="shared" si="153"/>
        <v>1</v>
      </c>
      <c r="E4620">
        <f t="shared" si="154"/>
        <v>1</v>
      </c>
      <c r="F4620">
        <f t="shared" si="155"/>
        <v>1</v>
      </c>
    </row>
    <row r="4621" spans="1:6">
      <c r="A4621" s="30">
        <f t="shared" si="152"/>
        <v>47711</v>
      </c>
      <c r="B4621" s="32" t="s">
        <v>199</v>
      </c>
      <c r="C4621" t="s">
        <v>6</v>
      </c>
      <c r="D4621">
        <f t="shared" si="153"/>
        <v>1</v>
      </c>
      <c r="E4621">
        <f t="shared" si="154"/>
        <v>1</v>
      </c>
      <c r="F4621">
        <f t="shared" si="155"/>
        <v>1</v>
      </c>
    </row>
    <row r="4622" spans="1:6">
      <c r="A4622" s="30">
        <f t="shared" si="152"/>
        <v>47712</v>
      </c>
      <c r="B4622" s="32" t="s">
        <v>199</v>
      </c>
      <c r="C4622" t="s">
        <v>6</v>
      </c>
      <c r="D4622">
        <f t="shared" si="153"/>
        <v>1</v>
      </c>
      <c r="E4622">
        <f t="shared" si="154"/>
        <v>1</v>
      </c>
      <c r="F4622">
        <f t="shared" si="155"/>
        <v>1</v>
      </c>
    </row>
    <row r="4623" spans="1:6">
      <c r="A4623" s="30">
        <f t="shared" si="152"/>
        <v>47713</v>
      </c>
      <c r="B4623" s="32" t="s">
        <v>199</v>
      </c>
      <c r="C4623" t="s">
        <v>6</v>
      </c>
      <c r="D4623">
        <f t="shared" si="153"/>
        <v>1</v>
      </c>
      <c r="E4623">
        <f t="shared" si="154"/>
        <v>1</v>
      </c>
      <c r="F4623">
        <f t="shared" si="155"/>
        <v>1</v>
      </c>
    </row>
    <row r="4624" spans="1:6">
      <c r="A4624" s="30">
        <f t="shared" si="152"/>
        <v>47714</v>
      </c>
      <c r="B4624" s="32" t="s">
        <v>199</v>
      </c>
      <c r="C4624" t="s">
        <v>6</v>
      </c>
      <c r="D4624">
        <f t="shared" si="153"/>
        <v>1</v>
      </c>
      <c r="E4624">
        <f t="shared" si="154"/>
        <v>1</v>
      </c>
      <c r="F4624">
        <f t="shared" si="155"/>
        <v>1</v>
      </c>
    </row>
    <row r="4625" spans="1:6">
      <c r="A4625" s="30">
        <f t="shared" si="152"/>
        <v>47715</v>
      </c>
      <c r="B4625" s="32" t="s">
        <v>199</v>
      </c>
      <c r="C4625" t="s">
        <v>6</v>
      </c>
      <c r="D4625">
        <f t="shared" si="153"/>
        <v>1</v>
      </c>
      <c r="E4625">
        <f t="shared" si="154"/>
        <v>1</v>
      </c>
      <c r="F4625">
        <f t="shared" si="155"/>
        <v>1</v>
      </c>
    </row>
    <row r="4626" spans="1:6">
      <c r="A4626" s="30">
        <f t="shared" si="152"/>
        <v>47716</v>
      </c>
      <c r="B4626" s="32" t="s">
        <v>199</v>
      </c>
      <c r="C4626" t="s">
        <v>6</v>
      </c>
      <c r="D4626">
        <f t="shared" si="153"/>
        <v>1</v>
      </c>
      <c r="E4626">
        <f t="shared" si="154"/>
        <v>1</v>
      </c>
      <c r="F4626">
        <f t="shared" si="155"/>
        <v>1</v>
      </c>
    </row>
    <row r="4627" spans="1:6">
      <c r="A4627" s="30">
        <f t="shared" ref="A4627:A4690" si="156">A4626+1</f>
        <v>47717</v>
      </c>
      <c r="B4627" s="32" t="s">
        <v>199</v>
      </c>
      <c r="C4627" t="s">
        <v>6</v>
      </c>
      <c r="D4627">
        <f t="shared" ref="D4627:D4690" si="157">IF(B4627=$AB$2,$AC$2,$AC$3)</f>
        <v>1</v>
      </c>
      <c r="E4627">
        <f t="shared" ref="E4627:E4690" si="158">IF(ISBLANK(C4627),0,VLOOKUP(C4627,$AE$2:$AF$7,2,0))</f>
        <v>1</v>
      </c>
      <c r="F4627">
        <f t="shared" ref="F4627:F4690" si="159">D4627*E4627</f>
        <v>1</v>
      </c>
    </row>
    <row r="4628" spans="1:6">
      <c r="A4628" s="30">
        <f t="shared" si="156"/>
        <v>47718</v>
      </c>
      <c r="B4628" s="32" t="s">
        <v>199</v>
      </c>
      <c r="C4628" t="s">
        <v>6</v>
      </c>
      <c r="D4628">
        <f t="shared" si="157"/>
        <v>1</v>
      </c>
      <c r="E4628">
        <f t="shared" si="158"/>
        <v>1</v>
      </c>
      <c r="F4628">
        <f t="shared" si="159"/>
        <v>1</v>
      </c>
    </row>
    <row r="4629" spans="1:6">
      <c r="A4629" s="30">
        <f t="shared" si="156"/>
        <v>47719</v>
      </c>
      <c r="B4629" s="32" t="s">
        <v>199</v>
      </c>
      <c r="C4629" t="s">
        <v>6</v>
      </c>
      <c r="D4629">
        <f t="shared" si="157"/>
        <v>1</v>
      </c>
      <c r="E4629">
        <f t="shared" si="158"/>
        <v>1</v>
      </c>
      <c r="F4629">
        <f t="shared" si="159"/>
        <v>1</v>
      </c>
    </row>
    <row r="4630" spans="1:6">
      <c r="A4630" s="30">
        <f t="shared" si="156"/>
        <v>47720</v>
      </c>
      <c r="B4630" s="32" t="s">
        <v>199</v>
      </c>
      <c r="C4630" t="s">
        <v>6</v>
      </c>
      <c r="D4630">
        <f t="shared" si="157"/>
        <v>1</v>
      </c>
      <c r="E4630">
        <f t="shared" si="158"/>
        <v>1</v>
      </c>
      <c r="F4630">
        <f t="shared" si="159"/>
        <v>1</v>
      </c>
    </row>
    <row r="4631" spans="1:6">
      <c r="A4631" s="30">
        <f t="shared" si="156"/>
        <v>47721</v>
      </c>
      <c r="B4631" s="32" t="s">
        <v>199</v>
      </c>
      <c r="C4631" t="s">
        <v>6</v>
      </c>
      <c r="D4631">
        <f t="shared" si="157"/>
        <v>1</v>
      </c>
      <c r="E4631">
        <f t="shared" si="158"/>
        <v>1</v>
      </c>
      <c r="F4631">
        <f t="shared" si="159"/>
        <v>1</v>
      </c>
    </row>
    <row r="4632" spans="1:6">
      <c r="A4632" s="30">
        <f t="shared" si="156"/>
        <v>47722</v>
      </c>
      <c r="B4632" s="32" t="s">
        <v>199</v>
      </c>
      <c r="C4632" t="s">
        <v>6</v>
      </c>
      <c r="D4632">
        <f t="shared" si="157"/>
        <v>1</v>
      </c>
      <c r="E4632">
        <f t="shared" si="158"/>
        <v>1</v>
      </c>
      <c r="F4632">
        <f t="shared" si="159"/>
        <v>1</v>
      </c>
    </row>
    <row r="4633" spans="1:6">
      <c r="A4633" s="30">
        <f t="shared" si="156"/>
        <v>47723</v>
      </c>
      <c r="B4633" s="32" t="s">
        <v>199</v>
      </c>
      <c r="C4633" t="s">
        <v>6</v>
      </c>
      <c r="D4633">
        <f t="shared" si="157"/>
        <v>1</v>
      </c>
      <c r="E4633">
        <f t="shared" si="158"/>
        <v>1</v>
      </c>
      <c r="F4633">
        <f t="shared" si="159"/>
        <v>1</v>
      </c>
    </row>
    <row r="4634" spans="1:6">
      <c r="A4634" s="30">
        <f t="shared" si="156"/>
        <v>47724</v>
      </c>
      <c r="B4634" s="32" t="s">
        <v>199</v>
      </c>
      <c r="C4634" t="s">
        <v>6</v>
      </c>
      <c r="D4634">
        <f t="shared" si="157"/>
        <v>1</v>
      </c>
      <c r="E4634">
        <f t="shared" si="158"/>
        <v>1</v>
      </c>
      <c r="F4634">
        <f t="shared" si="159"/>
        <v>1</v>
      </c>
    </row>
    <row r="4635" spans="1:6">
      <c r="A4635" s="30">
        <f t="shared" si="156"/>
        <v>47725</v>
      </c>
      <c r="B4635" s="32" t="s">
        <v>199</v>
      </c>
      <c r="C4635" t="s">
        <v>6</v>
      </c>
      <c r="D4635">
        <f t="shared" si="157"/>
        <v>1</v>
      </c>
      <c r="E4635">
        <f t="shared" si="158"/>
        <v>1</v>
      </c>
      <c r="F4635">
        <f t="shared" si="159"/>
        <v>1</v>
      </c>
    </row>
    <row r="4636" spans="1:6">
      <c r="A4636" s="30">
        <f t="shared" si="156"/>
        <v>47726</v>
      </c>
      <c r="B4636" s="32" t="s">
        <v>199</v>
      </c>
      <c r="C4636" t="s">
        <v>6</v>
      </c>
      <c r="D4636">
        <f t="shared" si="157"/>
        <v>1</v>
      </c>
      <c r="E4636">
        <f t="shared" si="158"/>
        <v>1</v>
      </c>
      <c r="F4636">
        <f t="shared" si="159"/>
        <v>1</v>
      </c>
    </row>
    <row r="4637" spans="1:6">
      <c r="A4637" s="30">
        <f t="shared" si="156"/>
        <v>47727</v>
      </c>
      <c r="B4637" s="32" t="s">
        <v>199</v>
      </c>
      <c r="C4637" t="s">
        <v>6</v>
      </c>
      <c r="D4637">
        <f t="shared" si="157"/>
        <v>1</v>
      </c>
      <c r="E4637">
        <f t="shared" si="158"/>
        <v>1</v>
      </c>
      <c r="F4637">
        <f t="shared" si="159"/>
        <v>1</v>
      </c>
    </row>
    <row r="4638" spans="1:6">
      <c r="A4638" s="30">
        <f t="shared" si="156"/>
        <v>47728</v>
      </c>
      <c r="B4638" s="32" t="s">
        <v>199</v>
      </c>
      <c r="C4638" t="s">
        <v>6</v>
      </c>
      <c r="D4638">
        <f t="shared" si="157"/>
        <v>1</v>
      </c>
      <c r="E4638">
        <f t="shared" si="158"/>
        <v>1</v>
      </c>
      <c r="F4638">
        <f t="shared" si="159"/>
        <v>1</v>
      </c>
    </row>
    <row r="4639" spans="1:6">
      <c r="A4639" s="30">
        <f t="shared" si="156"/>
        <v>47729</v>
      </c>
      <c r="B4639" s="32" t="s">
        <v>199</v>
      </c>
      <c r="C4639" t="s">
        <v>6</v>
      </c>
      <c r="D4639">
        <f t="shared" si="157"/>
        <v>1</v>
      </c>
      <c r="E4639">
        <f t="shared" si="158"/>
        <v>1</v>
      </c>
      <c r="F4639">
        <f t="shared" si="159"/>
        <v>1</v>
      </c>
    </row>
    <row r="4640" spans="1:6">
      <c r="A4640" s="30">
        <f t="shared" si="156"/>
        <v>47730</v>
      </c>
      <c r="B4640" s="32" t="s">
        <v>199</v>
      </c>
      <c r="C4640" t="s">
        <v>6</v>
      </c>
      <c r="D4640">
        <f t="shared" si="157"/>
        <v>1</v>
      </c>
      <c r="E4640">
        <f t="shared" si="158"/>
        <v>1</v>
      </c>
      <c r="F4640">
        <f t="shared" si="159"/>
        <v>1</v>
      </c>
    </row>
    <row r="4641" spans="1:6">
      <c r="A4641" s="30">
        <f t="shared" si="156"/>
        <v>47731</v>
      </c>
      <c r="B4641" s="32" t="s">
        <v>199</v>
      </c>
      <c r="C4641" t="s">
        <v>6</v>
      </c>
      <c r="D4641">
        <f t="shared" si="157"/>
        <v>1</v>
      </c>
      <c r="E4641">
        <f t="shared" si="158"/>
        <v>1</v>
      </c>
      <c r="F4641">
        <f t="shared" si="159"/>
        <v>1</v>
      </c>
    </row>
    <row r="4642" spans="1:6">
      <c r="A4642" s="30">
        <f t="shared" si="156"/>
        <v>47732</v>
      </c>
      <c r="B4642" s="32" t="s">
        <v>199</v>
      </c>
      <c r="C4642" t="s">
        <v>6</v>
      </c>
      <c r="D4642">
        <f t="shared" si="157"/>
        <v>1</v>
      </c>
      <c r="E4642">
        <f t="shared" si="158"/>
        <v>1</v>
      </c>
      <c r="F4642">
        <f t="shared" si="159"/>
        <v>1</v>
      </c>
    </row>
    <row r="4643" spans="1:6">
      <c r="A4643" s="30">
        <f t="shared" si="156"/>
        <v>47733</v>
      </c>
      <c r="B4643" s="32" t="s">
        <v>199</v>
      </c>
      <c r="C4643" t="s">
        <v>6</v>
      </c>
      <c r="D4643">
        <f t="shared" si="157"/>
        <v>1</v>
      </c>
      <c r="E4643">
        <f t="shared" si="158"/>
        <v>1</v>
      </c>
      <c r="F4643">
        <f t="shared" si="159"/>
        <v>1</v>
      </c>
    </row>
    <row r="4644" spans="1:6">
      <c r="A4644" s="30">
        <f t="shared" si="156"/>
        <v>47734</v>
      </c>
      <c r="B4644" s="32" t="s">
        <v>199</v>
      </c>
      <c r="C4644" t="s">
        <v>6</v>
      </c>
      <c r="D4644">
        <f t="shared" si="157"/>
        <v>1</v>
      </c>
      <c r="E4644">
        <f t="shared" si="158"/>
        <v>1</v>
      </c>
      <c r="F4644">
        <f t="shared" si="159"/>
        <v>1</v>
      </c>
    </row>
    <row r="4645" spans="1:6">
      <c r="A4645" s="30">
        <f t="shared" si="156"/>
        <v>47735</v>
      </c>
      <c r="B4645" s="32" t="s">
        <v>199</v>
      </c>
      <c r="C4645" t="s">
        <v>6</v>
      </c>
      <c r="D4645">
        <f t="shared" si="157"/>
        <v>1</v>
      </c>
      <c r="E4645">
        <f t="shared" si="158"/>
        <v>1</v>
      </c>
      <c r="F4645">
        <f t="shared" si="159"/>
        <v>1</v>
      </c>
    </row>
    <row r="4646" spans="1:6">
      <c r="A4646" s="30">
        <f t="shared" si="156"/>
        <v>47736</v>
      </c>
      <c r="B4646" s="32" t="s">
        <v>199</v>
      </c>
      <c r="C4646" t="s">
        <v>6</v>
      </c>
      <c r="D4646">
        <f t="shared" si="157"/>
        <v>1</v>
      </c>
      <c r="E4646">
        <f t="shared" si="158"/>
        <v>1</v>
      </c>
      <c r="F4646">
        <f t="shared" si="159"/>
        <v>1</v>
      </c>
    </row>
    <row r="4647" spans="1:6">
      <c r="A4647" s="30">
        <f t="shared" si="156"/>
        <v>47737</v>
      </c>
      <c r="B4647" s="32" t="s">
        <v>199</v>
      </c>
      <c r="C4647" t="s">
        <v>6</v>
      </c>
      <c r="D4647">
        <f t="shared" si="157"/>
        <v>1</v>
      </c>
      <c r="E4647">
        <f t="shared" si="158"/>
        <v>1</v>
      </c>
      <c r="F4647">
        <f t="shared" si="159"/>
        <v>1</v>
      </c>
    </row>
    <row r="4648" spans="1:6">
      <c r="A4648" s="30">
        <f t="shared" si="156"/>
        <v>47738</v>
      </c>
      <c r="B4648" s="32" t="s">
        <v>199</v>
      </c>
      <c r="C4648" t="s">
        <v>6</v>
      </c>
      <c r="D4648">
        <f t="shared" si="157"/>
        <v>1</v>
      </c>
      <c r="E4648">
        <f t="shared" si="158"/>
        <v>1</v>
      </c>
      <c r="F4648">
        <f t="shared" si="159"/>
        <v>1</v>
      </c>
    </row>
    <row r="4649" spans="1:6">
      <c r="A4649" s="30">
        <f t="shared" si="156"/>
        <v>47739</v>
      </c>
      <c r="B4649" s="32" t="s">
        <v>199</v>
      </c>
      <c r="C4649" t="s">
        <v>6</v>
      </c>
      <c r="D4649">
        <f t="shared" si="157"/>
        <v>1</v>
      </c>
      <c r="E4649">
        <f t="shared" si="158"/>
        <v>1</v>
      </c>
      <c r="F4649">
        <f t="shared" si="159"/>
        <v>1</v>
      </c>
    </row>
    <row r="4650" spans="1:6">
      <c r="A4650" s="30">
        <f t="shared" si="156"/>
        <v>47740</v>
      </c>
      <c r="B4650" s="32" t="s">
        <v>199</v>
      </c>
      <c r="C4650" t="s">
        <v>6</v>
      </c>
      <c r="D4650">
        <f t="shared" si="157"/>
        <v>1</v>
      </c>
      <c r="E4650">
        <f t="shared" si="158"/>
        <v>1</v>
      </c>
      <c r="F4650">
        <f t="shared" si="159"/>
        <v>1</v>
      </c>
    </row>
    <row r="4651" spans="1:6">
      <c r="A4651" s="30">
        <f t="shared" si="156"/>
        <v>47741</v>
      </c>
      <c r="B4651" s="32" t="s">
        <v>199</v>
      </c>
      <c r="C4651" t="s">
        <v>6</v>
      </c>
      <c r="D4651">
        <f t="shared" si="157"/>
        <v>1</v>
      </c>
      <c r="E4651">
        <f t="shared" si="158"/>
        <v>1</v>
      </c>
      <c r="F4651">
        <f t="shared" si="159"/>
        <v>1</v>
      </c>
    </row>
    <row r="4652" spans="1:6">
      <c r="A4652" s="30">
        <f t="shared" si="156"/>
        <v>47742</v>
      </c>
      <c r="B4652" s="32" t="s">
        <v>199</v>
      </c>
      <c r="C4652" t="s">
        <v>6</v>
      </c>
      <c r="D4652">
        <f t="shared" si="157"/>
        <v>1</v>
      </c>
      <c r="E4652">
        <f t="shared" si="158"/>
        <v>1</v>
      </c>
      <c r="F4652">
        <f t="shared" si="159"/>
        <v>1</v>
      </c>
    </row>
    <row r="4653" spans="1:6">
      <c r="A4653" s="30">
        <f t="shared" si="156"/>
        <v>47743</v>
      </c>
      <c r="B4653" s="32" t="s">
        <v>199</v>
      </c>
      <c r="C4653" t="s">
        <v>6</v>
      </c>
      <c r="D4653">
        <f t="shared" si="157"/>
        <v>1</v>
      </c>
      <c r="E4653">
        <f t="shared" si="158"/>
        <v>1</v>
      </c>
      <c r="F4653">
        <f t="shared" si="159"/>
        <v>1</v>
      </c>
    </row>
    <row r="4654" spans="1:6">
      <c r="A4654" s="30">
        <f t="shared" si="156"/>
        <v>47744</v>
      </c>
      <c r="B4654" s="32" t="s">
        <v>199</v>
      </c>
      <c r="C4654" t="s">
        <v>6</v>
      </c>
      <c r="D4654">
        <f t="shared" si="157"/>
        <v>1</v>
      </c>
      <c r="E4654">
        <f t="shared" si="158"/>
        <v>1</v>
      </c>
      <c r="F4654">
        <f t="shared" si="159"/>
        <v>1</v>
      </c>
    </row>
    <row r="4655" spans="1:6">
      <c r="A4655" s="30">
        <f t="shared" si="156"/>
        <v>47745</v>
      </c>
      <c r="B4655" s="32" t="s">
        <v>199</v>
      </c>
      <c r="C4655" t="s">
        <v>6</v>
      </c>
      <c r="D4655">
        <f t="shared" si="157"/>
        <v>1</v>
      </c>
      <c r="E4655">
        <f t="shared" si="158"/>
        <v>1</v>
      </c>
      <c r="F4655">
        <f t="shared" si="159"/>
        <v>1</v>
      </c>
    </row>
    <row r="4656" spans="1:6">
      <c r="A4656" s="30">
        <f t="shared" si="156"/>
        <v>47746</v>
      </c>
      <c r="B4656" s="32" t="s">
        <v>199</v>
      </c>
      <c r="C4656" t="s">
        <v>6</v>
      </c>
      <c r="D4656">
        <f t="shared" si="157"/>
        <v>1</v>
      </c>
      <c r="E4656">
        <f t="shared" si="158"/>
        <v>1</v>
      </c>
      <c r="F4656">
        <f t="shared" si="159"/>
        <v>1</v>
      </c>
    </row>
    <row r="4657" spans="1:6">
      <c r="A4657" s="30">
        <f t="shared" si="156"/>
        <v>47747</v>
      </c>
      <c r="B4657" s="32" t="s">
        <v>199</v>
      </c>
      <c r="C4657" t="s">
        <v>6</v>
      </c>
      <c r="D4657">
        <f t="shared" si="157"/>
        <v>1</v>
      </c>
      <c r="E4657">
        <f t="shared" si="158"/>
        <v>1</v>
      </c>
      <c r="F4657">
        <f t="shared" si="159"/>
        <v>1</v>
      </c>
    </row>
    <row r="4658" spans="1:6">
      <c r="A4658" s="30">
        <f t="shared" si="156"/>
        <v>47748</v>
      </c>
      <c r="B4658" s="32" t="s">
        <v>199</v>
      </c>
      <c r="C4658" t="s">
        <v>6</v>
      </c>
      <c r="D4658">
        <f t="shared" si="157"/>
        <v>1</v>
      </c>
      <c r="E4658">
        <f t="shared" si="158"/>
        <v>1</v>
      </c>
      <c r="F4658">
        <f t="shared" si="159"/>
        <v>1</v>
      </c>
    </row>
    <row r="4659" spans="1:6">
      <c r="A4659" s="30">
        <f t="shared" si="156"/>
        <v>47749</v>
      </c>
      <c r="B4659" s="32" t="s">
        <v>199</v>
      </c>
      <c r="C4659" t="s">
        <v>6</v>
      </c>
      <c r="D4659">
        <f t="shared" si="157"/>
        <v>1</v>
      </c>
      <c r="E4659">
        <f t="shared" si="158"/>
        <v>1</v>
      </c>
      <c r="F4659">
        <f t="shared" si="159"/>
        <v>1</v>
      </c>
    </row>
    <row r="4660" spans="1:6">
      <c r="A4660" s="30">
        <f t="shared" si="156"/>
        <v>47750</v>
      </c>
      <c r="B4660" s="32" t="s">
        <v>199</v>
      </c>
      <c r="C4660" t="s">
        <v>6</v>
      </c>
      <c r="D4660">
        <f t="shared" si="157"/>
        <v>1</v>
      </c>
      <c r="E4660">
        <f t="shared" si="158"/>
        <v>1</v>
      </c>
      <c r="F4660">
        <f t="shared" si="159"/>
        <v>1</v>
      </c>
    </row>
    <row r="4661" spans="1:6">
      <c r="A4661" s="30">
        <f t="shared" si="156"/>
        <v>47751</v>
      </c>
      <c r="B4661" s="32" t="s">
        <v>199</v>
      </c>
      <c r="C4661" t="s">
        <v>6</v>
      </c>
      <c r="D4661">
        <f t="shared" si="157"/>
        <v>1</v>
      </c>
      <c r="E4661">
        <f t="shared" si="158"/>
        <v>1</v>
      </c>
      <c r="F4661">
        <f t="shared" si="159"/>
        <v>1</v>
      </c>
    </row>
    <row r="4662" spans="1:6">
      <c r="A4662" s="30">
        <f t="shared" si="156"/>
        <v>47752</v>
      </c>
      <c r="B4662" s="32" t="s">
        <v>199</v>
      </c>
      <c r="C4662" t="s">
        <v>6</v>
      </c>
      <c r="D4662">
        <f t="shared" si="157"/>
        <v>1</v>
      </c>
      <c r="E4662">
        <f t="shared" si="158"/>
        <v>1</v>
      </c>
      <c r="F4662">
        <f t="shared" si="159"/>
        <v>1</v>
      </c>
    </row>
    <row r="4663" spans="1:6">
      <c r="A4663" s="30">
        <f t="shared" si="156"/>
        <v>47753</v>
      </c>
      <c r="B4663" s="32" t="s">
        <v>199</v>
      </c>
      <c r="C4663" t="s">
        <v>6</v>
      </c>
      <c r="D4663">
        <f t="shared" si="157"/>
        <v>1</v>
      </c>
      <c r="E4663">
        <f t="shared" si="158"/>
        <v>1</v>
      </c>
      <c r="F4663">
        <f t="shared" si="159"/>
        <v>1</v>
      </c>
    </row>
    <row r="4664" spans="1:6">
      <c r="A4664" s="30">
        <f t="shared" si="156"/>
        <v>47754</v>
      </c>
      <c r="B4664" s="32" t="s">
        <v>199</v>
      </c>
      <c r="C4664" t="s">
        <v>6</v>
      </c>
      <c r="D4664">
        <f t="shared" si="157"/>
        <v>1</v>
      </c>
      <c r="E4664">
        <f t="shared" si="158"/>
        <v>1</v>
      </c>
      <c r="F4664">
        <f t="shared" si="159"/>
        <v>1</v>
      </c>
    </row>
    <row r="4665" spans="1:6">
      <c r="A4665" s="30">
        <f t="shared" si="156"/>
        <v>47755</v>
      </c>
      <c r="B4665" s="32" t="s">
        <v>199</v>
      </c>
      <c r="C4665" t="s">
        <v>6</v>
      </c>
      <c r="D4665">
        <f t="shared" si="157"/>
        <v>1</v>
      </c>
      <c r="E4665">
        <f t="shared" si="158"/>
        <v>1</v>
      </c>
      <c r="F4665">
        <f t="shared" si="159"/>
        <v>1</v>
      </c>
    </row>
    <row r="4666" spans="1:6">
      <c r="A4666" s="30">
        <f t="shared" si="156"/>
        <v>47756</v>
      </c>
      <c r="B4666" s="32" t="s">
        <v>199</v>
      </c>
      <c r="C4666" t="s">
        <v>6</v>
      </c>
      <c r="D4666">
        <f t="shared" si="157"/>
        <v>1</v>
      </c>
      <c r="E4666">
        <f t="shared" si="158"/>
        <v>1</v>
      </c>
      <c r="F4666">
        <f t="shared" si="159"/>
        <v>1</v>
      </c>
    </row>
    <row r="4667" spans="1:6">
      <c r="A4667" s="30">
        <f t="shared" si="156"/>
        <v>47757</v>
      </c>
      <c r="B4667" s="32" t="s">
        <v>199</v>
      </c>
      <c r="C4667" t="s">
        <v>6</v>
      </c>
      <c r="D4667">
        <f t="shared" si="157"/>
        <v>1</v>
      </c>
      <c r="E4667">
        <f t="shared" si="158"/>
        <v>1</v>
      </c>
      <c r="F4667">
        <f t="shared" si="159"/>
        <v>1</v>
      </c>
    </row>
    <row r="4668" spans="1:6">
      <c r="A4668" s="30">
        <f t="shared" si="156"/>
        <v>47758</v>
      </c>
      <c r="B4668" s="32" t="s">
        <v>199</v>
      </c>
      <c r="C4668" t="s">
        <v>6</v>
      </c>
      <c r="D4668">
        <f t="shared" si="157"/>
        <v>1</v>
      </c>
      <c r="E4668">
        <f t="shared" si="158"/>
        <v>1</v>
      </c>
      <c r="F4668">
        <f t="shared" si="159"/>
        <v>1</v>
      </c>
    </row>
    <row r="4669" spans="1:6">
      <c r="A4669" s="30">
        <f t="shared" si="156"/>
        <v>47759</v>
      </c>
      <c r="B4669" s="32" t="s">
        <v>199</v>
      </c>
      <c r="C4669" t="s">
        <v>6</v>
      </c>
      <c r="D4669">
        <f t="shared" si="157"/>
        <v>1</v>
      </c>
      <c r="E4669">
        <f t="shared" si="158"/>
        <v>1</v>
      </c>
      <c r="F4669">
        <f t="shared" si="159"/>
        <v>1</v>
      </c>
    </row>
    <row r="4670" spans="1:6">
      <c r="A4670" s="30">
        <f t="shared" si="156"/>
        <v>47760</v>
      </c>
      <c r="B4670" s="32" t="s">
        <v>199</v>
      </c>
      <c r="C4670" t="s">
        <v>6</v>
      </c>
      <c r="D4670">
        <f t="shared" si="157"/>
        <v>1</v>
      </c>
      <c r="E4670">
        <f t="shared" si="158"/>
        <v>1</v>
      </c>
      <c r="F4670">
        <f t="shared" si="159"/>
        <v>1</v>
      </c>
    </row>
    <row r="4671" spans="1:6">
      <c r="A4671" s="30">
        <f t="shared" si="156"/>
        <v>47761</v>
      </c>
      <c r="B4671" s="32" t="s">
        <v>199</v>
      </c>
      <c r="C4671" t="s">
        <v>6</v>
      </c>
      <c r="D4671">
        <f t="shared" si="157"/>
        <v>1</v>
      </c>
      <c r="E4671">
        <f t="shared" si="158"/>
        <v>1</v>
      </c>
      <c r="F4671">
        <f t="shared" si="159"/>
        <v>1</v>
      </c>
    </row>
    <row r="4672" spans="1:6">
      <c r="A4672" s="30">
        <f t="shared" si="156"/>
        <v>47762</v>
      </c>
      <c r="B4672" s="32" t="s">
        <v>199</v>
      </c>
      <c r="C4672" t="s">
        <v>6</v>
      </c>
      <c r="D4672">
        <f t="shared" si="157"/>
        <v>1</v>
      </c>
      <c r="E4672">
        <f t="shared" si="158"/>
        <v>1</v>
      </c>
      <c r="F4672">
        <f t="shared" si="159"/>
        <v>1</v>
      </c>
    </row>
    <row r="4673" spans="1:6">
      <c r="A4673" s="30">
        <f t="shared" si="156"/>
        <v>47763</v>
      </c>
      <c r="B4673" s="32" t="s">
        <v>199</v>
      </c>
      <c r="C4673" t="s">
        <v>6</v>
      </c>
      <c r="D4673">
        <f t="shared" si="157"/>
        <v>1</v>
      </c>
      <c r="E4673">
        <f t="shared" si="158"/>
        <v>1</v>
      </c>
      <c r="F4673">
        <f t="shared" si="159"/>
        <v>1</v>
      </c>
    </row>
    <row r="4674" spans="1:6">
      <c r="A4674" s="30">
        <f t="shared" si="156"/>
        <v>47764</v>
      </c>
      <c r="B4674" s="32" t="s">
        <v>199</v>
      </c>
      <c r="C4674" t="s">
        <v>6</v>
      </c>
      <c r="D4674">
        <f t="shared" si="157"/>
        <v>1</v>
      </c>
      <c r="E4674">
        <f t="shared" si="158"/>
        <v>1</v>
      </c>
      <c r="F4674">
        <f t="shared" si="159"/>
        <v>1</v>
      </c>
    </row>
    <row r="4675" spans="1:6">
      <c r="A4675" s="30">
        <f t="shared" si="156"/>
        <v>47765</v>
      </c>
      <c r="B4675" s="32" t="s">
        <v>199</v>
      </c>
      <c r="C4675" t="s">
        <v>6</v>
      </c>
      <c r="D4675">
        <f t="shared" si="157"/>
        <v>1</v>
      </c>
      <c r="E4675">
        <f t="shared" si="158"/>
        <v>1</v>
      </c>
      <c r="F4675">
        <f t="shared" si="159"/>
        <v>1</v>
      </c>
    </row>
    <row r="4676" spans="1:6">
      <c r="A4676" s="30">
        <f t="shared" si="156"/>
        <v>47766</v>
      </c>
      <c r="B4676" s="32" t="s">
        <v>199</v>
      </c>
      <c r="C4676" t="s">
        <v>6</v>
      </c>
      <c r="D4676">
        <f t="shared" si="157"/>
        <v>1</v>
      </c>
      <c r="E4676">
        <f t="shared" si="158"/>
        <v>1</v>
      </c>
      <c r="F4676">
        <f t="shared" si="159"/>
        <v>1</v>
      </c>
    </row>
    <row r="4677" spans="1:6">
      <c r="A4677" s="30">
        <f t="shared" si="156"/>
        <v>47767</v>
      </c>
      <c r="B4677" s="32" t="s">
        <v>199</v>
      </c>
      <c r="C4677" t="s">
        <v>6</v>
      </c>
      <c r="D4677">
        <f t="shared" si="157"/>
        <v>1</v>
      </c>
      <c r="E4677">
        <f t="shared" si="158"/>
        <v>1</v>
      </c>
      <c r="F4677">
        <f t="shared" si="159"/>
        <v>1</v>
      </c>
    </row>
    <row r="4678" spans="1:6">
      <c r="A4678" s="30">
        <f t="shared" si="156"/>
        <v>47768</v>
      </c>
      <c r="B4678" s="32" t="s">
        <v>199</v>
      </c>
      <c r="C4678" t="s">
        <v>6</v>
      </c>
      <c r="D4678">
        <f t="shared" si="157"/>
        <v>1</v>
      </c>
      <c r="E4678">
        <f t="shared" si="158"/>
        <v>1</v>
      </c>
      <c r="F4678">
        <f t="shared" si="159"/>
        <v>1</v>
      </c>
    </row>
    <row r="4679" spans="1:6">
      <c r="A4679" s="30">
        <f t="shared" si="156"/>
        <v>47769</v>
      </c>
      <c r="B4679" s="32" t="s">
        <v>199</v>
      </c>
      <c r="C4679" t="s">
        <v>6</v>
      </c>
      <c r="D4679">
        <f t="shared" si="157"/>
        <v>1</v>
      </c>
      <c r="E4679">
        <f t="shared" si="158"/>
        <v>1</v>
      </c>
      <c r="F4679">
        <f t="shared" si="159"/>
        <v>1</v>
      </c>
    </row>
    <row r="4680" spans="1:6">
      <c r="A4680" s="30">
        <f t="shared" si="156"/>
        <v>47770</v>
      </c>
      <c r="B4680" s="32" t="s">
        <v>199</v>
      </c>
      <c r="C4680" t="s">
        <v>6</v>
      </c>
      <c r="D4680">
        <f t="shared" si="157"/>
        <v>1</v>
      </c>
      <c r="E4680">
        <f t="shared" si="158"/>
        <v>1</v>
      </c>
      <c r="F4680">
        <f t="shared" si="159"/>
        <v>1</v>
      </c>
    </row>
    <row r="4681" spans="1:6">
      <c r="A4681" s="30">
        <f t="shared" si="156"/>
        <v>47771</v>
      </c>
      <c r="B4681" s="32" t="s">
        <v>199</v>
      </c>
      <c r="C4681" t="s">
        <v>6</v>
      </c>
      <c r="D4681">
        <f t="shared" si="157"/>
        <v>1</v>
      </c>
      <c r="E4681">
        <f t="shared" si="158"/>
        <v>1</v>
      </c>
      <c r="F4681">
        <f t="shared" si="159"/>
        <v>1</v>
      </c>
    </row>
    <row r="4682" spans="1:6">
      <c r="A4682" s="30">
        <f t="shared" si="156"/>
        <v>47772</v>
      </c>
      <c r="B4682" s="32" t="s">
        <v>199</v>
      </c>
      <c r="C4682" t="s">
        <v>6</v>
      </c>
      <c r="D4682">
        <f t="shared" si="157"/>
        <v>1</v>
      </c>
      <c r="E4682">
        <f t="shared" si="158"/>
        <v>1</v>
      </c>
      <c r="F4682">
        <f t="shared" si="159"/>
        <v>1</v>
      </c>
    </row>
    <row r="4683" spans="1:6">
      <c r="A4683" s="30">
        <f t="shared" si="156"/>
        <v>47773</v>
      </c>
      <c r="B4683" s="32" t="s">
        <v>199</v>
      </c>
      <c r="C4683" t="s">
        <v>6</v>
      </c>
      <c r="D4683">
        <f t="shared" si="157"/>
        <v>1</v>
      </c>
      <c r="E4683">
        <f t="shared" si="158"/>
        <v>1</v>
      </c>
      <c r="F4683">
        <f t="shared" si="159"/>
        <v>1</v>
      </c>
    </row>
    <row r="4684" spans="1:6">
      <c r="A4684" s="30">
        <f t="shared" si="156"/>
        <v>47774</v>
      </c>
      <c r="B4684" s="32" t="s">
        <v>199</v>
      </c>
      <c r="C4684" t="s">
        <v>6</v>
      </c>
      <c r="D4684">
        <f t="shared" si="157"/>
        <v>1</v>
      </c>
      <c r="E4684">
        <f t="shared" si="158"/>
        <v>1</v>
      </c>
      <c r="F4684">
        <f t="shared" si="159"/>
        <v>1</v>
      </c>
    </row>
    <row r="4685" spans="1:6">
      <c r="A4685" s="30">
        <f t="shared" si="156"/>
        <v>47775</v>
      </c>
      <c r="B4685" s="32" t="s">
        <v>199</v>
      </c>
      <c r="C4685" t="s">
        <v>6</v>
      </c>
      <c r="D4685">
        <f t="shared" si="157"/>
        <v>1</v>
      </c>
      <c r="E4685">
        <f t="shared" si="158"/>
        <v>1</v>
      </c>
      <c r="F4685">
        <f t="shared" si="159"/>
        <v>1</v>
      </c>
    </row>
    <row r="4686" spans="1:6">
      <c r="A4686" s="30">
        <f t="shared" si="156"/>
        <v>47776</v>
      </c>
      <c r="B4686" s="32" t="s">
        <v>199</v>
      </c>
      <c r="C4686" t="s">
        <v>6</v>
      </c>
      <c r="D4686">
        <f t="shared" si="157"/>
        <v>1</v>
      </c>
      <c r="E4686">
        <f t="shared" si="158"/>
        <v>1</v>
      </c>
      <c r="F4686">
        <f t="shared" si="159"/>
        <v>1</v>
      </c>
    </row>
    <row r="4687" spans="1:6">
      <c r="A4687" s="30">
        <f t="shared" si="156"/>
        <v>47777</v>
      </c>
      <c r="B4687" s="32" t="s">
        <v>199</v>
      </c>
      <c r="C4687" t="s">
        <v>6</v>
      </c>
      <c r="D4687">
        <f t="shared" si="157"/>
        <v>1</v>
      </c>
      <c r="E4687">
        <f t="shared" si="158"/>
        <v>1</v>
      </c>
      <c r="F4687">
        <f t="shared" si="159"/>
        <v>1</v>
      </c>
    </row>
    <row r="4688" spans="1:6">
      <c r="A4688" s="30">
        <f t="shared" si="156"/>
        <v>47778</v>
      </c>
      <c r="B4688" s="32" t="s">
        <v>199</v>
      </c>
      <c r="C4688" t="s">
        <v>6</v>
      </c>
      <c r="D4688">
        <f t="shared" si="157"/>
        <v>1</v>
      </c>
      <c r="E4688">
        <f t="shared" si="158"/>
        <v>1</v>
      </c>
      <c r="F4688">
        <f t="shared" si="159"/>
        <v>1</v>
      </c>
    </row>
    <row r="4689" spans="1:6">
      <c r="A4689" s="30">
        <f t="shared" si="156"/>
        <v>47779</v>
      </c>
      <c r="B4689" s="32" t="s">
        <v>199</v>
      </c>
      <c r="C4689" t="s">
        <v>6</v>
      </c>
      <c r="D4689">
        <f t="shared" si="157"/>
        <v>1</v>
      </c>
      <c r="E4689">
        <f t="shared" si="158"/>
        <v>1</v>
      </c>
      <c r="F4689">
        <f t="shared" si="159"/>
        <v>1</v>
      </c>
    </row>
    <row r="4690" spans="1:6">
      <c r="A4690" s="30">
        <f t="shared" si="156"/>
        <v>47780</v>
      </c>
      <c r="B4690" s="32" t="s">
        <v>199</v>
      </c>
      <c r="C4690" t="s">
        <v>6</v>
      </c>
      <c r="D4690">
        <f t="shared" si="157"/>
        <v>1</v>
      </c>
      <c r="E4690">
        <f t="shared" si="158"/>
        <v>1</v>
      </c>
      <c r="F4690">
        <f t="shared" si="159"/>
        <v>1</v>
      </c>
    </row>
    <row r="4691" spans="1:6">
      <c r="A4691" s="30">
        <f t="shared" ref="A4691:A4754" si="160">A4690+1</f>
        <v>47781</v>
      </c>
      <c r="B4691" s="32" t="s">
        <v>199</v>
      </c>
      <c r="C4691" t="s">
        <v>6</v>
      </c>
      <c r="D4691">
        <f t="shared" ref="D4691:D4754" si="161">IF(B4691=$AB$2,$AC$2,$AC$3)</f>
        <v>1</v>
      </c>
      <c r="E4691">
        <f t="shared" ref="E4691:E4754" si="162">IF(ISBLANK(C4691),0,VLOOKUP(C4691,$AE$2:$AF$7,2,0))</f>
        <v>1</v>
      </c>
      <c r="F4691">
        <f t="shared" ref="F4691:F4754" si="163">D4691*E4691</f>
        <v>1</v>
      </c>
    </row>
    <row r="4692" spans="1:6">
      <c r="A4692" s="30">
        <f t="shared" si="160"/>
        <v>47782</v>
      </c>
      <c r="B4692" s="32" t="s">
        <v>199</v>
      </c>
      <c r="C4692" t="s">
        <v>6</v>
      </c>
      <c r="D4692">
        <f t="shared" si="161"/>
        <v>1</v>
      </c>
      <c r="E4692">
        <f t="shared" si="162"/>
        <v>1</v>
      </c>
      <c r="F4692">
        <f t="shared" si="163"/>
        <v>1</v>
      </c>
    </row>
    <row r="4693" spans="1:6">
      <c r="A4693" s="30">
        <f t="shared" si="160"/>
        <v>47783</v>
      </c>
      <c r="B4693" s="32" t="s">
        <v>199</v>
      </c>
      <c r="C4693" t="s">
        <v>6</v>
      </c>
      <c r="D4693">
        <f t="shared" si="161"/>
        <v>1</v>
      </c>
      <c r="E4693">
        <f t="shared" si="162"/>
        <v>1</v>
      </c>
      <c r="F4693">
        <f t="shared" si="163"/>
        <v>1</v>
      </c>
    </row>
    <row r="4694" spans="1:6">
      <c r="A4694" s="30">
        <f t="shared" si="160"/>
        <v>47784</v>
      </c>
      <c r="B4694" s="32" t="s">
        <v>199</v>
      </c>
      <c r="C4694" t="s">
        <v>6</v>
      </c>
      <c r="D4694">
        <f t="shared" si="161"/>
        <v>1</v>
      </c>
      <c r="E4694">
        <f t="shared" si="162"/>
        <v>1</v>
      </c>
      <c r="F4694">
        <f t="shared" si="163"/>
        <v>1</v>
      </c>
    </row>
    <row r="4695" spans="1:6">
      <c r="A4695" s="30">
        <f t="shared" si="160"/>
        <v>47785</v>
      </c>
      <c r="B4695" s="32" t="s">
        <v>199</v>
      </c>
      <c r="C4695" t="s">
        <v>6</v>
      </c>
      <c r="D4695">
        <f t="shared" si="161"/>
        <v>1</v>
      </c>
      <c r="E4695">
        <f t="shared" si="162"/>
        <v>1</v>
      </c>
      <c r="F4695">
        <f t="shared" si="163"/>
        <v>1</v>
      </c>
    </row>
    <row r="4696" spans="1:6">
      <c r="A4696" s="30">
        <f t="shared" si="160"/>
        <v>47786</v>
      </c>
      <c r="B4696" s="32" t="s">
        <v>199</v>
      </c>
      <c r="C4696" t="s">
        <v>6</v>
      </c>
      <c r="D4696">
        <f t="shared" si="161"/>
        <v>1</v>
      </c>
      <c r="E4696">
        <f t="shared" si="162"/>
        <v>1</v>
      </c>
      <c r="F4696">
        <f t="shared" si="163"/>
        <v>1</v>
      </c>
    </row>
    <row r="4697" spans="1:6">
      <c r="A4697" s="30">
        <f t="shared" si="160"/>
        <v>47787</v>
      </c>
      <c r="B4697" s="32" t="s">
        <v>199</v>
      </c>
      <c r="C4697" t="s">
        <v>6</v>
      </c>
      <c r="D4697">
        <f t="shared" si="161"/>
        <v>1</v>
      </c>
      <c r="E4697">
        <f t="shared" si="162"/>
        <v>1</v>
      </c>
      <c r="F4697">
        <f t="shared" si="163"/>
        <v>1</v>
      </c>
    </row>
    <row r="4698" spans="1:6">
      <c r="A4698" s="30">
        <f t="shared" si="160"/>
        <v>47788</v>
      </c>
      <c r="B4698" s="32" t="s">
        <v>199</v>
      </c>
      <c r="C4698" t="s">
        <v>6</v>
      </c>
      <c r="D4698">
        <f t="shared" si="161"/>
        <v>1</v>
      </c>
      <c r="E4698">
        <f t="shared" si="162"/>
        <v>1</v>
      </c>
      <c r="F4698">
        <f t="shared" si="163"/>
        <v>1</v>
      </c>
    </row>
    <row r="4699" spans="1:6">
      <c r="A4699" s="30">
        <f t="shared" si="160"/>
        <v>47789</v>
      </c>
      <c r="B4699" s="32" t="s">
        <v>199</v>
      </c>
      <c r="C4699" t="s">
        <v>6</v>
      </c>
      <c r="D4699">
        <f t="shared" si="161"/>
        <v>1</v>
      </c>
      <c r="E4699">
        <f t="shared" si="162"/>
        <v>1</v>
      </c>
      <c r="F4699">
        <f t="shared" si="163"/>
        <v>1</v>
      </c>
    </row>
    <row r="4700" spans="1:6">
      <c r="A4700" s="30">
        <f t="shared" si="160"/>
        <v>47790</v>
      </c>
      <c r="B4700" s="32" t="s">
        <v>199</v>
      </c>
      <c r="C4700" t="s">
        <v>6</v>
      </c>
      <c r="D4700">
        <f t="shared" si="161"/>
        <v>1</v>
      </c>
      <c r="E4700">
        <f t="shared" si="162"/>
        <v>1</v>
      </c>
      <c r="F4700">
        <f t="shared" si="163"/>
        <v>1</v>
      </c>
    </row>
    <row r="4701" spans="1:6">
      <c r="A4701" s="30">
        <f t="shared" si="160"/>
        <v>47791</v>
      </c>
      <c r="B4701" s="32" t="s">
        <v>199</v>
      </c>
      <c r="C4701" t="s">
        <v>6</v>
      </c>
      <c r="D4701">
        <f t="shared" si="161"/>
        <v>1</v>
      </c>
      <c r="E4701">
        <f t="shared" si="162"/>
        <v>1</v>
      </c>
      <c r="F4701">
        <f t="shared" si="163"/>
        <v>1</v>
      </c>
    </row>
    <row r="4702" spans="1:6">
      <c r="A4702" s="30">
        <f t="shared" si="160"/>
        <v>47792</v>
      </c>
      <c r="B4702" s="32" t="s">
        <v>199</v>
      </c>
      <c r="C4702" t="s">
        <v>6</v>
      </c>
      <c r="D4702">
        <f t="shared" si="161"/>
        <v>1</v>
      </c>
      <c r="E4702">
        <f t="shared" si="162"/>
        <v>1</v>
      </c>
      <c r="F4702">
        <f t="shared" si="163"/>
        <v>1</v>
      </c>
    </row>
    <row r="4703" spans="1:6">
      <c r="A4703" s="30">
        <f t="shared" si="160"/>
        <v>47793</v>
      </c>
      <c r="B4703" s="32" t="s">
        <v>199</v>
      </c>
      <c r="C4703" t="s">
        <v>6</v>
      </c>
      <c r="D4703">
        <f t="shared" si="161"/>
        <v>1</v>
      </c>
      <c r="E4703">
        <f t="shared" si="162"/>
        <v>1</v>
      </c>
      <c r="F4703">
        <f t="shared" si="163"/>
        <v>1</v>
      </c>
    </row>
    <row r="4704" spans="1:6">
      <c r="A4704" s="30">
        <f t="shared" si="160"/>
        <v>47794</v>
      </c>
      <c r="B4704" s="32" t="s">
        <v>199</v>
      </c>
      <c r="C4704" t="s">
        <v>6</v>
      </c>
      <c r="D4704">
        <f t="shared" si="161"/>
        <v>1</v>
      </c>
      <c r="E4704">
        <f t="shared" si="162"/>
        <v>1</v>
      </c>
      <c r="F4704">
        <f t="shared" si="163"/>
        <v>1</v>
      </c>
    </row>
    <row r="4705" spans="1:6">
      <c r="A4705" s="30">
        <f t="shared" si="160"/>
        <v>47795</v>
      </c>
      <c r="B4705" s="32" t="s">
        <v>199</v>
      </c>
      <c r="C4705" t="s">
        <v>6</v>
      </c>
      <c r="D4705">
        <f t="shared" si="161"/>
        <v>1</v>
      </c>
      <c r="E4705">
        <f t="shared" si="162"/>
        <v>1</v>
      </c>
      <c r="F4705">
        <f t="shared" si="163"/>
        <v>1</v>
      </c>
    </row>
    <row r="4706" spans="1:6">
      <c r="A4706" s="30">
        <f t="shared" si="160"/>
        <v>47796</v>
      </c>
      <c r="B4706" s="32" t="s">
        <v>199</v>
      </c>
      <c r="C4706" t="s">
        <v>6</v>
      </c>
      <c r="D4706">
        <f t="shared" si="161"/>
        <v>1</v>
      </c>
      <c r="E4706">
        <f t="shared" si="162"/>
        <v>1</v>
      </c>
      <c r="F4706">
        <f t="shared" si="163"/>
        <v>1</v>
      </c>
    </row>
    <row r="4707" spans="1:6">
      <c r="A4707" s="30">
        <f t="shared" si="160"/>
        <v>47797</v>
      </c>
      <c r="B4707" s="32" t="s">
        <v>199</v>
      </c>
      <c r="C4707" t="s">
        <v>6</v>
      </c>
      <c r="D4707">
        <f t="shared" si="161"/>
        <v>1</v>
      </c>
      <c r="E4707">
        <f t="shared" si="162"/>
        <v>1</v>
      </c>
      <c r="F4707">
        <f t="shared" si="163"/>
        <v>1</v>
      </c>
    </row>
    <row r="4708" spans="1:6">
      <c r="A4708" s="30">
        <f t="shared" si="160"/>
        <v>47798</v>
      </c>
      <c r="B4708" s="32" t="s">
        <v>199</v>
      </c>
      <c r="C4708" t="s">
        <v>6</v>
      </c>
      <c r="D4708">
        <f t="shared" si="161"/>
        <v>1</v>
      </c>
      <c r="E4708">
        <f t="shared" si="162"/>
        <v>1</v>
      </c>
      <c r="F4708">
        <f t="shared" si="163"/>
        <v>1</v>
      </c>
    </row>
    <row r="4709" spans="1:6">
      <c r="A4709" s="30">
        <f t="shared" si="160"/>
        <v>47799</v>
      </c>
      <c r="B4709" s="32" t="s">
        <v>199</v>
      </c>
      <c r="C4709" t="s">
        <v>6</v>
      </c>
      <c r="D4709">
        <f t="shared" si="161"/>
        <v>1</v>
      </c>
      <c r="E4709">
        <f t="shared" si="162"/>
        <v>1</v>
      </c>
      <c r="F4709">
        <f t="shared" si="163"/>
        <v>1</v>
      </c>
    </row>
    <row r="4710" spans="1:6">
      <c r="A4710" s="30">
        <f t="shared" si="160"/>
        <v>47800</v>
      </c>
      <c r="B4710" s="32" t="s">
        <v>199</v>
      </c>
      <c r="C4710" t="s">
        <v>6</v>
      </c>
      <c r="D4710">
        <f t="shared" si="161"/>
        <v>1</v>
      </c>
      <c r="E4710">
        <f t="shared" si="162"/>
        <v>1</v>
      </c>
      <c r="F4710">
        <f t="shared" si="163"/>
        <v>1</v>
      </c>
    </row>
    <row r="4711" spans="1:6">
      <c r="A4711" s="30">
        <f t="shared" si="160"/>
        <v>47801</v>
      </c>
      <c r="B4711" s="32" t="s">
        <v>199</v>
      </c>
      <c r="C4711" t="s">
        <v>6</v>
      </c>
      <c r="D4711">
        <f t="shared" si="161"/>
        <v>1</v>
      </c>
      <c r="E4711">
        <f t="shared" si="162"/>
        <v>1</v>
      </c>
      <c r="F4711">
        <f t="shared" si="163"/>
        <v>1</v>
      </c>
    </row>
    <row r="4712" spans="1:6">
      <c r="A4712" s="30">
        <f t="shared" si="160"/>
        <v>47802</v>
      </c>
      <c r="B4712" s="32" t="s">
        <v>199</v>
      </c>
      <c r="C4712" t="s">
        <v>6</v>
      </c>
      <c r="D4712">
        <f t="shared" si="161"/>
        <v>1</v>
      </c>
      <c r="E4712">
        <f t="shared" si="162"/>
        <v>1</v>
      </c>
      <c r="F4712">
        <f t="shared" si="163"/>
        <v>1</v>
      </c>
    </row>
    <row r="4713" spans="1:6">
      <c r="A4713" s="30">
        <f t="shared" si="160"/>
        <v>47803</v>
      </c>
      <c r="B4713" s="32" t="s">
        <v>199</v>
      </c>
      <c r="C4713" t="s">
        <v>6</v>
      </c>
      <c r="D4713">
        <f t="shared" si="161"/>
        <v>1</v>
      </c>
      <c r="E4713">
        <f t="shared" si="162"/>
        <v>1</v>
      </c>
      <c r="F4713">
        <f t="shared" si="163"/>
        <v>1</v>
      </c>
    </row>
    <row r="4714" spans="1:6">
      <c r="A4714" s="30">
        <f t="shared" si="160"/>
        <v>47804</v>
      </c>
      <c r="B4714" s="32" t="s">
        <v>199</v>
      </c>
      <c r="C4714" t="s">
        <v>6</v>
      </c>
      <c r="D4714">
        <f t="shared" si="161"/>
        <v>1</v>
      </c>
      <c r="E4714">
        <f t="shared" si="162"/>
        <v>1</v>
      </c>
      <c r="F4714">
        <f t="shared" si="163"/>
        <v>1</v>
      </c>
    </row>
    <row r="4715" spans="1:6">
      <c r="A4715" s="30">
        <f t="shared" si="160"/>
        <v>47805</v>
      </c>
      <c r="B4715" s="32" t="s">
        <v>199</v>
      </c>
      <c r="C4715" t="s">
        <v>6</v>
      </c>
      <c r="D4715">
        <f t="shared" si="161"/>
        <v>1</v>
      </c>
      <c r="E4715">
        <f t="shared" si="162"/>
        <v>1</v>
      </c>
      <c r="F4715">
        <f t="shared" si="163"/>
        <v>1</v>
      </c>
    </row>
    <row r="4716" spans="1:6">
      <c r="A4716" s="30">
        <f t="shared" si="160"/>
        <v>47806</v>
      </c>
      <c r="B4716" s="32" t="s">
        <v>199</v>
      </c>
      <c r="C4716" t="s">
        <v>6</v>
      </c>
      <c r="D4716">
        <f t="shared" si="161"/>
        <v>1</v>
      </c>
      <c r="E4716">
        <f t="shared" si="162"/>
        <v>1</v>
      </c>
      <c r="F4716">
        <f t="shared" si="163"/>
        <v>1</v>
      </c>
    </row>
    <row r="4717" spans="1:6">
      <c r="A4717" s="30">
        <f t="shared" si="160"/>
        <v>47807</v>
      </c>
      <c r="B4717" s="32" t="s">
        <v>199</v>
      </c>
      <c r="C4717" t="s">
        <v>6</v>
      </c>
      <c r="D4717">
        <f t="shared" si="161"/>
        <v>1</v>
      </c>
      <c r="E4717">
        <f t="shared" si="162"/>
        <v>1</v>
      </c>
      <c r="F4717">
        <f t="shared" si="163"/>
        <v>1</v>
      </c>
    </row>
    <row r="4718" spans="1:6">
      <c r="A4718" s="30">
        <f t="shared" si="160"/>
        <v>47808</v>
      </c>
      <c r="B4718" s="32" t="s">
        <v>199</v>
      </c>
      <c r="C4718" t="s">
        <v>6</v>
      </c>
      <c r="D4718">
        <f t="shared" si="161"/>
        <v>1</v>
      </c>
      <c r="E4718">
        <f t="shared" si="162"/>
        <v>1</v>
      </c>
      <c r="F4718">
        <f t="shared" si="163"/>
        <v>1</v>
      </c>
    </row>
    <row r="4719" spans="1:6">
      <c r="A4719" s="30">
        <f t="shared" si="160"/>
        <v>47809</v>
      </c>
      <c r="B4719" s="32" t="s">
        <v>199</v>
      </c>
      <c r="C4719" t="s">
        <v>6</v>
      </c>
      <c r="D4719">
        <f t="shared" si="161"/>
        <v>1</v>
      </c>
      <c r="E4719">
        <f t="shared" si="162"/>
        <v>1</v>
      </c>
      <c r="F4719">
        <f t="shared" si="163"/>
        <v>1</v>
      </c>
    </row>
    <row r="4720" spans="1:6">
      <c r="A4720" s="30">
        <f t="shared" si="160"/>
        <v>47810</v>
      </c>
      <c r="B4720" s="32" t="s">
        <v>199</v>
      </c>
      <c r="C4720" t="s">
        <v>6</v>
      </c>
      <c r="D4720">
        <f t="shared" si="161"/>
        <v>1</v>
      </c>
      <c r="E4720">
        <f t="shared" si="162"/>
        <v>1</v>
      </c>
      <c r="F4720">
        <f t="shared" si="163"/>
        <v>1</v>
      </c>
    </row>
    <row r="4721" spans="1:6">
      <c r="A4721" s="30">
        <f t="shared" si="160"/>
        <v>47811</v>
      </c>
      <c r="B4721" s="32" t="s">
        <v>199</v>
      </c>
      <c r="C4721" t="s">
        <v>6</v>
      </c>
      <c r="D4721">
        <f t="shared" si="161"/>
        <v>1</v>
      </c>
      <c r="E4721">
        <f t="shared" si="162"/>
        <v>1</v>
      </c>
      <c r="F4721">
        <f t="shared" si="163"/>
        <v>1</v>
      </c>
    </row>
    <row r="4722" spans="1:6">
      <c r="A4722" s="30">
        <f t="shared" si="160"/>
        <v>47812</v>
      </c>
      <c r="B4722" s="32" t="s">
        <v>199</v>
      </c>
      <c r="C4722" t="s">
        <v>6</v>
      </c>
      <c r="D4722">
        <f t="shared" si="161"/>
        <v>1</v>
      </c>
      <c r="E4722">
        <f t="shared" si="162"/>
        <v>1</v>
      </c>
      <c r="F4722">
        <f t="shared" si="163"/>
        <v>1</v>
      </c>
    </row>
    <row r="4723" spans="1:6">
      <c r="A4723" s="30">
        <f t="shared" si="160"/>
        <v>47813</v>
      </c>
      <c r="B4723" s="32" t="s">
        <v>199</v>
      </c>
      <c r="C4723" t="s">
        <v>6</v>
      </c>
      <c r="D4723">
        <f t="shared" si="161"/>
        <v>1</v>
      </c>
      <c r="E4723">
        <f t="shared" si="162"/>
        <v>1</v>
      </c>
      <c r="F4723">
        <f t="shared" si="163"/>
        <v>1</v>
      </c>
    </row>
    <row r="4724" spans="1:6">
      <c r="A4724" s="30">
        <f t="shared" si="160"/>
        <v>47814</v>
      </c>
      <c r="B4724" s="32" t="s">
        <v>199</v>
      </c>
      <c r="C4724" t="s">
        <v>6</v>
      </c>
      <c r="D4724">
        <f t="shared" si="161"/>
        <v>1</v>
      </c>
      <c r="E4724">
        <f t="shared" si="162"/>
        <v>1</v>
      </c>
      <c r="F4724">
        <f t="shared" si="163"/>
        <v>1</v>
      </c>
    </row>
    <row r="4725" spans="1:6">
      <c r="A4725" s="30">
        <f t="shared" si="160"/>
        <v>47815</v>
      </c>
      <c r="B4725" s="32" t="s">
        <v>199</v>
      </c>
      <c r="C4725" t="s">
        <v>6</v>
      </c>
      <c r="D4725">
        <f t="shared" si="161"/>
        <v>1</v>
      </c>
      <c r="E4725">
        <f t="shared" si="162"/>
        <v>1</v>
      </c>
      <c r="F4725">
        <f t="shared" si="163"/>
        <v>1</v>
      </c>
    </row>
    <row r="4726" spans="1:6">
      <c r="A4726" s="30">
        <f t="shared" si="160"/>
        <v>47816</v>
      </c>
      <c r="B4726" s="32" t="s">
        <v>199</v>
      </c>
      <c r="C4726" t="s">
        <v>6</v>
      </c>
      <c r="D4726">
        <f t="shared" si="161"/>
        <v>1</v>
      </c>
      <c r="E4726">
        <f t="shared" si="162"/>
        <v>1</v>
      </c>
      <c r="F4726">
        <f t="shared" si="163"/>
        <v>1</v>
      </c>
    </row>
    <row r="4727" spans="1:6">
      <c r="A4727" s="30">
        <f t="shared" si="160"/>
        <v>47817</v>
      </c>
      <c r="B4727" s="32" t="s">
        <v>199</v>
      </c>
      <c r="C4727" t="s">
        <v>6</v>
      </c>
      <c r="D4727">
        <f t="shared" si="161"/>
        <v>1</v>
      </c>
      <c r="E4727">
        <f t="shared" si="162"/>
        <v>1</v>
      </c>
      <c r="F4727">
        <f t="shared" si="163"/>
        <v>1</v>
      </c>
    </row>
    <row r="4728" spans="1:6">
      <c r="A4728" s="30">
        <f t="shared" si="160"/>
        <v>47818</v>
      </c>
      <c r="B4728" s="32" t="s">
        <v>199</v>
      </c>
      <c r="C4728" t="s">
        <v>6</v>
      </c>
      <c r="D4728">
        <f t="shared" si="161"/>
        <v>1</v>
      </c>
      <c r="E4728">
        <f t="shared" si="162"/>
        <v>1</v>
      </c>
      <c r="F4728">
        <f t="shared" si="163"/>
        <v>1</v>
      </c>
    </row>
    <row r="4729" spans="1:6">
      <c r="A4729" s="30">
        <f t="shared" si="160"/>
        <v>47819</v>
      </c>
      <c r="B4729" s="32" t="s">
        <v>199</v>
      </c>
      <c r="C4729" t="s">
        <v>6</v>
      </c>
      <c r="D4729">
        <f t="shared" si="161"/>
        <v>1</v>
      </c>
      <c r="E4729">
        <f t="shared" si="162"/>
        <v>1</v>
      </c>
      <c r="F4729">
        <f t="shared" si="163"/>
        <v>1</v>
      </c>
    </row>
    <row r="4730" spans="1:6">
      <c r="A4730" s="30">
        <f t="shared" si="160"/>
        <v>47820</v>
      </c>
      <c r="B4730" s="32" t="s">
        <v>199</v>
      </c>
      <c r="C4730" t="s">
        <v>6</v>
      </c>
      <c r="D4730">
        <f t="shared" si="161"/>
        <v>1</v>
      </c>
      <c r="E4730">
        <f t="shared" si="162"/>
        <v>1</v>
      </c>
      <c r="F4730">
        <f t="shared" si="163"/>
        <v>1</v>
      </c>
    </row>
    <row r="4731" spans="1:6">
      <c r="A4731" s="30">
        <f t="shared" si="160"/>
        <v>47821</v>
      </c>
      <c r="B4731" s="32" t="s">
        <v>199</v>
      </c>
      <c r="C4731" t="s">
        <v>6</v>
      </c>
      <c r="D4731">
        <f t="shared" si="161"/>
        <v>1</v>
      </c>
      <c r="E4731">
        <f t="shared" si="162"/>
        <v>1</v>
      </c>
      <c r="F4731">
        <f t="shared" si="163"/>
        <v>1</v>
      </c>
    </row>
    <row r="4732" spans="1:6">
      <c r="A4732" s="30">
        <f t="shared" si="160"/>
        <v>47822</v>
      </c>
      <c r="B4732" s="32" t="s">
        <v>199</v>
      </c>
      <c r="C4732" t="s">
        <v>6</v>
      </c>
      <c r="D4732">
        <f t="shared" si="161"/>
        <v>1</v>
      </c>
      <c r="E4732">
        <f t="shared" si="162"/>
        <v>1</v>
      </c>
      <c r="F4732">
        <f t="shared" si="163"/>
        <v>1</v>
      </c>
    </row>
    <row r="4733" spans="1:6">
      <c r="A4733" s="30">
        <f t="shared" si="160"/>
        <v>47823</v>
      </c>
      <c r="B4733" s="32" t="s">
        <v>199</v>
      </c>
      <c r="C4733" t="s">
        <v>6</v>
      </c>
      <c r="D4733">
        <f t="shared" si="161"/>
        <v>1</v>
      </c>
      <c r="E4733">
        <f t="shared" si="162"/>
        <v>1</v>
      </c>
      <c r="F4733">
        <f t="shared" si="163"/>
        <v>1</v>
      </c>
    </row>
    <row r="4734" spans="1:6">
      <c r="A4734" s="30">
        <f t="shared" si="160"/>
        <v>47824</v>
      </c>
      <c r="B4734" s="32" t="s">
        <v>199</v>
      </c>
      <c r="C4734" t="s">
        <v>6</v>
      </c>
      <c r="D4734">
        <f t="shared" si="161"/>
        <v>1</v>
      </c>
      <c r="E4734">
        <f t="shared" si="162"/>
        <v>1</v>
      </c>
      <c r="F4734">
        <f t="shared" si="163"/>
        <v>1</v>
      </c>
    </row>
    <row r="4735" spans="1:6">
      <c r="A4735" s="30">
        <f t="shared" si="160"/>
        <v>47825</v>
      </c>
      <c r="B4735" s="32" t="s">
        <v>199</v>
      </c>
      <c r="C4735" t="s">
        <v>6</v>
      </c>
      <c r="D4735">
        <f t="shared" si="161"/>
        <v>1</v>
      </c>
      <c r="E4735">
        <f t="shared" si="162"/>
        <v>1</v>
      </c>
      <c r="F4735">
        <f t="shared" si="163"/>
        <v>1</v>
      </c>
    </row>
    <row r="4736" spans="1:6">
      <c r="A4736" s="30">
        <f t="shared" si="160"/>
        <v>47826</v>
      </c>
      <c r="B4736" s="32" t="s">
        <v>199</v>
      </c>
      <c r="C4736" t="s">
        <v>6</v>
      </c>
      <c r="D4736">
        <f t="shared" si="161"/>
        <v>1</v>
      </c>
      <c r="E4736">
        <f t="shared" si="162"/>
        <v>1</v>
      </c>
      <c r="F4736">
        <f t="shared" si="163"/>
        <v>1</v>
      </c>
    </row>
    <row r="4737" spans="1:6">
      <c r="A4737" s="30">
        <f t="shared" si="160"/>
        <v>47827</v>
      </c>
      <c r="B4737" s="32" t="s">
        <v>199</v>
      </c>
      <c r="C4737" t="s">
        <v>6</v>
      </c>
      <c r="D4737">
        <f t="shared" si="161"/>
        <v>1</v>
      </c>
      <c r="E4737">
        <f t="shared" si="162"/>
        <v>1</v>
      </c>
      <c r="F4737">
        <f t="shared" si="163"/>
        <v>1</v>
      </c>
    </row>
    <row r="4738" spans="1:6">
      <c r="A4738" s="30">
        <f t="shared" si="160"/>
        <v>47828</v>
      </c>
      <c r="B4738" s="32" t="s">
        <v>199</v>
      </c>
      <c r="C4738" t="s">
        <v>6</v>
      </c>
      <c r="D4738">
        <f t="shared" si="161"/>
        <v>1</v>
      </c>
      <c r="E4738">
        <f t="shared" si="162"/>
        <v>1</v>
      </c>
      <c r="F4738">
        <f t="shared" si="163"/>
        <v>1</v>
      </c>
    </row>
    <row r="4739" spans="1:6">
      <c r="A4739" s="30">
        <f t="shared" si="160"/>
        <v>47829</v>
      </c>
      <c r="B4739" s="32" t="s">
        <v>199</v>
      </c>
      <c r="C4739" t="s">
        <v>6</v>
      </c>
      <c r="D4739">
        <f t="shared" si="161"/>
        <v>1</v>
      </c>
      <c r="E4739">
        <f t="shared" si="162"/>
        <v>1</v>
      </c>
      <c r="F4739">
        <f t="shared" si="163"/>
        <v>1</v>
      </c>
    </row>
    <row r="4740" spans="1:6">
      <c r="A4740" s="30">
        <f t="shared" si="160"/>
        <v>47830</v>
      </c>
      <c r="B4740" s="32" t="s">
        <v>199</v>
      </c>
      <c r="C4740" t="s">
        <v>6</v>
      </c>
      <c r="D4740">
        <f t="shared" si="161"/>
        <v>1</v>
      </c>
      <c r="E4740">
        <f t="shared" si="162"/>
        <v>1</v>
      </c>
      <c r="F4740">
        <f t="shared" si="163"/>
        <v>1</v>
      </c>
    </row>
    <row r="4741" spans="1:6">
      <c r="A4741" s="30">
        <f t="shared" si="160"/>
        <v>47831</v>
      </c>
      <c r="B4741" s="32" t="s">
        <v>199</v>
      </c>
      <c r="C4741" t="s">
        <v>6</v>
      </c>
      <c r="D4741">
        <f t="shared" si="161"/>
        <v>1</v>
      </c>
      <c r="E4741">
        <f t="shared" si="162"/>
        <v>1</v>
      </c>
      <c r="F4741">
        <f t="shared" si="163"/>
        <v>1</v>
      </c>
    </row>
    <row r="4742" spans="1:6">
      <c r="A4742" s="30">
        <f t="shared" si="160"/>
        <v>47832</v>
      </c>
      <c r="B4742" s="32" t="s">
        <v>199</v>
      </c>
      <c r="C4742" t="s">
        <v>6</v>
      </c>
      <c r="D4742">
        <f t="shared" si="161"/>
        <v>1</v>
      </c>
      <c r="E4742">
        <f t="shared" si="162"/>
        <v>1</v>
      </c>
      <c r="F4742">
        <f t="shared" si="163"/>
        <v>1</v>
      </c>
    </row>
    <row r="4743" spans="1:6">
      <c r="A4743" s="30">
        <f t="shared" si="160"/>
        <v>47833</v>
      </c>
      <c r="B4743" s="32" t="s">
        <v>199</v>
      </c>
      <c r="C4743" t="s">
        <v>6</v>
      </c>
      <c r="D4743">
        <f t="shared" si="161"/>
        <v>1</v>
      </c>
      <c r="E4743">
        <f t="shared" si="162"/>
        <v>1</v>
      </c>
      <c r="F4743">
        <f t="shared" si="163"/>
        <v>1</v>
      </c>
    </row>
    <row r="4744" spans="1:6">
      <c r="A4744" s="30">
        <f t="shared" si="160"/>
        <v>47834</v>
      </c>
      <c r="B4744" s="32" t="s">
        <v>199</v>
      </c>
      <c r="C4744" t="s">
        <v>6</v>
      </c>
      <c r="D4744">
        <f t="shared" si="161"/>
        <v>1</v>
      </c>
      <c r="E4744">
        <f t="shared" si="162"/>
        <v>1</v>
      </c>
      <c r="F4744">
        <f t="shared" si="163"/>
        <v>1</v>
      </c>
    </row>
    <row r="4745" spans="1:6">
      <c r="A4745" s="30">
        <f t="shared" si="160"/>
        <v>47835</v>
      </c>
      <c r="B4745" s="32" t="s">
        <v>199</v>
      </c>
      <c r="C4745" t="s">
        <v>6</v>
      </c>
      <c r="D4745">
        <f t="shared" si="161"/>
        <v>1</v>
      </c>
      <c r="E4745">
        <f t="shared" si="162"/>
        <v>1</v>
      </c>
      <c r="F4745">
        <f t="shared" si="163"/>
        <v>1</v>
      </c>
    </row>
    <row r="4746" spans="1:6">
      <c r="A4746" s="30">
        <f t="shared" si="160"/>
        <v>47836</v>
      </c>
      <c r="B4746" s="32" t="s">
        <v>199</v>
      </c>
      <c r="C4746" t="s">
        <v>6</v>
      </c>
      <c r="D4746">
        <f t="shared" si="161"/>
        <v>1</v>
      </c>
      <c r="E4746">
        <f t="shared" si="162"/>
        <v>1</v>
      </c>
      <c r="F4746">
        <f t="shared" si="163"/>
        <v>1</v>
      </c>
    </row>
    <row r="4747" spans="1:6">
      <c r="A4747" s="30">
        <f t="shared" si="160"/>
        <v>47837</v>
      </c>
      <c r="B4747" s="32" t="s">
        <v>199</v>
      </c>
      <c r="C4747" t="s">
        <v>6</v>
      </c>
      <c r="D4747">
        <f t="shared" si="161"/>
        <v>1</v>
      </c>
      <c r="E4747">
        <f t="shared" si="162"/>
        <v>1</v>
      </c>
      <c r="F4747">
        <f t="shared" si="163"/>
        <v>1</v>
      </c>
    </row>
    <row r="4748" spans="1:6">
      <c r="A4748" s="30">
        <f t="shared" si="160"/>
        <v>47838</v>
      </c>
      <c r="B4748" s="32" t="s">
        <v>199</v>
      </c>
      <c r="C4748" t="s">
        <v>6</v>
      </c>
      <c r="D4748">
        <f t="shared" si="161"/>
        <v>1</v>
      </c>
      <c r="E4748">
        <f t="shared" si="162"/>
        <v>1</v>
      </c>
      <c r="F4748">
        <f t="shared" si="163"/>
        <v>1</v>
      </c>
    </row>
    <row r="4749" spans="1:6">
      <c r="A4749" s="30">
        <f t="shared" si="160"/>
        <v>47839</v>
      </c>
      <c r="B4749" s="32" t="s">
        <v>199</v>
      </c>
      <c r="C4749" t="s">
        <v>6</v>
      </c>
      <c r="D4749">
        <f t="shared" si="161"/>
        <v>1</v>
      </c>
      <c r="E4749">
        <f t="shared" si="162"/>
        <v>1</v>
      </c>
      <c r="F4749">
        <f t="shared" si="163"/>
        <v>1</v>
      </c>
    </row>
    <row r="4750" spans="1:6">
      <c r="A4750" s="30">
        <f t="shared" si="160"/>
        <v>47840</v>
      </c>
      <c r="B4750" s="32" t="s">
        <v>199</v>
      </c>
      <c r="C4750" t="s">
        <v>6</v>
      </c>
      <c r="D4750">
        <f t="shared" si="161"/>
        <v>1</v>
      </c>
      <c r="E4750">
        <f t="shared" si="162"/>
        <v>1</v>
      </c>
      <c r="F4750">
        <f t="shared" si="163"/>
        <v>1</v>
      </c>
    </row>
    <row r="4751" spans="1:6">
      <c r="A4751" s="30">
        <f t="shared" si="160"/>
        <v>47841</v>
      </c>
      <c r="B4751" s="32" t="s">
        <v>199</v>
      </c>
      <c r="C4751" t="s">
        <v>6</v>
      </c>
      <c r="D4751">
        <f t="shared" si="161"/>
        <v>1</v>
      </c>
      <c r="E4751">
        <f t="shared" si="162"/>
        <v>1</v>
      </c>
      <c r="F4751">
        <f t="shared" si="163"/>
        <v>1</v>
      </c>
    </row>
    <row r="4752" spans="1:6">
      <c r="A4752" s="30">
        <f t="shared" si="160"/>
        <v>47842</v>
      </c>
      <c r="B4752" s="32" t="s">
        <v>199</v>
      </c>
      <c r="C4752" t="s">
        <v>6</v>
      </c>
      <c r="D4752">
        <f t="shared" si="161"/>
        <v>1</v>
      </c>
      <c r="E4752">
        <f t="shared" si="162"/>
        <v>1</v>
      </c>
      <c r="F4752">
        <f t="shared" si="163"/>
        <v>1</v>
      </c>
    </row>
    <row r="4753" spans="1:6">
      <c r="A4753" s="30">
        <f t="shared" si="160"/>
        <v>47843</v>
      </c>
      <c r="B4753" s="32" t="s">
        <v>199</v>
      </c>
      <c r="C4753" t="s">
        <v>6</v>
      </c>
      <c r="D4753">
        <f t="shared" si="161"/>
        <v>1</v>
      </c>
      <c r="E4753">
        <f t="shared" si="162"/>
        <v>1</v>
      </c>
      <c r="F4753">
        <f t="shared" si="163"/>
        <v>1</v>
      </c>
    </row>
    <row r="4754" spans="1:6">
      <c r="A4754" s="30">
        <f t="shared" si="160"/>
        <v>47844</v>
      </c>
      <c r="B4754" s="32" t="s">
        <v>199</v>
      </c>
      <c r="C4754" t="s">
        <v>6</v>
      </c>
      <c r="D4754">
        <f t="shared" si="161"/>
        <v>1</v>
      </c>
      <c r="E4754">
        <f t="shared" si="162"/>
        <v>1</v>
      </c>
      <c r="F4754">
        <f t="shared" si="163"/>
        <v>1</v>
      </c>
    </row>
    <row r="4755" spans="1:6">
      <c r="A4755" s="30">
        <f t="shared" ref="A4755:A4818" si="164">A4754+1</f>
        <v>47845</v>
      </c>
      <c r="B4755" s="32" t="s">
        <v>199</v>
      </c>
      <c r="C4755" t="s">
        <v>6</v>
      </c>
      <c r="D4755">
        <f t="shared" ref="D4755:D4818" si="165">IF(B4755=$AB$2,$AC$2,$AC$3)</f>
        <v>1</v>
      </c>
      <c r="E4755">
        <f t="shared" ref="E4755:E4818" si="166">IF(ISBLANK(C4755),0,VLOOKUP(C4755,$AE$2:$AF$7,2,0))</f>
        <v>1</v>
      </c>
      <c r="F4755">
        <f t="shared" ref="F4755:F4818" si="167">D4755*E4755</f>
        <v>1</v>
      </c>
    </row>
    <row r="4756" spans="1:6">
      <c r="A4756" s="30">
        <f t="shared" si="164"/>
        <v>47846</v>
      </c>
      <c r="B4756" s="32" t="s">
        <v>199</v>
      </c>
      <c r="C4756" t="s">
        <v>6</v>
      </c>
      <c r="D4756">
        <f t="shared" si="165"/>
        <v>1</v>
      </c>
      <c r="E4756">
        <f t="shared" si="166"/>
        <v>1</v>
      </c>
      <c r="F4756">
        <f t="shared" si="167"/>
        <v>1</v>
      </c>
    </row>
    <row r="4757" spans="1:6">
      <c r="A4757" s="30">
        <f t="shared" si="164"/>
        <v>47847</v>
      </c>
      <c r="B4757" s="32" t="s">
        <v>199</v>
      </c>
      <c r="C4757" t="s">
        <v>6</v>
      </c>
      <c r="D4757">
        <f t="shared" si="165"/>
        <v>1</v>
      </c>
      <c r="E4757">
        <f t="shared" si="166"/>
        <v>1</v>
      </c>
      <c r="F4757">
        <f t="shared" si="167"/>
        <v>1</v>
      </c>
    </row>
    <row r="4758" spans="1:6">
      <c r="A4758" s="30">
        <f t="shared" si="164"/>
        <v>47848</v>
      </c>
      <c r="B4758" s="32" t="s">
        <v>199</v>
      </c>
      <c r="C4758" t="s">
        <v>6</v>
      </c>
      <c r="D4758">
        <f t="shared" si="165"/>
        <v>1</v>
      </c>
      <c r="E4758">
        <f t="shared" si="166"/>
        <v>1</v>
      </c>
      <c r="F4758">
        <f t="shared" si="167"/>
        <v>1</v>
      </c>
    </row>
    <row r="4759" spans="1:6">
      <c r="A4759" s="30">
        <f t="shared" si="164"/>
        <v>47849</v>
      </c>
      <c r="B4759" s="32" t="s">
        <v>199</v>
      </c>
      <c r="C4759" t="s">
        <v>6</v>
      </c>
      <c r="D4759">
        <f t="shared" si="165"/>
        <v>1</v>
      </c>
      <c r="E4759">
        <f t="shared" si="166"/>
        <v>1</v>
      </c>
      <c r="F4759">
        <f t="shared" si="167"/>
        <v>1</v>
      </c>
    </row>
    <row r="4760" spans="1:6">
      <c r="A4760" s="30">
        <f t="shared" si="164"/>
        <v>47850</v>
      </c>
      <c r="B4760" s="32" t="s">
        <v>199</v>
      </c>
      <c r="C4760" t="s">
        <v>6</v>
      </c>
      <c r="D4760">
        <f t="shared" si="165"/>
        <v>1</v>
      </c>
      <c r="E4760">
        <f t="shared" si="166"/>
        <v>1</v>
      </c>
      <c r="F4760">
        <f t="shared" si="167"/>
        <v>1</v>
      </c>
    </row>
    <row r="4761" spans="1:6">
      <c r="A4761" s="30">
        <f t="shared" si="164"/>
        <v>47851</v>
      </c>
      <c r="B4761" s="32" t="s">
        <v>199</v>
      </c>
      <c r="C4761" t="s">
        <v>6</v>
      </c>
      <c r="D4761">
        <f t="shared" si="165"/>
        <v>1</v>
      </c>
      <c r="E4761">
        <f t="shared" si="166"/>
        <v>1</v>
      </c>
      <c r="F4761">
        <f t="shared" si="167"/>
        <v>1</v>
      </c>
    </row>
    <row r="4762" spans="1:6">
      <c r="A4762" s="30">
        <f t="shared" si="164"/>
        <v>47852</v>
      </c>
      <c r="B4762" s="32" t="s">
        <v>199</v>
      </c>
      <c r="C4762" t="s">
        <v>6</v>
      </c>
      <c r="D4762">
        <f t="shared" si="165"/>
        <v>1</v>
      </c>
      <c r="E4762">
        <f t="shared" si="166"/>
        <v>1</v>
      </c>
      <c r="F4762">
        <f t="shared" si="167"/>
        <v>1</v>
      </c>
    </row>
    <row r="4763" spans="1:6">
      <c r="A4763" s="30">
        <f t="shared" si="164"/>
        <v>47853</v>
      </c>
      <c r="B4763" s="32" t="s">
        <v>199</v>
      </c>
      <c r="C4763" t="s">
        <v>6</v>
      </c>
      <c r="D4763">
        <f t="shared" si="165"/>
        <v>1</v>
      </c>
      <c r="E4763">
        <f t="shared" si="166"/>
        <v>1</v>
      </c>
      <c r="F4763">
        <f t="shared" si="167"/>
        <v>1</v>
      </c>
    </row>
    <row r="4764" spans="1:6">
      <c r="A4764" s="30">
        <f t="shared" si="164"/>
        <v>47854</v>
      </c>
      <c r="B4764" s="32" t="s">
        <v>199</v>
      </c>
      <c r="C4764" t="s">
        <v>6</v>
      </c>
      <c r="D4764">
        <f t="shared" si="165"/>
        <v>1</v>
      </c>
      <c r="E4764">
        <f t="shared" si="166"/>
        <v>1</v>
      </c>
      <c r="F4764">
        <f t="shared" si="167"/>
        <v>1</v>
      </c>
    </row>
    <row r="4765" spans="1:6">
      <c r="A4765" s="30">
        <f t="shared" si="164"/>
        <v>47855</v>
      </c>
      <c r="B4765" s="32" t="s">
        <v>199</v>
      </c>
      <c r="C4765" t="s">
        <v>6</v>
      </c>
      <c r="D4765">
        <f t="shared" si="165"/>
        <v>1</v>
      </c>
      <c r="E4765">
        <f t="shared" si="166"/>
        <v>1</v>
      </c>
      <c r="F4765">
        <f t="shared" si="167"/>
        <v>1</v>
      </c>
    </row>
    <row r="4766" spans="1:6">
      <c r="A4766" s="30">
        <f t="shared" si="164"/>
        <v>47856</v>
      </c>
      <c r="B4766" s="32" t="s">
        <v>199</v>
      </c>
      <c r="C4766" t="s">
        <v>6</v>
      </c>
      <c r="D4766">
        <f t="shared" si="165"/>
        <v>1</v>
      </c>
      <c r="E4766">
        <f t="shared" si="166"/>
        <v>1</v>
      </c>
      <c r="F4766">
        <f t="shared" si="167"/>
        <v>1</v>
      </c>
    </row>
    <row r="4767" spans="1:6">
      <c r="A4767" s="30">
        <f t="shared" si="164"/>
        <v>47857</v>
      </c>
      <c r="B4767" s="32" t="s">
        <v>199</v>
      </c>
      <c r="C4767" t="s">
        <v>6</v>
      </c>
      <c r="D4767">
        <f t="shared" si="165"/>
        <v>1</v>
      </c>
      <c r="E4767">
        <f t="shared" si="166"/>
        <v>1</v>
      </c>
      <c r="F4767">
        <f t="shared" si="167"/>
        <v>1</v>
      </c>
    </row>
    <row r="4768" spans="1:6">
      <c r="A4768" s="30">
        <f t="shared" si="164"/>
        <v>47858</v>
      </c>
      <c r="B4768" s="32" t="s">
        <v>199</v>
      </c>
      <c r="C4768" t="s">
        <v>6</v>
      </c>
      <c r="D4768">
        <f t="shared" si="165"/>
        <v>1</v>
      </c>
      <c r="E4768">
        <f t="shared" si="166"/>
        <v>1</v>
      </c>
      <c r="F4768">
        <f t="shared" si="167"/>
        <v>1</v>
      </c>
    </row>
    <row r="4769" spans="1:6">
      <c r="A4769" s="30">
        <f t="shared" si="164"/>
        <v>47859</v>
      </c>
      <c r="B4769" s="32" t="s">
        <v>199</v>
      </c>
      <c r="C4769" t="s">
        <v>6</v>
      </c>
      <c r="D4769">
        <f t="shared" si="165"/>
        <v>1</v>
      </c>
      <c r="E4769">
        <f t="shared" si="166"/>
        <v>1</v>
      </c>
      <c r="F4769">
        <f t="shared" si="167"/>
        <v>1</v>
      </c>
    </row>
    <row r="4770" spans="1:6">
      <c r="A4770" s="30">
        <f t="shared" si="164"/>
        <v>47860</v>
      </c>
      <c r="B4770" s="32" t="s">
        <v>199</v>
      </c>
      <c r="C4770" t="s">
        <v>6</v>
      </c>
      <c r="D4770">
        <f t="shared" si="165"/>
        <v>1</v>
      </c>
      <c r="E4770">
        <f t="shared" si="166"/>
        <v>1</v>
      </c>
      <c r="F4770">
        <f t="shared" si="167"/>
        <v>1</v>
      </c>
    </row>
    <row r="4771" spans="1:6">
      <c r="A4771" s="30">
        <f t="shared" si="164"/>
        <v>47861</v>
      </c>
      <c r="B4771" s="32" t="s">
        <v>199</v>
      </c>
      <c r="C4771" t="s">
        <v>6</v>
      </c>
      <c r="D4771">
        <f t="shared" si="165"/>
        <v>1</v>
      </c>
      <c r="E4771">
        <f t="shared" si="166"/>
        <v>1</v>
      </c>
      <c r="F4771">
        <f t="shared" si="167"/>
        <v>1</v>
      </c>
    </row>
    <row r="4772" spans="1:6">
      <c r="A4772" s="30">
        <f t="shared" si="164"/>
        <v>47862</v>
      </c>
      <c r="B4772" s="32" t="s">
        <v>199</v>
      </c>
      <c r="C4772" t="s">
        <v>6</v>
      </c>
      <c r="D4772">
        <f t="shared" si="165"/>
        <v>1</v>
      </c>
      <c r="E4772">
        <f t="shared" si="166"/>
        <v>1</v>
      </c>
      <c r="F4772">
        <f t="shared" si="167"/>
        <v>1</v>
      </c>
    </row>
    <row r="4773" spans="1:6">
      <c r="A4773" s="30">
        <f t="shared" si="164"/>
        <v>47863</v>
      </c>
      <c r="B4773" s="32" t="s">
        <v>199</v>
      </c>
      <c r="C4773" t="s">
        <v>6</v>
      </c>
      <c r="D4773">
        <f t="shared" si="165"/>
        <v>1</v>
      </c>
      <c r="E4773">
        <f t="shared" si="166"/>
        <v>1</v>
      </c>
      <c r="F4773">
        <f t="shared" si="167"/>
        <v>1</v>
      </c>
    </row>
    <row r="4774" spans="1:6">
      <c r="A4774" s="30">
        <f t="shared" si="164"/>
        <v>47864</v>
      </c>
      <c r="B4774" s="32" t="s">
        <v>199</v>
      </c>
      <c r="C4774" t="s">
        <v>6</v>
      </c>
      <c r="D4774">
        <f t="shared" si="165"/>
        <v>1</v>
      </c>
      <c r="E4774">
        <f t="shared" si="166"/>
        <v>1</v>
      </c>
      <c r="F4774">
        <f t="shared" si="167"/>
        <v>1</v>
      </c>
    </row>
    <row r="4775" spans="1:6">
      <c r="A4775" s="30">
        <f t="shared" si="164"/>
        <v>47865</v>
      </c>
      <c r="B4775" s="32" t="s">
        <v>199</v>
      </c>
      <c r="C4775" t="s">
        <v>6</v>
      </c>
      <c r="D4775">
        <f t="shared" si="165"/>
        <v>1</v>
      </c>
      <c r="E4775">
        <f t="shared" si="166"/>
        <v>1</v>
      </c>
      <c r="F4775">
        <f t="shared" si="167"/>
        <v>1</v>
      </c>
    </row>
    <row r="4776" spans="1:6">
      <c r="A4776" s="30">
        <f t="shared" si="164"/>
        <v>47866</v>
      </c>
      <c r="B4776" s="32" t="s">
        <v>199</v>
      </c>
      <c r="C4776" t="s">
        <v>6</v>
      </c>
      <c r="D4776">
        <f t="shared" si="165"/>
        <v>1</v>
      </c>
      <c r="E4776">
        <f t="shared" si="166"/>
        <v>1</v>
      </c>
      <c r="F4776">
        <f t="shared" si="167"/>
        <v>1</v>
      </c>
    </row>
    <row r="4777" spans="1:6">
      <c r="A4777" s="30">
        <f t="shared" si="164"/>
        <v>47867</v>
      </c>
      <c r="B4777" s="32" t="s">
        <v>199</v>
      </c>
      <c r="C4777" t="s">
        <v>6</v>
      </c>
      <c r="D4777">
        <f t="shared" si="165"/>
        <v>1</v>
      </c>
      <c r="E4777">
        <f t="shared" si="166"/>
        <v>1</v>
      </c>
      <c r="F4777">
        <f t="shared" si="167"/>
        <v>1</v>
      </c>
    </row>
    <row r="4778" spans="1:6">
      <c r="A4778" s="30">
        <f t="shared" si="164"/>
        <v>47868</v>
      </c>
      <c r="B4778" s="32" t="s">
        <v>199</v>
      </c>
      <c r="C4778" t="s">
        <v>6</v>
      </c>
      <c r="D4778">
        <f t="shared" si="165"/>
        <v>1</v>
      </c>
      <c r="E4778">
        <f t="shared" si="166"/>
        <v>1</v>
      </c>
      <c r="F4778">
        <f t="shared" si="167"/>
        <v>1</v>
      </c>
    </row>
    <row r="4779" spans="1:6">
      <c r="A4779" s="30">
        <f t="shared" si="164"/>
        <v>47869</v>
      </c>
      <c r="B4779" s="32" t="s">
        <v>199</v>
      </c>
      <c r="C4779" t="s">
        <v>6</v>
      </c>
      <c r="D4779">
        <f t="shared" si="165"/>
        <v>1</v>
      </c>
      <c r="E4779">
        <f t="shared" si="166"/>
        <v>1</v>
      </c>
      <c r="F4779">
        <f t="shared" si="167"/>
        <v>1</v>
      </c>
    </row>
    <row r="4780" spans="1:6">
      <c r="A4780" s="30">
        <f t="shared" si="164"/>
        <v>47870</v>
      </c>
      <c r="B4780" s="32" t="s">
        <v>199</v>
      </c>
      <c r="C4780" t="s">
        <v>6</v>
      </c>
      <c r="D4780">
        <f t="shared" si="165"/>
        <v>1</v>
      </c>
      <c r="E4780">
        <f t="shared" si="166"/>
        <v>1</v>
      </c>
      <c r="F4780">
        <f t="shared" si="167"/>
        <v>1</v>
      </c>
    </row>
    <row r="4781" spans="1:6">
      <c r="A4781" s="30">
        <f t="shared" si="164"/>
        <v>47871</v>
      </c>
      <c r="B4781" s="32" t="s">
        <v>199</v>
      </c>
      <c r="C4781" t="s">
        <v>6</v>
      </c>
      <c r="D4781">
        <f t="shared" si="165"/>
        <v>1</v>
      </c>
      <c r="E4781">
        <f t="shared" si="166"/>
        <v>1</v>
      </c>
      <c r="F4781">
        <f t="shared" si="167"/>
        <v>1</v>
      </c>
    </row>
    <row r="4782" spans="1:6">
      <c r="A4782" s="30">
        <f t="shared" si="164"/>
        <v>47872</v>
      </c>
      <c r="B4782" s="32" t="s">
        <v>199</v>
      </c>
      <c r="C4782" t="s">
        <v>6</v>
      </c>
      <c r="D4782">
        <f t="shared" si="165"/>
        <v>1</v>
      </c>
      <c r="E4782">
        <f t="shared" si="166"/>
        <v>1</v>
      </c>
      <c r="F4782">
        <f t="shared" si="167"/>
        <v>1</v>
      </c>
    </row>
    <row r="4783" spans="1:6">
      <c r="A4783" s="30">
        <f t="shared" si="164"/>
        <v>47873</v>
      </c>
      <c r="B4783" s="32" t="s">
        <v>199</v>
      </c>
      <c r="C4783" t="s">
        <v>6</v>
      </c>
      <c r="D4783">
        <f t="shared" si="165"/>
        <v>1</v>
      </c>
      <c r="E4783">
        <f t="shared" si="166"/>
        <v>1</v>
      </c>
      <c r="F4783">
        <f t="shared" si="167"/>
        <v>1</v>
      </c>
    </row>
    <row r="4784" spans="1:6">
      <c r="A4784" s="30">
        <f t="shared" si="164"/>
        <v>47874</v>
      </c>
      <c r="B4784" s="32" t="s">
        <v>199</v>
      </c>
      <c r="C4784" t="s">
        <v>6</v>
      </c>
      <c r="D4784">
        <f t="shared" si="165"/>
        <v>1</v>
      </c>
      <c r="E4784">
        <f t="shared" si="166"/>
        <v>1</v>
      </c>
      <c r="F4784">
        <f t="shared" si="167"/>
        <v>1</v>
      </c>
    </row>
    <row r="4785" spans="1:6">
      <c r="A4785" s="30">
        <f t="shared" si="164"/>
        <v>47875</v>
      </c>
      <c r="B4785" s="32" t="s">
        <v>199</v>
      </c>
      <c r="C4785" t="s">
        <v>6</v>
      </c>
      <c r="D4785">
        <f t="shared" si="165"/>
        <v>1</v>
      </c>
      <c r="E4785">
        <f t="shared" si="166"/>
        <v>1</v>
      </c>
      <c r="F4785">
        <f t="shared" si="167"/>
        <v>1</v>
      </c>
    </row>
    <row r="4786" spans="1:6">
      <c r="A4786" s="30">
        <f t="shared" si="164"/>
        <v>47876</v>
      </c>
      <c r="B4786" s="32" t="s">
        <v>199</v>
      </c>
      <c r="C4786" t="s">
        <v>6</v>
      </c>
      <c r="D4786">
        <f t="shared" si="165"/>
        <v>1</v>
      </c>
      <c r="E4786">
        <f t="shared" si="166"/>
        <v>1</v>
      </c>
      <c r="F4786">
        <f t="shared" si="167"/>
        <v>1</v>
      </c>
    </row>
    <row r="4787" spans="1:6">
      <c r="A4787" s="30">
        <f t="shared" si="164"/>
        <v>47877</v>
      </c>
      <c r="B4787" s="32" t="s">
        <v>199</v>
      </c>
      <c r="C4787" t="s">
        <v>6</v>
      </c>
      <c r="D4787">
        <f t="shared" si="165"/>
        <v>1</v>
      </c>
      <c r="E4787">
        <f t="shared" si="166"/>
        <v>1</v>
      </c>
      <c r="F4787">
        <f t="shared" si="167"/>
        <v>1</v>
      </c>
    </row>
    <row r="4788" spans="1:6">
      <c r="A4788" s="30">
        <f t="shared" si="164"/>
        <v>47878</v>
      </c>
      <c r="B4788" s="32" t="s">
        <v>199</v>
      </c>
      <c r="C4788" t="s">
        <v>6</v>
      </c>
      <c r="D4788">
        <f t="shared" si="165"/>
        <v>1</v>
      </c>
      <c r="E4788">
        <f t="shared" si="166"/>
        <v>1</v>
      </c>
      <c r="F4788">
        <f t="shared" si="167"/>
        <v>1</v>
      </c>
    </row>
    <row r="4789" spans="1:6">
      <c r="A4789" s="30">
        <f t="shared" si="164"/>
        <v>47879</v>
      </c>
      <c r="B4789" s="32" t="s">
        <v>199</v>
      </c>
      <c r="C4789" t="s">
        <v>6</v>
      </c>
      <c r="D4789">
        <f t="shared" si="165"/>
        <v>1</v>
      </c>
      <c r="E4789">
        <f t="shared" si="166"/>
        <v>1</v>
      </c>
      <c r="F4789">
        <f t="shared" si="167"/>
        <v>1</v>
      </c>
    </row>
    <row r="4790" spans="1:6">
      <c r="A4790" s="30">
        <f t="shared" si="164"/>
        <v>47880</v>
      </c>
      <c r="B4790" s="32" t="s">
        <v>199</v>
      </c>
      <c r="C4790" t="s">
        <v>6</v>
      </c>
      <c r="D4790">
        <f t="shared" si="165"/>
        <v>1</v>
      </c>
      <c r="E4790">
        <f t="shared" si="166"/>
        <v>1</v>
      </c>
      <c r="F4790">
        <f t="shared" si="167"/>
        <v>1</v>
      </c>
    </row>
    <row r="4791" spans="1:6">
      <c r="A4791" s="30">
        <f t="shared" si="164"/>
        <v>47881</v>
      </c>
      <c r="B4791" s="32" t="s">
        <v>199</v>
      </c>
      <c r="C4791" t="s">
        <v>6</v>
      </c>
      <c r="D4791">
        <f t="shared" si="165"/>
        <v>1</v>
      </c>
      <c r="E4791">
        <f t="shared" si="166"/>
        <v>1</v>
      </c>
      <c r="F4791">
        <f t="shared" si="167"/>
        <v>1</v>
      </c>
    </row>
    <row r="4792" spans="1:6">
      <c r="A4792" s="30">
        <f t="shared" si="164"/>
        <v>47882</v>
      </c>
      <c r="B4792" s="32" t="s">
        <v>199</v>
      </c>
      <c r="C4792" t="s">
        <v>6</v>
      </c>
      <c r="D4792">
        <f t="shared" si="165"/>
        <v>1</v>
      </c>
      <c r="E4792">
        <f t="shared" si="166"/>
        <v>1</v>
      </c>
      <c r="F4792">
        <f t="shared" si="167"/>
        <v>1</v>
      </c>
    </row>
    <row r="4793" spans="1:6">
      <c r="A4793" s="30">
        <f t="shared" si="164"/>
        <v>47883</v>
      </c>
      <c r="B4793" s="32" t="s">
        <v>199</v>
      </c>
      <c r="C4793" t="s">
        <v>6</v>
      </c>
      <c r="D4793">
        <f t="shared" si="165"/>
        <v>1</v>
      </c>
      <c r="E4793">
        <f t="shared" si="166"/>
        <v>1</v>
      </c>
      <c r="F4793">
        <f t="shared" si="167"/>
        <v>1</v>
      </c>
    </row>
    <row r="4794" spans="1:6">
      <c r="A4794" s="30">
        <f t="shared" si="164"/>
        <v>47884</v>
      </c>
      <c r="B4794" s="32" t="s">
        <v>199</v>
      </c>
      <c r="C4794" t="s">
        <v>6</v>
      </c>
      <c r="D4794">
        <f t="shared" si="165"/>
        <v>1</v>
      </c>
      <c r="E4794">
        <f t="shared" si="166"/>
        <v>1</v>
      </c>
      <c r="F4794">
        <f t="shared" si="167"/>
        <v>1</v>
      </c>
    </row>
    <row r="4795" spans="1:6">
      <c r="A4795" s="30">
        <f t="shared" si="164"/>
        <v>47885</v>
      </c>
      <c r="B4795" s="32" t="s">
        <v>199</v>
      </c>
      <c r="C4795" t="s">
        <v>6</v>
      </c>
      <c r="D4795">
        <f t="shared" si="165"/>
        <v>1</v>
      </c>
      <c r="E4795">
        <f t="shared" si="166"/>
        <v>1</v>
      </c>
      <c r="F4795">
        <f t="shared" si="167"/>
        <v>1</v>
      </c>
    </row>
    <row r="4796" spans="1:6">
      <c r="A4796" s="30">
        <f t="shared" si="164"/>
        <v>47886</v>
      </c>
      <c r="B4796" s="32" t="s">
        <v>199</v>
      </c>
      <c r="C4796" t="s">
        <v>6</v>
      </c>
      <c r="D4796">
        <f t="shared" si="165"/>
        <v>1</v>
      </c>
      <c r="E4796">
        <f t="shared" si="166"/>
        <v>1</v>
      </c>
      <c r="F4796">
        <f t="shared" si="167"/>
        <v>1</v>
      </c>
    </row>
    <row r="4797" spans="1:6">
      <c r="A4797" s="30">
        <f t="shared" si="164"/>
        <v>47887</v>
      </c>
      <c r="B4797" s="32" t="s">
        <v>199</v>
      </c>
      <c r="C4797" t="s">
        <v>6</v>
      </c>
      <c r="D4797">
        <f t="shared" si="165"/>
        <v>1</v>
      </c>
      <c r="E4797">
        <f t="shared" si="166"/>
        <v>1</v>
      </c>
      <c r="F4797">
        <f t="shared" si="167"/>
        <v>1</v>
      </c>
    </row>
    <row r="4798" spans="1:6">
      <c r="A4798" s="30">
        <f t="shared" si="164"/>
        <v>47888</v>
      </c>
      <c r="B4798" s="32" t="s">
        <v>199</v>
      </c>
      <c r="C4798" t="s">
        <v>6</v>
      </c>
      <c r="D4798">
        <f t="shared" si="165"/>
        <v>1</v>
      </c>
      <c r="E4798">
        <f t="shared" si="166"/>
        <v>1</v>
      </c>
      <c r="F4798">
        <f t="shared" si="167"/>
        <v>1</v>
      </c>
    </row>
    <row r="4799" spans="1:6">
      <c r="A4799" s="30">
        <f t="shared" si="164"/>
        <v>47889</v>
      </c>
      <c r="B4799" s="32" t="s">
        <v>199</v>
      </c>
      <c r="C4799" t="s">
        <v>6</v>
      </c>
      <c r="D4799">
        <f t="shared" si="165"/>
        <v>1</v>
      </c>
      <c r="E4799">
        <f t="shared" si="166"/>
        <v>1</v>
      </c>
      <c r="F4799">
        <f t="shared" si="167"/>
        <v>1</v>
      </c>
    </row>
    <row r="4800" spans="1:6">
      <c r="A4800" s="30">
        <f t="shared" si="164"/>
        <v>47890</v>
      </c>
      <c r="B4800" s="32" t="s">
        <v>199</v>
      </c>
      <c r="C4800" t="s">
        <v>6</v>
      </c>
      <c r="D4800">
        <f t="shared" si="165"/>
        <v>1</v>
      </c>
      <c r="E4800">
        <f t="shared" si="166"/>
        <v>1</v>
      </c>
      <c r="F4800">
        <f t="shared" si="167"/>
        <v>1</v>
      </c>
    </row>
    <row r="4801" spans="1:6">
      <c r="A4801" s="30">
        <f t="shared" si="164"/>
        <v>47891</v>
      </c>
      <c r="B4801" s="32" t="s">
        <v>199</v>
      </c>
      <c r="C4801" t="s">
        <v>6</v>
      </c>
      <c r="D4801">
        <f t="shared" si="165"/>
        <v>1</v>
      </c>
      <c r="E4801">
        <f t="shared" si="166"/>
        <v>1</v>
      </c>
      <c r="F4801">
        <f t="shared" si="167"/>
        <v>1</v>
      </c>
    </row>
    <row r="4802" spans="1:6">
      <c r="A4802" s="30">
        <f t="shared" si="164"/>
        <v>47892</v>
      </c>
      <c r="B4802" s="32" t="s">
        <v>199</v>
      </c>
      <c r="C4802" t="s">
        <v>6</v>
      </c>
      <c r="D4802">
        <f t="shared" si="165"/>
        <v>1</v>
      </c>
      <c r="E4802">
        <f t="shared" si="166"/>
        <v>1</v>
      </c>
      <c r="F4802">
        <f t="shared" si="167"/>
        <v>1</v>
      </c>
    </row>
    <row r="4803" spans="1:6">
      <c r="A4803" s="30">
        <f t="shared" si="164"/>
        <v>47893</v>
      </c>
      <c r="B4803" s="32" t="s">
        <v>199</v>
      </c>
      <c r="C4803" t="s">
        <v>6</v>
      </c>
      <c r="D4803">
        <f t="shared" si="165"/>
        <v>1</v>
      </c>
      <c r="E4803">
        <f t="shared" si="166"/>
        <v>1</v>
      </c>
      <c r="F4803">
        <f t="shared" si="167"/>
        <v>1</v>
      </c>
    </row>
    <row r="4804" spans="1:6">
      <c r="A4804" s="30">
        <f t="shared" si="164"/>
        <v>47894</v>
      </c>
      <c r="B4804" s="32" t="s">
        <v>199</v>
      </c>
      <c r="C4804" t="s">
        <v>6</v>
      </c>
      <c r="D4804">
        <f t="shared" si="165"/>
        <v>1</v>
      </c>
      <c r="E4804">
        <f t="shared" si="166"/>
        <v>1</v>
      </c>
      <c r="F4804">
        <f t="shared" si="167"/>
        <v>1</v>
      </c>
    </row>
    <row r="4805" spans="1:6">
      <c r="A4805" s="30">
        <f t="shared" si="164"/>
        <v>47895</v>
      </c>
      <c r="B4805" s="32" t="s">
        <v>199</v>
      </c>
      <c r="C4805" t="s">
        <v>6</v>
      </c>
      <c r="D4805">
        <f t="shared" si="165"/>
        <v>1</v>
      </c>
      <c r="E4805">
        <f t="shared" si="166"/>
        <v>1</v>
      </c>
      <c r="F4805">
        <f t="shared" si="167"/>
        <v>1</v>
      </c>
    </row>
    <row r="4806" spans="1:6">
      <c r="A4806" s="30">
        <f t="shared" si="164"/>
        <v>47896</v>
      </c>
      <c r="B4806" s="32" t="s">
        <v>199</v>
      </c>
      <c r="C4806" t="s">
        <v>6</v>
      </c>
      <c r="D4806">
        <f t="shared" si="165"/>
        <v>1</v>
      </c>
      <c r="E4806">
        <f t="shared" si="166"/>
        <v>1</v>
      </c>
      <c r="F4806">
        <f t="shared" si="167"/>
        <v>1</v>
      </c>
    </row>
    <row r="4807" spans="1:6">
      <c r="A4807" s="30">
        <f t="shared" si="164"/>
        <v>47897</v>
      </c>
      <c r="B4807" s="32" t="s">
        <v>199</v>
      </c>
      <c r="C4807" t="s">
        <v>6</v>
      </c>
      <c r="D4807">
        <f t="shared" si="165"/>
        <v>1</v>
      </c>
      <c r="E4807">
        <f t="shared" si="166"/>
        <v>1</v>
      </c>
      <c r="F4807">
        <f t="shared" si="167"/>
        <v>1</v>
      </c>
    </row>
    <row r="4808" spans="1:6">
      <c r="A4808" s="30">
        <f t="shared" si="164"/>
        <v>47898</v>
      </c>
      <c r="B4808" s="32" t="s">
        <v>199</v>
      </c>
      <c r="C4808" t="s">
        <v>6</v>
      </c>
      <c r="D4808">
        <f t="shared" si="165"/>
        <v>1</v>
      </c>
      <c r="E4808">
        <f t="shared" si="166"/>
        <v>1</v>
      </c>
      <c r="F4808">
        <f t="shared" si="167"/>
        <v>1</v>
      </c>
    </row>
    <row r="4809" spans="1:6">
      <c r="A4809" s="30">
        <f t="shared" si="164"/>
        <v>47899</v>
      </c>
      <c r="B4809" s="32" t="s">
        <v>199</v>
      </c>
      <c r="C4809" t="s">
        <v>6</v>
      </c>
      <c r="D4809">
        <f t="shared" si="165"/>
        <v>1</v>
      </c>
      <c r="E4809">
        <f t="shared" si="166"/>
        <v>1</v>
      </c>
      <c r="F4809">
        <f t="shared" si="167"/>
        <v>1</v>
      </c>
    </row>
    <row r="4810" spans="1:6">
      <c r="A4810" s="30">
        <f t="shared" si="164"/>
        <v>47900</v>
      </c>
      <c r="B4810" s="32" t="s">
        <v>199</v>
      </c>
      <c r="C4810" t="s">
        <v>6</v>
      </c>
      <c r="D4810">
        <f t="shared" si="165"/>
        <v>1</v>
      </c>
      <c r="E4810">
        <f t="shared" si="166"/>
        <v>1</v>
      </c>
      <c r="F4810">
        <f t="shared" si="167"/>
        <v>1</v>
      </c>
    </row>
    <row r="4811" spans="1:6">
      <c r="A4811" s="30">
        <f t="shared" si="164"/>
        <v>47901</v>
      </c>
      <c r="B4811" s="32" t="s">
        <v>199</v>
      </c>
      <c r="C4811" t="s">
        <v>6</v>
      </c>
      <c r="D4811">
        <f t="shared" si="165"/>
        <v>1</v>
      </c>
      <c r="E4811">
        <f t="shared" si="166"/>
        <v>1</v>
      </c>
      <c r="F4811">
        <f t="shared" si="167"/>
        <v>1</v>
      </c>
    </row>
    <row r="4812" spans="1:6">
      <c r="A4812" s="30">
        <f t="shared" si="164"/>
        <v>47902</v>
      </c>
      <c r="B4812" s="32" t="s">
        <v>199</v>
      </c>
      <c r="C4812" t="s">
        <v>6</v>
      </c>
      <c r="D4812">
        <f t="shared" si="165"/>
        <v>1</v>
      </c>
      <c r="E4812">
        <f t="shared" si="166"/>
        <v>1</v>
      </c>
      <c r="F4812">
        <f t="shared" si="167"/>
        <v>1</v>
      </c>
    </row>
    <row r="4813" spans="1:6">
      <c r="A4813" s="30">
        <f t="shared" si="164"/>
        <v>47903</v>
      </c>
      <c r="B4813" s="32" t="s">
        <v>199</v>
      </c>
      <c r="C4813" t="s">
        <v>6</v>
      </c>
      <c r="D4813">
        <f t="shared" si="165"/>
        <v>1</v>
      </c>
      <c r="E4813">
        <f t="shared" si="166"/>
        <v>1</v>
      </c>
      <c r="F4813">
        <f t="shared" si="167"/>
        <v>1</v>
      </c>
    </row>
    <row r="4814" spans="1:6">
      <c r="A4814" s="30">
        <f t="shared" si="164"/>
        <v>47904</v>
      </c>
      <c r="B4814" s="32" t="s">
        <v>199</v>
      </c>
      <c r="C4814" t="s">
        <v>6</v>
      </c>
      <c r="D4814">
        <f t="shared" si="165"/>
        <v>1</v>
      </c>
      <c r="E4814">
        <f t="shared" si="166"/>
        <v>1</v>
      </c>
      <c r="F4814">
        <f t="shared" si="167"/>
        <v>1</v>
      </c>
    </row>
    <row r="4815" spans="1:6">
      <c r="A4815" s="30">
        <f t="shared" si="164"/>
        <v>47905</v>
      </c>
      <c r="B4815" s="32" t="s">
        <v>199</v>
      </c>
      <c r="C4815" t="s">
        <v>6</v>
      </c>
      <c r="D4815">
        <f t="shared" si="165"/>
        <v>1</v>
      </c>
      <c r="E4815">
        <f t="shared" si="166"/>
        <v>1</v>
      </c>
      <c r="F4815">
        <f t="shared" si="167"/>
        <v>1</v>
      </c>
    </row>
    <row r="4816" spans="1:6">
      <c r="A4816" s="30">
        <f t="shared" si="164"/>
        <v>47906</v>
      </c>
      <c r="B4816" s="32" t="s">
        <v>199</v>
      </c>
      <c r="C4816" t="s">
        <v>6</v>
      </c>
      <c r="D4816">
        <f t="shared" si="165"/>
        <v>1</v>
      </c>
      <c r="E4816">
        <f t="shared" si="166"/>
        <v>1</v>
      </c>
      <c r="F4816">
        <f t="shared" si="167"/>
        <v>1</v>
      </c>
    </row>
    <row r="4817" spans="1:6">
      <c r="A4817" s="30">
        <f t="shared" si="164"/>
        <v>47907</v>
      </c>
      <c r="B4817" s="32" t="s">
        <v>199</v>
      </c>
      <c r="C4817" t="s">
        <v>6</v>
      </c>
      <c r="D4817">
        <f t="shared" si="165"/>
        <v>1</v>
      </c>
      <c r="E4817">
        <f t="shared" si="166"/>
        <v>1</v>
      </c>
      <c r="F4817">
        <f t="shared" si="167"/>
        <v>1</v>
      </c>
    </row>
    <row r="4818" spans="1:6">
      <c r="A4818" s="30">
        <f t="shared" si="164"/>
        <v>47908</v>
      </c>
      <c r="B4818" s="32" t="s">
        <v>199</v>
      </c>
      <c r="C4818" t="s">
        <v>6</v>
      </c>
      <c r="D4818">
        <f t="shared" si="165"/>
        <v>1</v>
      </c>
      <c r="E4818">
        <f t="shared" si="166"/>
        <v>1</v>
      </c>
      <c r="F4818">
        <f t="shared" si="167"/>
        <v>1</v>
      </c>
    </row>
    <row r="4819" spans="1:6">
      <c r="A4819" s="30">
        <f t="shared" ref="A4819:A4882" si="168">A4818+1</f>
        <v>47909</v>
      </c>
      <c r="B4819" s="32" t="s">
        <v>199</v>
      </c>
      <c r="C4819" t="s">
        <v>6</v>
      </c>
      <c r="D4819">
        <f t="shared" ref="D4819:D4882" si="169">IF(B4819=$AB$2,$AC$2,$AC$3)</f>
        <v>1</v>
      </c>
      <c r="E4819">
        <f t="shared" ref="E4819:E4882" si="170">IF(ISBLANK(C4819),0,VLOOKUP(C4819,$AE$2:$AF$7,2,0))</f>
        <v>1</v>
      </c>
      <c r="F4819">
        <f t="shared" ref="F4819:F4882" si="171">D4819*E4819</f>
        <v>1</v>
      </c>
    </row>
    <row r="4820" spans="1:6">
      <c r="A4820" s="30">
        <f t="shared" si="168"/>
        <v>47910</v>
      </c>
      <c r="B4820" s="32" t="s">
        <v>199</v>
      </c>
      <c r="C4820" t="s">
        <v>6</v>
      </c>
      <c r="D4820">
        <f t="shared" si="169"/>
        <v>1</v>
      </c>
      <c r="E4820">
        <f t="shared" si="170"/>
        <v>1</v>
      </c>
      <c r="F4820">
        <f t="shared" si="171"/>
        <v>1</v>
      </c>
    </row>
    <row r="4821" spans="1:6">
      <c r="A4821" s="30">
        <f t="shared" si="168"/>
        <v>47911</v>
      </c>
      <c r="B4821" s="32" t="s">
        <v>199</v>
      </c>
      <c r="C4821" t="s">
        <v>6</v>
      </c>
      <c r="D4821">
        <f t="shared" si="169"/>
        <v>1</v>
      </c>
      <c r="E4821">
        <f t="shared" si="170"/>
        <v>1</v>
      </c>
      <c r="F4821">
        <f t="shared" si="171"/>
        <v>1</v>
      </c>
    </row>
    <row r="4822" spans="1:6">
      <c r="A4822" s="30">
        <f t="shared" si="168"/>
        <v>47912</v>
      </c>
      <c r="B4822" s="32" t="s">
        <v>199</v>
      </c>
      <c r="C4822" t="s">
        <v>6</v>
      </c>
      <c r="D4822">
        <f t="shared" si="169"/>
        <v>1</v>
      </c>
      <c r="E4822">
        <f t="shared" si="170"/>
        <v>1</v>
      </c>
      <c r="F4822">
        <f t="shared" si="171"/>
        <v>1</v>
      </c>
    </row>
    <row r="4823" spans="1:6">
      <c r="A4823" s="30">
        <f t="shared" si="168"/>
        <v>47913</v>
      </c>
      <c r="B4823" s="32" t="s">
        <v>199</v>
      </c>
      <c r="C4823" t="s">
        <v>6</v>
      </c>
      <c r="D4823">
        <f t="shared" si="169"/>
        <v>1</v>
      </c>
      <c r="E4823">
        <f t="shared" si="170"/>
        <v>1</v>
      </c>
      <c r="F4823">
        <f t="shared" si="171"/>
        <v>1</v>
      </c>
    </row>
    <row r="4824" spans="1:6">
      <c r="A4824" s="30">
        <f t="shared" si="168"/>
        <v>47914</v>
      </c>
      <c r="B4824" s="32" t="s">
        <v>199</v>
      </c>
      <c r="C4824" t="s">
        <v>6</v>
      </c>
      <c r="D4824">
        <f t="shared" si="169"/>
        <v>1</v>
      </c>
      <c r="E4824">
        <f t="shared" si="170"/>
        <v>1</v>
      </c>
      <c r="F4824">
        <f t="shared" si="171"/>
        <v>1</v>
      </c>
    </row>
    <row r="4825" spans="1:6">
      <c r="A4825" s="30">
        <f t="shared" si="168"/>
        <v>47915</v>
      </c>
      <c r="B4825" s="32" t="s">
        <v>199</v>
      </c>
      <c r="C4825" t="s">
        <v>6</v>
      </c>
      <c r="D4825">
        <f t="shared" si="169"/>
        <v>1</v>
      </c>
      <c r="E4825">
        <f t="shared" si="170"/>
        <v>1</v>
      </c>
      <c r="F4825">
        <f t="shared" si="171"/>
        <v>1</v>
      </c>
    </row>
    <row r="4826" spans="1:6">
      <c r="A4826" s="30">
        <f t="shared" si="168"/>
        <v>47916</v>
      </c>
      <c r="B4826" s="32" t="s">
        <v>199</v>
      </c>
      <c r="C4826" t="s">
        <v>6</v>
      </c>
      <c r="D4826">
        <f t="shared" si="169"/>
        <v>1</v>
      </c>
      <c r="E4826">
        <f t="shared" si="170"/>
        <v>1</v>
      </c>
      <c r="F4826">
        <f t="shared" si="171"/>
        <v>1</v>
      </c>
    </row>
    <row r="4827" spans="1:6">
      <c r="A4827" s="30">
        <f t="shared" si="168"/>
        <v>47917</v>
      </c>
      <c r="B4827" s="32" t="s">
        <v>199</v>
      </c>
      <c r="C4827" t="s">
        <v>6</v>
      </c>
      <c r="D4827">
        <f t="shared" si="169"/>
        <v>1</v>
      </c>
      <c r="E4827">
        <f t="shared" si="170"/>
        <v>1</v>
      </c>
      <c r="F4827">
        <f t="shared" si="171"/>
        <v>1</v>
      </c>
    </row>
    <row r="4828" spans="1:6">
      <c r="A4828" s="30">
        <f t="shared" si="168"/>
        <v>47918</v>
      </c>
      <c r="B4828" s="32" t="s">
        <v>199</v>
      </c>
      <c r="C4828" t="s">
        <v>6</v>
      </c>
      <c r="D4828">
        <f t="shared" si="169"/>
        <v>1</v>
      </c>
      <c r="E4828">
        <f t="shared" si="170"/>
        <v>1</v>
      </c>
      <c r="F4828">
        <f t="shared" si="171"/>
        <v>1</v>
      </c>
    </row>
    <row r="4829" spans="1:6">
      <c r="A4829" s="30">
        <f t="shared" si="168"/>
        <v>47919</v>
      </c>
      <c r="B4829" s="32" t="s">
        <v>199</v>
      </c>
      <c r="C4829" t="s">
        <v>6</v>
      </c>
      <c r="D4829">
        <f t="shared" si="169"/>
        <v>1</v>
      </c>
      <c r="E4829">
        <f t="shared" si="170"/>
        <v>1</v>
      </c>
      <c r="F4829">
        <f t="shared" si="171"/>
        <v>1</v>
      </c>
    </row>
    <row r="4830" spans="1:6">
      <c r="A4830" s="30">
        <f t="shared" si="168"/>
        <v>47920</v>
      </c>
      <c r="B4830" s="32" t="s">
        <v>199</v>
      </c>
      <c r="C4830" t="s">
        <v>6</v>
      </c>
      <c r="D4830">
        <f t="shared" si="169"/>
        <v>1</v>
      </c>
      <c r="E4830">
        <f t="shared" si="170"/>
        <v>1</v>
      </c>
      <c r="F4830">
        <f t="shared" si="171"/>
        <v>1</v>
      </c>
    </row>
    <row r="4831" spans="1:6">
      <c r="A4831" s="30">
        <f t="shared" si="168"/>
        <v>47921</v>
      </c>
      <c r="B4831" s="32" t="s">
        <v>199</v>
      </c>
      <c r="C4831" t="s">
        <v>6</v>
      </c>
      <c r="D4831">
        <f t="shared" si="169"/>
        <v>1</v>
      </c>
      <c r="E4831">
        <f t="shared" si="170"/>
        <v>1</v>
      </c>
      <c r="F4831">
        <f t="shared" si="171"/>
        <v>1</v>
      </c>
    </row>
    <row r="4832" spans="1:6">
      <c r="A4832" s="30">
        <f t="shared" si="168"/>
        <v>47922</v>
      </c>
      <c r="B4832" s="32" t="s">
        <v>199</v>
      </c>
      <c r="C4832" t="s">
        <v>6</v>
      </c>
      <c r="D4832">
        <f t="shared" si="169"/>
        <v>1</v>
      </c>
      <c r="E4832">
        <f t="shared" si="170"/>
        <v>1</v>
      </c>
      <c r="F4832">
        <f t="shared" si="171"/>
        <v>1</v>
      </c>
    </row>
    <row r="4833" spans="1:6">
      <c r="A4833" s="30">
        <f t="shared" si="168"/>
        <v>47923</v>
      </c>
      <c r="B4833" s="32" t="s">
        <v>199</v>
      </c>
      <c r="C4833" t="s">
        <v>6</v>
      </c>
      <c r="D4833">
        <f t="shared" si="169"/>
        <v>1</v>
      </c>
      <c r="E4833">
        <f t="shared" si="170"/>
        <v>1</v>
      </c>
      <c r="F4833">
        <f t="shared" si="171"/>
        <v>1</v>
      </c>
    </row>
    <row r="4834" spans="1:6">
      <c r="A4834" s="30">
        <f t="shared" si="168"/>
        <v>47924</v>
      </c>
      <c r="B4834" s="32" t="s">
        <v>199</v>
      </c>
      <c r="C4834" t="s">
        <v>6</v>
      </c>
      <c r="D4834">
        <f t="shared" si="169"/>
        <v>1</v>
      </c>
      <c r="E4834">
        <f t="shared" si="170"/>
        <v>1</v>
      </c>
      <c r="F4834">
        <f t="shared" si="171"/>
        <v>1</v>
      </c>
    </row>
    <row r="4835" spans="1:6">
      <c r="A4835" s="30">
        <f t="shared" si="168"/>
        <v>47925</v>
      </c>
      <c r="B4835" s="32" t="s">
        <v>199</v>
      </c>
      <c r="C4835" t="s">
        <v>6</v>
      </c>
      <c r="D4835">
        <f t="shared" si="169"/>
        <v>1</v>
      </c>
      <c r="E4835">
        <f t="shared" si="170"/>
        <v>1</v>
      </c>
      <c r="F4835">
        <f t="shared" si="171"/>
        <v>1</v>
      </c>
    </row>
    <row r="4836" spans="1:6">
      <c r="A4836" s="30">
        <f t="shared" si="168"/>
        <v>47926</v>
      </c>
      <c r="B4836" s="32" t="s">
        <v>199</v>
      </c>
      <c r="C4836" t="s">
        <v>6</v>
      </c>
      <c r="D4836">
        <f t="shared" si="169"/>
        <v>1</v>
      </c>
      <c r="E4836">
        <f t="shared" si="170"/>
        <v>1</v>
      </c>
      <c r="F4836">
        <f t="shared" si="171"/>
        <v>1</v>
      </c>
    </row>
    <row r="4837" spans="1:6">
      <c r="A4837" s="30">
        <f t="shared" si="168"/>
        <v>47927</v>
      </c>
      <c r="B4837" s="32" t="s">
        <v>199</v>
      </c>
      <c r="C4837" t="s">
        <v>6</v>
      </c>
      <c r="D4837">
        <f t="shared" si="169"/>
        <v>1</v>
      </c>
      <c r="E4837">
        <f t="shared" si="170"/>
        <v>1</v>
      </c>
      <c r="F4837">
        <f t="shared" si="171"/>
        <v>1</v>
      </c>
    </row>
    <row r="4838" spans="1:6">
      <c r="A4838" s="30">
        <f t="shared" si="168"/>
        <v>47928</v>
      </c>
      <c r="B4838" s="32" t="s">
        <v>199</v>
      </c>
      <c r="C4838" t="s">
        <v>6</v>
      </c>
      <c r="D4838">
        <f t="shared" si="169"/>
        <v>1</v>
      </c>
      <c r="E4838">
        <f t="shared" si="170"/>
        <v>1</v>
      </c>
      <c r="F4838">
        <f t="shared" si="171"/>
        <v>1</v>
      </c>
    </row>
    <row r="4839" spans="1:6">
      <c r="A4839" s="30">
        <f t="shared" si="168"/>
        <v>47929</v>
      </c>
      <c r="B4839" s="32" t="s">
        <v>199</v>
      </c>
      <c r="C4839" t="s">
        <v>6</v>
      </c>
      <c r="D4839">
        <f t="shared" si="169"/>
        <v>1</v>
      </c>
      <c r="E4839">
        <f t="shared" si="170"/>
        <v>1</v>
      </c>
      <c r="F4839">
        <f t="shared" si="171"/>
        <v>1</v>
      </c>
    </row>
    <row r="4840" spans="1:6">
      <c r="A4840" s="30">
        <f t="shared" si="168"/>
        <v>47930</v>
      </c>
      <c r="B4840" s="32" t="s">
        <v>199</v>
      </c>
      <c r="C4840" t="s">
        <v>6</v>
      </c>
      <c r="D4840">
        <f t="shared" si="169"/>
        <v>1</v>
      </c>
      <c r="E4840">
        <f t="shared" si="170"/>
        <v>1</v>
      </c>
      <c r="F4840">
        <f t="shared" si="171"/>
        <v>1</v>
      </c>
    </row>
    <row r="4841" spans="1:6">
      <c r="A4841" s="30">
        <f t="shared" si="168"/>
        <v>47931</v>
      </c>
      <c r="B4841" s="32" t="s">
        <v>199</v>
      </c>
      <c r="C4841" t="s">
        <v>6</v>
      </c>
      <c r="D4841">
        <f t="shared" si="169"/>
        <v>1</v>
      </c>
      <c r="E4841">
        <f t="shared" si="170"/>
        <v>1</v>
      </c>
      <c r="F4841">
        <f t="shared" si="171"/>
        <v>1</v>
      </c>
    </row>
    <row r="4842" spans="1:6">
      <c r="A4842" s="30">
        <f t="shared" si="168"/>
        <v>47932</v>
      </c>
      <c r="B4842" s="32" t="s">
        <v>199</v>
      </c>
      <c r="C4842" t="s">
        <v>6</v>
      </c>
      <c r="D4842">
        <f t="shared" si="169"/>
        <v>1</v>
      </c>
      <c r="E4842">
        <f t="shared" si="170"/>
        <v>1</v>
      </c>
      <c r="F4842">
        <f t="shared" si="171"/>
        <v>1</v>
      </c>
    </row>
    <row r="4843" spans="1:6">
      <c r="A4843" s="30">
        <f t="shared" si="168"/>
        <v>47933</v>
      </c>
      <c r="B4843" s="32" t="s">
        <v>199</v>
      </c>
      <c r="C4843" t="s">
        <v>6</v>
      </c>
      <c r="D4843">
        <f t="shared" si="169"/>
        <v>1</v>
      </c>
      <c r="E4843">
        <f t="shared" si="170"/>
        <v>1</v>
      </c>
      <c r="F4843">
        <f t="shared" si="171"/>
        <v>1</v>
      </c>
    </row>
    <row r="4844" spans="1:6">
      <c r="A4844" s="30">
        <f t="shared" si="168"/>
        <v>47934</v>
      </c>
      <c r="B4844" s="32" t="s">
        <v>199</v>
      </c>
      <c r="C4844" t="s">
        <v>6</v>
      </c>
      <c r="D4844">
        <f t="shared" si="169"/>
        <v>1</v>
      </c>
      <c r="E4844">
        <f t="shared" si="170"/>
        <v>1</v>
      </c>
      <c r="F4844">
        <f t="shared" si="171"/>
        <v>1</v>
      </c>
    </row>
    <row r="4845" spans="1:6">
      <c r="A4845" s="30">
        <f t="shared" si="168"/>
        <v>47935</v>
      </c>
      <c r="B4845" s="32" t="s">
        <v>199</v>
      </c>
      <c r="C4845" t="s">
        <v>6</v>
      </c>
      <c r="D4845">
        <f t="shared" si="169"/>
        <v>1</v>
      </c>
      <c r="E4845">
        <f t="shared" si="170"/>
        <v>1</v>
      </c>
      <c r="F4845">
        <f t="shared" si="171"/>
        <v>1</v>
      </c>
    </row>
    <row r="4846" spans="1:6">
      <c r="A4846" s="30">
        <f t="shared" si="168"/>
        <v>47936</v>
      </c>
      <c r="B4846" s="32" t="s">
        <v>199</v>
      </c>
      <c r="C4846" t="s">
        <v>6</v>
      </c>
      <c r="D4846">
        <f t="shared" si="169"/>
        <v>1</v>
      </c>
      <c r="E4846">
        <f t="shared" si="170"/>
        <v>1</v>
      </c>
      <c r="F4846">
        <f t="shared" si="171"/>
        <v>1</v>
      </c>
    </row>
    <row r="4847" spans="1:6">
      <c r="A4847" s="30">
        <f t="shared" si="168"/>
        <v>47937</v>
      </c>
      <c r="B4847" s="32" t="s">
        <v>199</v>
      </c>
      <c r="C4847" t="s">
        <v>6</v>
      </c>
      <c r="D4847">
        <f t="shared" si="169"/>
        <v>1</v>
      </c>
      <c r="E4847">
        <f t="shared" si="170"/>
        <v>1</v>
      </c>
      <c r="F4847">
        <f t="shared" si="171"/>
        <v>1</v>
      </c>
    </row>
    <row r="4848" spans="1:6">
      <c r="A4848" s="30">
        <f t="shared" si="168"/>
        <v>47938</v>
      </c>
      <c r="B4848" s="32" t="s">
        <v>199</v>
      </c>
      <c r="C4848" t="s">
        <v>6</v>
      </c>
      <c r="D4848">
        <f t="shared" si="169"/>
        <v>1</v>
      </c>
      <c r="E4848">
        <f t="shared" si="170"/>
        <v>1</v>
      </c>
      <c r="F4848">
        <f t="shared" si="171"/>
        <v>1</v>
      </c>
    </row>
    <row r="4849" spans="1:6">
      <c r="A4849" s="30">
        <f t="shared" si="168"/>
        <v>47939</v>
      </c>
      <c r="B4849" s="32" t="s">
        <v>199</v>
      </c>
      <c r="C4849" t="s">
        <v>6</v>
      </c>
      <c r="D4849">
        <f t="shared" si="169"/>
        <v>1</v>
      </c>
      <c r="E4849">
        <f t="shared" si="170"/>
        <v>1</v>
      </c>
      <c r="F4849">
        <f t="shared" si="171"/>
        <v>1</v>
      </c>
    </row>
    <row r="4850" spans="1:6">
      <c r="A4850" s="30">
        <f t="shared" si="168"/>
        <v>47940</v>
      </c>
      <c r="B4850" s="32" t="s">
        <v>199</v>
      </c>
      <c r="C4850" t="s">
        <v>6</v>
      </c>
      <c r="D4850">
        <f t="shared" si="169"/>
        <v>1</v>
      </c>
      <c r="E4850">
        <f t="shared" si="170"/>
        <v>1</v>
      </c>
      <c r="F4850">
        <f t="shared" si="171"/>
        <v>1</v>
      </c>
    </row>
    <row r="4851" spans="1:6">
      <c r="A4851" s="30">
        <f t="shared" si="168"/>
        <v>47941</v>
      </c>
      <c r="B4851" s="32" t="s">
        <v>199</v>
      </c>
      <c r="C4851" t="s">
        <v>6</v>
      </c>
      <c r="D4851">
        <f t="shared" si="169"/>
        <v>1</v>
      </c>
      <c r="E4851">
        <f t="shared" si="170"/>
        <v>1</v>
      </c>
      <c r="F4851">
        <f t="shared" si="171"/>
        <v>1</v>
      </c>
    </row>
    <row r="4852" spans="1:6">
      <c r="A4852" s="30">
        <f t="shared" si="168"/>
        <v>47942</v>
      </c>
      <c r="B4852" s="32" t="s">
        <v>199</v>
      </c>
      <c r="C4852" t="s">
        <v>6</v>
      </c>
      <c r="D4852">
        <f t="shared" si="169"/>
        <v>1</v>
      </c>
      <c r="E4852">
        <f t="shared" si="170"/>
        <v>1</v>
      </c>
      <c r="F4852">
        <f t="shared" si="171"/>
        <v>1</v>
      </c>
    </row>
    <row r="4853" spans="1:6">
      <c r="A4853" s="30">
        <f t="shared" si="168"/>
        <v>47943</v>
      </c>
      <c r="B4853" s="32" t="s">
        <v>199</v>
      </c>
      <c r="C4853" t="s">
        <v>6</v>
      </c>
      <c r="D4853">
        <f t="shared" si="169"/>
        <v>1</v>
      </c>
      <c r="E4853">
        <f t="shared" si="170"/>
        <v>1</v>
      </c>
      <c r="F4853">
        <f t="shared" si="171"/>
        <v>1</v>
      </c>
    </row>
    <row r="4854" spans="1:6">
      <c r="A4854" s="30">
        <f t="shared" si="168"/>
        <v>47944</v>
      </c>
      <c r="B4854" s="32" t="s">
        <v>199</v>
      </c>
      <c r="C4854" t="s">
        <v>6</v>
      </c>
      <c r="D4854">
        <f t="shared" si="169"/>
        <v>1</v>
      </c>
      <c r="E4854">
        <f t="shared" si="170"/>
        <v>1</v>
      </c>
      <c r="F4854">
        <f t="shared" si="171"/>
        <v>1</v>
      </c>
    </row>
    <row r="4855" spans="1:6">
      <c r="A4855" s="30">
        <f t="shared" si="168"/>
        <v>47945</v>
      </c>
      <c r="B4855" s="32" t="s">
        <v>199</v>
      </c>
      <c r="C4855" t="s">
        <v>6</v>
      </c>
      <c r="D4855">
        <f t="shared" si="169"/>
        <v>1</v>
      </c>
      <c r="E4855">
        <f t="shared" si="170"/>
        <v>1</v>
      </c>
      <c r="F4855">
        <f t="shared" si="171"/>
        <v>1</v>
      </c>
    </row>
    <row r="4856" spans="1:6">
      <c r="A4856" s="30">
        <f t="shared" si="168"/>
        <v>47946</v>
      </c>
      <c r="B4856" s="32" t="s">
        <v>199</v>
      </c>
      <c r="C4856" t="s">
        <v>6</v>
      </c>
      <c r="D4856">
        <f t="shared" si="169"/>
        <v>1</v>
      </c>
      <c r="E4856">
        <f t="shared" si="170"/>
        <v>1</v>
      </c>
      <c r="F4856">
        <f t="shared" si="171"/>
        <v>1</v>
      </c>
    </row>
    <row r="4857" spans="1:6">
      <c r="A4857" s="30">
        <f t="shared" si="168"/>
        <v>47947</v>
      </c>
      <c r="B4857" s="32" t="s">
        <v>199</v>
      </c>
      <c r="C4857" t="s">
        <v>6</v>
      </c>
      <c r="D4857">
        <f t="shared" si="169"/>
        <v>1</v>
      </c>
      <c r="E4857">
        <f t="shared" si="170"/>
        <v>1</v>
      </c>
      <c r="F4857">
        <f t="shared" si="171"/>
        <v>1</v>
      </c>
    </row>
    <row r="4858" spans="1:6">
      <c r="A4858" s="30">
        <f t="shared" si="168"/>
        <v>47948</v>
      </c>
      <c r="B4858" s="32" t="s">
        <v>199</v>
      </c>
      <c r="C4858" t="s">
        <v>6</v>
      </c>
      <c r="D4858">
        <f t="shared" si="169"/>
        <v>1</v>
      </c>
      <c r="E4858">
        <f t="shared" si="170"/>
        <v>1</v>
      </c>
      <c r="F4858">
        <f t="shared" si="171"/>
        <v>1</v>
      </c>
    </row>
    <row r="4859" spans="1:6">
      <c r="A4859" s="30">
        <f t="shared" si="168"/>
        <v>47949</v>
      </c>
      <c r="B4859" s="32" t="s">
        <v>199</v>
      </c>
      <c r="C4859" t="s">
        <v>6</v>
      </c>
      <c r="D4859">
        <f t="shared" si="169"/>
        <v>1</v>
      </c>
      <c r="E4859">
        <f t="shared" si="170"/>
        <v>1</v>
      </c>
      <c r="F4859">
        <f t="shared" si="171"/>
        <v>1</v>
      </c>
    </row>
    <row r="4860" spans="1:6">
      <c r="A4860" s="30">
        <f t="shared" si="168"/>
        <v>47950</v>
      </c>
      <c r="B4860" s="32" t="s">
        <v>199</v>
      </c>
      <c r="C4860" t="s">
        <v>6</v>
      </c>
      <c r="D4860">
        <f t="shared" si="169"/>
        <v>1</v>
      </c>
      <c r="E4860">
        <f t="shared" si="170"/>
        <v>1</v>
      </c>
      <c r="F4860">
        <f t="shared" si="171"/>
        <v>1</v>
      </c>
    </row>
    <row r="4861" spans="1:6">
      <c r="A4861" s="30">
        <f t="shared" si="168"/>
        <v>47951</v>
      </c>
      <c r="B4861" s="32" t="s">
        <v>199</v>
      </c>
      <c r="C4861" t="s">
        <v>6</v>
      </c>
      <c r="D4861">
        <f t="shared" si="169"/>
        <v>1</v>
      </c>
      <c r="E4861">
        <f t="shared" si="170"/>
        <v>1</v>
      </c>
      <c r="F4861">
        <f t="shared" si="171"/>
        <v>1</v>
      </c>
    </row>
    <row r="4862" spans="1:6">
      <c r="A4862" s="30">
        <f t="shared" si="168"/>
        <v>47952</v>
      </c>
      <c r="B4862" s="32" t="s">
        <v>199</v>
      </c>
      <c r="C4862" t="s">
        <v>6</v>
      </c>
      <c r="D4862">
        <f t="shared" si="169"/>
        <v>1</v>
      </c>
      <c r="E4862">
        <f t="shared" si="170"/>
        <v>1</v>
      </c>
      <c r="F4862">
        <f t="shared" si="171"/>
        <v>1</v>
      </c>
    </row>
    <row r="4863" spans="1:6">
      <c r="A4863" s="30">
        <f t="shared" si="168"/>
        <v>47953</v>
      </c>
      <c r="B4863" s="32" t="s">
        <v>199</v>
      </c>
      <c r="C4863" t="s">
        <v>6</v>
      </c>
      <c r="D4863">
        <f t="shared" si="169"/>
        <v>1</v>
      </c>
      <c r="E4863">
        <f t="shared" si="170"/>
        <v>1</v>
      </c>
      <c r="F4863">
        <f t="shared" si="171"/>
        <v>1</v>
      </c>
    </row>
    <row r="4864" spans="1:6">
      <c r="A4864" s="30">
        <f t="shared" si="168"/>
        <v>47954</v>
      </c>
      <c r="B4864" s="32" t="s">
        <v>199</v>
      </c>
      <c r="C4864" t="s">
        <v>6</v>
      </c>
      <c r="D4864">
        <f t="shared" si="169"/>
        <v>1</v>
      </c>
      <c r="E4864">
        <f t="shared" si="170"/>
        <v>1</v>
      </c>
      <c r="F4864">
        <f t="shared" si="171"/>
        <v>1</v>
      </c>
    </row>
    <row r="4865" spans="1:6">
      <c r="A4865" s="30">
        <f t="shared" si="168"/>
        <v>47955</v>
      </c>
      <c r="B4865" s="32" t="s">
        <v>199</v>
      </c>
      <c r="C4865" t="s">
        <v>6</v>
      </c>
      <c r="D4865">
        <f t="shared" si="169"/>
        <v>1</v>
      </c>
      <c r="E4865">
        <f t="shared" si="170"/>
        <v>1</v>
      </c>
      <c r="F4865">
        <f t="shared" si="171"/>
        <v>1</v>
      </c>
    </row>
    <row r="4866" spans="1:6">
      <c r="A4866" s="30">
        <f t="shared" si="168"/>
        <v>47956</v>
      </c>
      <c r="B4866" s="32" t="s">
        <v>199</v>
      </c>
      <c r="C4866" t="s">
        <v>6</v>
      </c>
      <c r="D4866">
        <f t="shared" si="169"/>
        <v>1</v>
      </c>
      <c r="E4866">
        <f t="shared" si="170"/>
        <v>1</v>
      </c>
      <c r="F4866">
        <f t="shared" si="171"/>
        <v>1</v>
      </c>
    </row>
    <row r="4867" spans="1:6">
      <c r="A4867" s="30">
        <f t="shared" si="168"/>
        <v>47957</v>
      </c>
      <c r="B4867" s="32" t="s">
        <v>199</v>
      </c>
      <c r="C4867" t="s">
        <v>6</v>
      </c>
      <c r="D4867">
        <f t="shared" si="169"/>
        <v>1</v>
      </c>
      <c r="E4867">
        <f t="shared" si="170"/>
        <v>1</v>
      </c>
      <c r="F4867">
        <f t="shared" si="171"/>
        <v>1</v>
      </c>
    </row>
    <row r="4868" spans="1:6">
      <c r="A4868" s="30">
        <f t="shared" si="168"/>
        <v>47958</v>
      </c>
      <c r="B4868" s="32" t="s">
        <v>199</v>
      </c>
      <c r="C4868" t="s">
        <v>6</v>
      </c>
      <c r="D4868">
        <f t="shared" si="169"/>
        <v>1</v>
      </c>
      <c r="E4868">
        <f t="shared" si="170"/>
        <v>1</v>
      </c>
      <c r="F4868">
        <f t="shared" si="171"/>
        <v>1</v>
      </c>
    </row>
    <row r="4869" spans="1:6">
      <c r="A4869" s="30">
        <f t="shared" si="168"/>
        <v>47959</v>
      </c>
      <c r="B4869" s="32" t="s">
        <v>199</v>
      </c>
      <c r="C4869" t="s">
        <v>6</v>
      </c>
      <c r="D4869">
        <f t="shared" si="169"/>
        <v>1</v>
      </c>
      <c r="E4869">
        <f t="shared" si="170"/>
        <v>1</v>
      </c>
      <c r="F4869">
        <f t="shared" si="171"/>
        <v>1</v>
      </c>
    </row>
    <row r="4870" spans="1:6">
      <c r="A4870" s="30">
        <f t="shared" si="168"/>
        <v>47960</v>
      </c>
      <c r="B4870" s="32" t="s">
        <v>199</v>
      </c>
      <c r="C4870" t="s">
        <v>6</v>
      </c>
      <c r="D4870">
        <f t="shared" si="169"/>
        <v>1</v>
      </c>
      <c r="E4870">
        <f t="shared" si="170"/>
        <v>1</v>
      </c>
      <c r="F4870">
        <f t="shared" si="171"/>
        <v>1</v>
      </c>
    </row>
    <row r="4871" spans="1:6">
      <c r="A4871" s="30">
        <f t="shared" si="168"/>
        <v>47961</v>
      </c>
      <c r="B4871" s="32" t="s">
        <v>199</v>
      </c>
      <c r="C4871" t="s">
        <v>6</v>
      </c>
      <c r="D4871">
        <f t="shared" si="169"/>
        <v>1</v>
      </c>
      <c r="E4871">
        <f t="shared" si="170"/>
        <v>1</v>
      </c>
      <c r="F4871">
        <f t="shared" si="171"/>
        <v>1</v>
      </c>
    </row>
    <row r="4872" spans="1:6">
      <c r="A4872" s="30">
        <f t="shared" si="168"/>
        <v>47962</v>
      </c>
      <c r="B4872" s="32" t="s">
        <v>199</v>
      </c>
      <c r="C4872" t="s">
        <v>6</v>
      </c>
      <c r="D4872">
        <f t="shared" si="169"/>
        <v>1</v>
      </c>
      <c r="E4872">
        <f t="shared" si="170"/>
        <v>1</v>
      </c>
      <c r="F4872">
        <f t="shared" si="171"/>
        <v>1</v>
      </c>
    </row>
    <row r="4873" spans="1:6">
      <c r="A4873" s="30">
        <f t="shared" si="168"/>
        <v>47963</v>
      </c>
      <c r="B4873" s="32" t="s">
        <v>199</v>
      </c>
      <c r="C4873" t="s">
        <v>6</v>
      </c>
      <c r="D4873">
        <f t="shared" si="169"/>
        <v>1</v>
      </c>
      <c r="E4873">
        <f t="shared" si="170"/>
        <v>1</v>
      </c>
      <c r="F4873">
        <f t="shared" si="171"/>
        <v>1</v>
      </c>
    </row>
    <row r="4874" spans="1:6">
      <c r="A4874" s="30">
        <f t="shared" si="168"/>
        <v>47964</v>
      </c>
      <c r="B4874" s="32" t="s">
        <v>199</v>
      </c>
      <c r="C4874" t="s">
        <v>6</v>
      </c>
      <c r="D4874">
        <f t="shared" si="169"/>
        <v>1</v>
      </c>
      <c r="E4874">
        <f t="shared" si="170"/>
        <v>1</v>
      </c>
      <c r="F4874">
        <f t="shared" si="171"/>
        <v>1</v>
      </c>
    </row>
    <row r="4875" spans="1:6">
      <c r="A4875" s="30">
        <f t="shared" si="168"/>
        <v>47965</v>
      </c>
      <c r="B4875" s="32" t="s">
        <v>199</v>
      </c>
      <c r="C4875" t="s">
        <v>6</v>
      </c>
      <c r="D4875">
        <f t="shared" si="169"/>
        <v>1</v>
      </c>
      <c r="E4875">
        <f t="shared" si="170"/>
        <v>1</v>
      </c>
      <c r="F4875">
        <f t="shared" si="171"/>
        <v>1</v>
      </c>
    </row>
    <row r="4876" spans="1:6">
      <c r="A4876" s="30">
        <f t="shared" si="168"/>
        <v>47966</v>
      </c>
      <c r="B4876" s="32" t="s">
        <v>199</v>
      </c>
      <c r="C4876" t="s">
        <v>6</v>
      </c>
      <c r="D4876">
        <f t="shared" si="169"/>
        <v>1</v>
      </c>
      <c r="E4876">
        <f t="shared" si="170"/>
        <v>1</v>
      </c>
      <c r="F4876">
        <f t="shared" si="171"/>
        <v>1</v>
      </c>
    </row>
    <row r="4877" spans="1:6">
      <c r="A4877" s="30">
        <f t="shared" si="168"/>
        <v>47967</v>
      </c>
      <c r="B4877" s="32" t="s">
        <v>199</v>
      </c>
      <c r="C4877" t="s">
        <v>6</v>
      </c>
      <c r="D4877">
        <f t="shared" si="169"/>
        <v>1</v>
      </c>
      <c r="E4877">
        <f t="shared" si="170"/>
        <v>1</v>
      </c>
      <c r="F4877">
        <f t="shared" si="171"/>
        <v>1</v>
      </c>
    </row>
    <row r="4878" spans="1:6">
      <c r="A4878" s="30">
        <f t="shared" si="168"/>
        <v>47968</v>
      </c>
      <c r="B4878" s="32" t="s">
        <v>199</v>
      </c>
      <c r="C4878" t="s">
        <v>6</v>
      </c>
      <c r="D4878">
        <f t="shared" si="169"/>
        <v>1</v>
      </c>
      <c r="E4878">
        <f t="shared" si="170"/>
        <v>1</v>
      </c>
      <c r="F4878">
        <f t="shared" si="171"/>
        <v>1</v>
      </c>
    </row>
    <row r="4879" spans="1:6">
      <c r="A4879" s="30">
        <f t="shared" si="168"/>
        <v>47969</v>
      </c>
      <c r="B4879" s="32" t="s">
        <v>199</v>
      </c>
      <c r="C4879" t="s">
        <v>6</v>
      </c>
      <c r="D4879">
        <f t="shared" si="169"/>
        <v>1</v>
      </c>
      <c r="E4879">
        <f t="shared" si="170"/>
        <v>1</v>
      </c>
      <c r="F4879">
        <f t="shared" si="171"/>
        <v>1</v>
      </c>
    </row>
    <row r="4880" spans="1:6">
      <c r="A4880" s="30">
        <f t="shared" si="168"/>
        <v>47970</v>
      </c>
      <c r="B4880" s="32" t="s">
        <v>199</v>
      </c>
      <c r="C4880" t="s">
        <v>6</v>
      </c>
      <c r="D4880">
        <f t="shared" si="169"/>
        <v>1</v>
      </c>
      <c r="E4880">
        <f t="shared" si="170"/>
        <v>1</v>
      </c>
      <c r="F4880">
        <f t="shared" si="171"/>
        <v>1</v>
      </c>
    </row>
    <row r="4881" spans="1:6">
      <c r="A4881" s="30">
        <f t="shared" si="168"/>
        <v>47971</v>
      </c>
      <c r="B4881" s="32" t="s">
        <v>199</v>
      </c>
      <c r="C4881" t="s">
        <v>6</v>
      </c>
      <c r="D4881">
        <f t="shared" si="169"/>
        <v>1</v>
      </c>
      <c r="E4881">
        <f t="shared" si="170"/>
        <v>1</v>
      </c>
      <c r="F4881">
        <f t="shared" si="171"/>
        <v>1</v>
      </c>
    </row>
    <row r="4882" spans="1:6">
      <c r="A4882" s="30">
        <f t="shared" si="168"/>
        <v>47972</v>
      </c>
      <c r="B4882" s="32" t="s">
        <v>199</v>
      </c>
      <c r="C4882" t="s">
        <v>6</v>
      </c>
      <c r="D4882">
        <f t="shared" si="169"/>
        <v>1</v>
      </c>
      <c r="E4882">
        <f t="shared" si="170"/>
        <v>1</v>
      </c>
      <c r="F4882">
        <f t="shared" si="171"/>
        <v>1</v>
      </c>
    </row>
    <row r="4883" spans="1:6">
      <c r="A4883" s="30">
        <f t="shared" ref="A4883:A4946" si="172">A4882+1</f>
        <v>47973</v>
      </c>
      <c r="B4883" s="32" t="s">
        <v>199</v>
      </c>
      <c r="C4883" t="s">
        <v>6</v>
      </c>
      <c r="D4883">
        <f t="shared" ref="D4883:D4946" si="173">IF(B4883=$AB$2,$AC$2,$AC$3)</f>
        <v>1</v>
      </c>
      <c r="E4883">
        <f t="shared" ref="E4883:E4946" si="174">IF(ISBLANK(C4883),0,VLOOKUP(C4883,$AE$2:$AF$7,2,0))</f>
        <v>1</v>
      </c>
      <c r="F4883">
        <f t="shared" ref="F4883:F4946" si="175">D4883*E4883</f>
        <v>1</v>
      </c>
    </row>
    <row r="4884" spans="1:6">
      <c r="A4884" s="30">
        <f t="shared" si="172"/>
        <v>47974</v>
      </c>
      <c r="B4884" s="32" t="s">
        <v>199</v>
      </c>
      <c r="C4884" t="s">
        <v>6</v>
      </c>
      <c r="D4884">
        <f t="shared" si="173"/>
        <v>1</v>
      </c>
      <c r="E4884">
        <f t="shared" si="174"/>
        <v>1</v>
      </c>
      <c r="F4884">
        <f t="shared" si="175"/>
        <v>1</v>
      </c>
    </row>
    <row r="4885" spans="1:6">
      <c r="A4885" s="30">
        <f t="shared" si="172"/>
        <v>47975</v>
      </c>
      <c r="B4885" s="32" t="s">
        <v>199</v>
      </c>
      <c r="C4885" t="s">
        <v>6</v>
      </c>
      <c r="D4885">
        <f t="shared" si="173"/>
        <v>1</v>
      </c>
      <c r="E4885">
        <f t="shared" si="174"/>
        <v>1</v>
      </c>
      <c r="F4885">
        <f t="shared" si="175"/>
        <v>1</v>
      </c>
    </row>
    <row r="4886" spans="1:6">
      <c r="A4886" s="30">
        <f t="shared" si="172"/>
        <v>47976</v>
      </c>
      <c r="B4886" s="32" t="s">
        <v>199</v>
      </c>
      <c r="C4886" t="s">
        <v>6</v>
      </c>
      <c r="D4886">
        <f t="shared" si="173"/>
        <v>1</v>
      </c>
      <c r="E4886">
        <f t="shared" si="174"/>
        <v>1</v>
      </c>
      <c r="F4886">
        <f t="shared" si="175"/>
        <v>1</v>
      </c>
    </row>
    <row r="4887" spans="1:6">
      <c r="A4887" s="30">
        <f t="shared" si="172"/>
        <v>47977</v>
      </c>
      <c r="B4887" s="32" t="s">
        <v>199</v>
      </c>
      <c r="C4887" t="s">
        <v>6</v>
      </c>
      <c r="D4887">
        <f t="shared" si="173"/>
        <v>1</v>
      </c>
      <c r="E4887">
        <f t="shared" si="174"/>
        <v>1</v>
      </c>
      <c r="F4887">
        <f t="shared" si="175"/>
        <v>1</v>
      </c>
    </row>
    <row r="4888" spans="1:6">
      <c r="A4888" s="30">
        <f t="shared" si="172"/>
        <v>47978</v>
      </c>
      <c r="B4888" s="32" t="s">
        <v>199</v>
      </c>
      <c r="C4888" t="s">
        <v>6</v>
      </c>
      <c r="D4888">
        <f t="shared" si="173"/>
        <v>1</v>
      </c>
      <c r="E4888">
        <f t="shared" si="174"/>
        <v>1</v>
      </c>
      <c r="F4888">
        <f t="shared" si="175"/>
        <v>1</v>
      </c>
    </row>
    <row r="4889" spans="1:6">
      <c r="A4889" s="30">
        <f t="shared" si="172"/>
        <v>47979</v>
      </c>
      <c r="B4889" s="32" t="s">
        <v>199</v>
      </c>
      <c r="C4889" t="s">
        <v>6</v>
      </c>
      <c r="D4889">
        <f t="shared" si="173"/>
        <v>1</v>
      </c>
      <c r="E4889">
        <f t="shared" si="174"/>
        <v>1</v>
      </c>
      <c r="F4889">
        <f t="shared" si="175"/>
        <v>1</v>
      </c>
    </row>
    <row r="4890" spans="1:6">
      <c r="A4890" s="30">
        <f t="shared" si="172"/>
        <v>47980</v>
      </c>
      <c r="B4890" s="32" t="s">
        <v>199</v>
      </c>
      <c r="C4890" t="s">
        <v>6</v>
      </c>
      <c r="D4890">
        <f t="shared" si="173"/>
        <v>1</v>
      </c>
      <c r="E4890">
        <f t="shared" si="174"/>
        <v>1</v>
      </c>
      <c r="F4890">
        <f t="shared" si="175"/>
        <v>1</v>
      </c>
    </row>
    <row r="4891" spans="1:6">
      <c r="A4891" s="30">
        <f t="shared" si="172"/>
        <v>47981</v>
      </c>
      <c r="B4891" s="32" t="s">
        <v>199</v>
      </c>
      <c r="C4891" t="s">
        <v>6</v>
      </c>
      <c r="D4891">
        <f t="shared" si="173"/>
        <v>1</v>
      </c>
      <c r="E4891">
        <f t="shared" si="174"/>
        <v>1</v>
      </c>
      <c r="F4891">
        <f t="shared" si="175"/>
        <v>1</v>
      </c>
    </row>
    <row r="4892" spans="1:6">
      <c r="A4892" s="30">
        <f t="shared" si="172"/>
        <v>47982</v>
      </c>
      <c r="B4892" s="32" t="s">
        <v>199</v>
      </c>
      <c r="C4892" t="s">
        <v>6</v>
      </c>
      <c r="D4892">
        <f t="shared" si="173"/>
        <v>1</v>
      </c>
      <c r="E4892">
        <f t="shared" si="174"/>
        <v>1</v>
      </c>
      <c r="F4892">
        <f t="shared" si="175"/>
        <v>1</v>
      </c>
    </row>
    <row r="4893" spans="1:6">
      <c r="A4893" s="30">
        <f t="shared" si="172"/>
        <v>47983</v>
      </c>
      <c r="B4893" s="32" t="s">
        <v>199</v>
      </c>
      <c r="C4893" t="s">
        <v>6</v>
      </c>
      <c r="D4893">
        <f t="shared" si="173"/>
        <v>1</v>
      </c>
      <c r="E4893">
        <f t="shared" si="174"/>
        <v>1</v>
      </c>
      <c r="F4893">
        <f t="shared" si="175"/>
        <v>1</v>
      </c>
    </row>
    <row r="4894" spans="1:6">
      <c r="A4894" s="30">
        <f t="shared" si="172"/>
        <v>47984</v>
      </c>
      <c r="B4894" s="32" t="s">
        <v>199</v>
      </c>
      <c r="C4894" t="s">
        <v>6</v>
      </c>
      <c r="D4894">
        <f t="shared" si="173"/>
        <v>1</v>
      </c>
      <c r="E4894">
        <f t="shared" si="174"/>
        <v>1</v>
      </c>
      <c r="F4894">
        <f t="shared" si="175"/>
        <v>1</v>
      </c>
    </row>
    <row r="4895" spans="1:6">
      <c r="A4895" s="30">
        <f t="shared" si="172"/>
        <v>47985</v>
      </c>
      <c r="B4895" s="32" t="s">
        <v>199</v>
      </c>
      <c r="C4895" t="s">
        <v>6</v>
      </c>
      <c r="D4895">
        <f t="shared" si="173"/>
        <v>1</v>
      </c>
      <c r="E4895">
        <f t="shared" si="174"/>
        <v>1</v>
      </c>
      <c r="F4895">
        <f t="shared" si="175"/>
        <v>1</v>
      </c>
    </row>
    <row r="4896" spans="1:6">
      <c r="A4896" s="30">
        <f t="shared" si="172"/>
        <v>47986</v>
      </c>
      <c r="B4896" s="32" t="s">
        <v>199</v>
      </c>
      <c r="C4896" t="s">
        <v>6</v>
      </c>
      <c r="D4896">
        <f t="shared" si="173"/>
        <v>1</v>
      </c>
      <c r="E4896">
        <f t="shared" si="174"/>
        <v>1</v>
      </c>
      <c r="F4896">
        <f t="shared" si="175"/>
        <v>1</v>
      </c>
    </row>
    <row r="4897" spans="1:6">
      <c r="A4897" s="30">
        <f t="shared" si="172"/>
        <v>47987</v>
      </c>
      <c r="B4897" s="32" t="s">
        <v>199</v>
      </c>
      <c r="C4897" t="s">
        <v>6</v>
      </c>
      <c r="D4897">
        <f t="shared" si="173"/>
        <v>1</v>
      </c>
      <c r="E4897">
        <f t="shared" si="174"/>
        <v>1</v>
      </c>
      <c r="F4897">
        <f t="shared" si="175"/>
        <v>1</v>
      </c>
    </row>
    <row r="4898" spans="1:6">
      <c r="A4898" s="30">
        <f t="shared" si="172"/>
        <v>47988</v>
      </c>
      <c r="B4898" s="32" t="s">
        <v>199</v>
      </c>
      <c r="C4898" t="s">
        <v>6</v>
      </c>
      <c r="D4898">
        <f t="shared" si="173"/>
        <v>1</v>
      </c>
      <c r="E4898">
        <f t="shared" si="174"/>
        <v>1</v>
      </c>
      <c r="F4898">
        <f t="shared" si="175"/>
        <v>1</v>
      </c>
    </row>
    <row r="4899" spans="1:6">
      <c r="A4899" s="30">
        <f t="shared" si="172"/>
        <v>47989</v>
      </c>
      <c r="B4899" s="32" t="s">
        <v>199</v>
      </c>
      <c r="C4899" t="s">
        <v>6</v>
      </c>
      <c r="D4899">
        <f t="shared" si="173"/>
        <v>1</v>
      </c>
      <c r="E4899">
        <f t="shared" si="174"/>
        <v>1</v>
      </c>
      <c r="F4899">
        <f t="shared" si="175"/>
        <v>1</v>
      </c>
    </row>
    <row r="4900" spans="1:6">
      <c r="A4900" s="30">
        <f t="shared" si="172"/>
        <v>47990</v>
      </c>
      <c r="B4900" s="32" t="s">
        <v>199</v>
      </c>
      <c r="C4900" t="s">
        <v>6</v>
      </c>
      <c r="D4900">
        <f t="shared" si="173"/>
        <v>1</v>
      </c>
      <c r="E4900">
        <f t="shared" si="174"/>
        <v>1</v>
      </c>
      <c r="F4900">
        <f t="shared" si="175"/>
        <v>1</v>
      </c>
    </row>
    <row r="4901" spans="1:6">
      <c r="A4901" s="30">
        <f t="shared" si="172"/>
        <v>47991</v>
      </c>
      <c r="B4901" s="32" t="s">
        <v>199</v>
      </c>
      <c r="C4901" t="s">
        <v>6</v>
      </c>
      <c r="D4901">
        <f t="shared" si="173"/>
        <v>1</v>
      </c>
      <c r="E4901">
        <f t="shared" si="174"/>
        <v>1</v>
      </c>
      <c r="F4901">
        <f t="shared" si="175"/>
        <v>1</v>
      </c>
    </row>
    <row r="4902" spans="1:6">
      <c r="A4902" s="30">
        <f t="shared" si="172"/>
        <v>47992</v>
      </c>
      <c r="B4902" s="32" t="s">
        <v>199</v>
      </c>
      <c r="C4902" t="s">
        <v>6</v>
      </c>
      <c r="D4902">
        <f t="shared" si="173"/>
        <v>1</v>
      </c>
      <c r="E4902">
        <f t="shared" si="174"/>
        <v>1</v>
      </c>
      <c r="F4902">
        <f t="shared" si="175"/>
        <v>1</v>
      </c>
    </row>
    <row r="4903" spans="1:6">
      <c r="A4903" s="30">
        <f t="shared" si="172"/>
        <v>47993</v>
      </c>
      <c r="B4903" s="32" t="s">
        <v>199</v>
      </c>
      <c r="C4903" t="s">
        <v>6</v>
      </c>
      <c r="D4903">
        <f t="shared" si="173"/>
        <v>1</v>
      </c>
      <c r="E4903">
        <f t="shared" si="174"/>
        <v>1</v>
      </c>
      <c r="F4903">
        <f t="shared" si="175"/>
        <v>1</v>
      </c>
    </row>
    <row r="4904" spans="1:6">
      <c r="A4904" s="30">
        <f t="shared" si="172"/>
        <v>47994</v>
      </c>
      <c r="B4904" s="32" t="s">
        <v>199</v>
      </c>
      <c r="C4904" t="s">
        <v>6</v>
      </c>
      <c r="D4904">
        <f t="shared" si="173"/>
        <v>1</v>
      </c>
      <c r="E4904">
        <f t="shared" si="174"/>
        <v>1</v>
      </c>
      <c r="F4904">
        <f t="shared" si="175"/>
        <v>1</v>
      </c>
    </row>
    <row r="4905" spans="1:6">
      <c r="A4905" s="30">
        <f t="shared" si="172"/>
        <v>47995</v>
      </c>
      <c r="B4905" s="32" t="s">
        <v>199</v>
      </c>
      <c r="C4905" t="s">
        <v>6</v>
      </c>
      <c r="D4905">
        <f t="shared" si="173"/>
        <v>1</v>
      </c>
      <c r="E4905">
        <f t="shared" si="174"/>
        <v>1</v>
      </c>
      <c r="F4905">
        <f t="shared" si="175"/>
        <v>1</v>
      </c>
    </row>
    <row r="4906" spans="1:6">
      <c r="A4906" s="30">
        <f t="shared" si="172"/>
        <v>47996</v>
      </c>
      <c r="B4906" s="32" t="s">
        <v>199</v>
      </c>
      <c r="C4906" t="s">
        <v>6</v>
      </c>
      <c r="D4906">
        <f t="shared" si="173"/>
        <v>1</v>
      </c>
      <c r="E4906">
        <f t="shared" si="174"/>
        <v>1</v>
      </c>
      <c r="F4906">
        <f t="shared" si="175"/>
        <v>1</v>
      </c>
    </row>
    <row r="4907" spans="1:6">
      <c r="A4907" s="30">
        <f t="shared" si="172"/>
        <v>47997</v>
      </c>
      <c r="B4907" s="32" t="s">
        <v>199</v>
      </c>
      <c r="C4907" t="s">
        <v>6</v>
      </c>
      <c r="D4907">
        <f t="shared" si="173"/>
        <v>1</v>
      </c>
      <c r="E4907">
        <f t="shared" si="174"/>
        <v>1</v>
      </c>
      <c r="F4907">
        <f t="shared" si="175"/>
        <v>1</v>
      </c>
    </row>
    <row r="4908" spans="1:6">
      <c r="A4908" s="30">
        <f t="shared" si="172"/>
        <v>47998</v>
      </c>
      <c r="B4908" s="32" t="s">
        <v>199</v>
      </c>
      <c r="C4908" t="s">
        <v>6</v>
      </c>
      <c r="D4908">
        <f t="shared" si="173"/>
        <v>1</v>
      </c>
      <c r="E4908">
        <f t="shared" si="174"/>
        <v>1</v>
      </c>
      <c r="F4908">
        <f t="shared" si="175"/>
        <v>1</v>
      </c>
    </row>
    <row r="4909" spans="1:6">
      <c r="A4909" s="30">
        <f t="shared" si="172"/>
        <v>47999</v>
      </c>
      <c r="B4909" s="32" t="s">
        <v>199</v>
      </c>
      <c r="C4909" t="s">
        <v>6</v>
      </c>
      <c r="D4909">
        <f t="shared" si="173"/>
        <v>1</v>
      </c>
      <c r="E4909">
        <f t="shared" si="174"/>
        <v>1</v>
      </c>
      <c r="F4909">
        <f t="shared" si="175"/>
        <v>1</v>
      </c>
    </row>
    <row r="4910" spans="1:6">
      <c r="A4910" s="30">
        <f t="shared" si="172"/>
        <v>48000</v>
      </c>
      <c r="B4910" s="32" t="s">
        <v>199</v>
      </c>
      <c r="C4910" t="s">
        <v>6</v>
      </c>
      <c r="D4910">
        <f t="shared" si="173"/>
        <v>1</v>
      </c>
      <c r="E4910">
        <f t="shared" si="174"/>
        <v>1</v>
      </c>
      <c r="F4910">
        <f t="shared" si="175"/>
        <v>1</v>
      </c>
    </row>
    <row r="4911" spans="1:6">
      <c r="A4911" s="30">
        <f t="shared" si="172"/>
        <v>48001</v>
      </c>
      <c r="B4911" s="32" t="s">
        <v>199</v>
      </c>
      <c r="C4911" t="s">
        <v>6</v>
      </c>
      <c r="D4911">
        <f t="shared" si="173"/>
        <v>1</v>
      </c>
      <c r="E4911">
        <f t="shared" si="174"/>
        <v>1</v>
      </c>
      <c r="F4911">
        <f t="shared" si="175"/>
        <v>1</v>
      </c>
    </row>
    <row r="4912" spans="1:6">
      <c r="A4912" s="30">
        <f t="shared" si="172"/>
        <v>48002</v>
      </c>
      <c r="B4912" s="32" t="s">
        <v>199</v>
      </c>
      <c r="C4912" t="s">
        <v>6</v>
      </c>
      <c r="D4912">
        <f t="shared" si="173"/>
        <v>1</v>
      </c>
      <c r="E4912">
        <f t="shared" si="174"/>
        <v>1</v>
      </c>
      <c r="F4912">
        <f t="shared" si="175"/>
        <v>1</v>
      </c>
    </row>
    <row r="4913" spans="1:6">
      <c r="A4913" s="30">
        <f t="shared" si="172"/>
        <v>48003</v>
      </c>
      <c r="B4913" s="32" t="s">
        <v>199</v>
      </c>
      <c r="C4913" t="s">
        <v>6</v>
      </c>
      <c r="D4913">
        <f t="shared" si="173"/>
        <v>1</v>
      </c>
      <c r="E4913">
        <f t="shared" si="174"/>
        <v>1</v>
      </c>
      <c r="F4913">
        <f t="shared" si="175"/>
        <v>1</v>
      </c>
    </row>
    <row r="4914" spans="1:6">
      <c r="A4914" s="30">
        <f t="shared" si="172"/>
        <v>48004</v>
      </c>
      <c r="B4914" s="32" t="s">
        <v>199</v>
      </c>
      <c r="C4914" t="s">
        <v>6</v>
      </c>
      <c r="D4914">
        <f t="shared" si="173"/>
        <v>1</v>
      </c>
      <c r="E4914">
        <f t="shared" si="174"/>
        <v>1</v>
      </c>
      <c r="F4914">
        <f t="shared" si="175"/>
        <v>1</v>
      </c>
    </row>
    <row r="4915" spans="1:6">
      <c r="A4915" s="30">
        <f t="shared" si="172"/>
        <v>48005</v>
      </c>
      <c r="B4915" s="32" t="s">
        <v>199</v>
      </c>
      <c r="C4915" t="s">
        <v>6</v>
      </c>
      <c r="D4915">
        <f t="shared" si="173"/>
        <v>1</v>
      </c>
      <c r="E4915">
        <f t="shared" si="174"/>
        <v>1</v>
      </c>
      <c r="F4915">
        <f t="shared" si="175"/>
        <v>1</v>
      </c>
    </row>
    <row r="4916" spans="1:6">
      <c r="A4916" s="30">
        <f t="shared" si="172"/>
        <v>48006</v>
      </c>
      <c r="B4916" s="32" t="s">
        <v>199</v>
      </c>
      <c r="C4916" t="s">
        <v>6</v>
      </c>
      <c r="D4916">
        <f t="shared" si="173"/>
        <v>1</v>
      </c>
      <c r="E4916">
        <f t="shared" si="174"/>
        <v>1</v>
      </c>
      <c r="F4916">
        <f t="shared" si="175"/>
        <v>1</v>
      </c>
    </row>
    <row r="4917" spans="1:6">
      <c r="A4917" s="30">
        <f t="shared" si="172"/>
        <v>48007</v>
      </c>
      <c r="B4917" s="32" t="s">
        <v>199</v>
      </c>
      <c r="C4917" t="s">
        <v>6</v>
      </c>
      <c r="D4917">
        <f t="shared" si="173"/>
        <v>1</v>
      </c>
      <c r="E4917">
        <f t="shared" si="174"/>
        <v>1</v>
      </c>
      <c r="F4917">
        <f t="shared" si="175"/>
        <v>1</v>
      </c>
    </row>
    <row r="4918" spans="1:6">
      <c r="A4918" s="30">
        <f t="shared" si="172"/>
        <v>48008</v>
      </c>
      <c r="B4918" s="32" t="s">
        <v>199</v>
      </c>
      <c r="C4918" t="s">
        <v>6</v>
      </c>
      <c r="D4918">
        <f t="shared" si="173"/>
        <v>1</v>
      </c>
      <c r="E4918">
        <f t="shared" si="174"/>
        <v>1</v>
      </c>
      <c r="F4918">
        <f t="shared" si="175"/>
        <v>1</v>
      </c>
    </row>
    <row r="4919" spans="1:6">
      <c r="A4919" s="30">
        <f t="shared" si="172"/>
        <v>48009</v>
      </c>
      <c r="B4919" s="32" t="s">
        <v>199</v>
      </c>
      <c r="C4919" t="s">
        <v>6</v>
      </c>
      <c r="D4919">
        <f t="shared" si="173"/>
        <v>1</v>
      </c>
      <c r="E4919">
        <f t="shared" si="174"/>
        <v>1</v>
      </c>
      <c r="F4919">
        <f t="shared" si="175"/>
        <v>1</v>
      </c>
    </row>
    <row r="4920" spans="1:6">
      <c r="A4920" s="30">
        <f t="shared" si="172"/>
        <v>48010</v>
      </c>
      <c r="B4920" s="32" t="s">
        <v>199</v>
      </c>
      <c r="C4920" t="s">
        <v>6</v>
      </c>
      <c r="D4920">
        <f t="shared" si="173"/>
        <v>1</v>
      </c>
      <c r="E4920">
        <f t="shared" si="174"/>
        <v>1</v>
      </c>
      <c r="F4920">
        <f t="shared" si="175"/>
        <v>1</v>
      </c>
    </row>
    <row r="4921" spans="1:6">
      <c r="A4921" s="30">
        <f t="shared" si="172"/>
        <v>48011</v>
      </c>
      <c r="B4921" s="32" t="s">
        <v>199</v>
      </c>
      <c r="C4921" t="s">
        <v>6</v>
      </c>
      <c r="D4921">
        <f t="shared" si="173"/>
        <v>1</v>
      </c>
      <c r="E4921">
        <f t="shared" si="174"/>
        <v>1</v>
      </c>
      <c r="F4921">
        <f t="shared" si="175"/>
        <v>1</v>
      </c>
    </row>
    <row r="4922" spans="1:6">
      <c r="A4922" s="30">
        <f t="shared" si="172"/>
        <v>48012</v>
      </c>
      <c r="B4922" s="32" t="s">
        <v>199</v>
      </c>
      <c r="C4922" t="s">
        <v>6</v>
      </c>
      <c r="D4922">
        <f t="shared" si="173"/>
        <v>1</v>
      </c>
      <c r="E4922">
        <f t="shared" si="174"/>
        <v>1</v>
      </c>
      <c r="F4922">
        <f t="shared" si="175"/>
        <v>1</v>
      </c>
    </row>
    <row r="4923" spans="1:6">
      <c r="A4923" s="30">
        <f t="shared" si="172"/>
        <v>48013</v>
      </c>
      <c r="B4923" s="32" t="s">
        <v>199</v>
      </c>
      <c r="C4923" t="s">
        <v>6</v>
      </c>
      <c r="D4923">
        <f t="shared" si="173"/>
        <v>1</v>
      </c>
      <c r="E4923">
        <f t="shared" si="174"/>
        <v>1</v>
      </c>
      <c r="F4923">
        <f t="shared" si="175"/>
        <v>1</v>
      </c>
    </row>
    <row r="4924" spans="1:6">
      <c r="A4924" s="30">
        <f t="shared" si="172"/>
        <v>48014</v>
      </c>
      <c r="B4924" s="32" t="s">
        <v>199</v>
      </c>
      <c r="C4924" t="s">
        <v>6</v>
      </c>
      <c r="D4924">
        <f t="shared" si="173"/>
        <v>1</v>
      </c>
      <c r="E4924">
        <f t="shared" si="174"/>
        <v>1</v>
      </c>
      <c r="F4924">
        <f t="shared" si="175"/>
        <v>1</v>
      </c>
    </row>
    <row r="4925" spans="1:6">
      <c r="A4925" s="30">
        <f t="shared" si="172"/>
        <v>48015</v>
      </c>
      <c r="B4925" s="32" t="s">
        <v>199</v>
      </c>
      <c r="C4925" t="s">
        <v>6</v>
      </c>
      <c r="D4925">
        <f t="shared" si="173"/>
        <v>1</v>
      </c>
      <c r="E4925">
        <f t="shared" si="174"/>
        <v>1</v>
      </c>
      <c r="F4925">
        <f t="shared" si="175"/>
        <v>1</v>
      </c>
    </row>
    <row r="4926" spans="1:6">
      <c r="A4926" s="30">
        <f t="shared" si="172"/>
        <v>48016</v>
      </c>
      <c r="B4926" s="32" t="s">
        <v>199</v>
      </c>
      <c r="C4926" t="s">
        <v>6</v>
      </c>
      <c r="D4926">
        <f t="shared" si="173"/>
        <v>1</v>
      </c>
      <c r="E4926">
        <f t="shared" si="174"/>
        <v>1</v>
      </c>
      <c r="F4926">
        <f t="shared" si="175"/>
        <v>1</v>
      </c>
    </row>
    <row r="4927" spans="1:6">
      <c r="A4927" s="30">
        <f t="shared" si="172"/>
        <v>48017</v>
      </c>
      <c r="B4927" s="32" t="s">
        <v>199</v>
      </c>
      <c r="C4927" t="s">
        <v>6</v>
      </c>
      <c r="D4927">
        <f t="shared" si="173"/>
        <v>1</v>
      </c>
      <c r="E4927">
        <f t="shared" si="174"/>
        <v>1</v>
      </c>
      <c r="F4927">
        <f t="shared" si="175"/>
        <v>1</v>
      </c>
    </row>
    <row r="4928" spans="1:6">
      <c r="A4928" s="30">
        <f t="shared" si="172"/>
        <v>48018</v>
      </c>
      <c r="B4928" s="32" t="s">
        <v>199</v>
      </c>
      <c r="C4928" t="s">
        <v>6</v>
      </c>
      <c r="D4928">
        <f t="shared" si="173"/>
        <v>1</v>
      </c>
      <c r="E4928">
        <f t="shared" si="174"/>
        <v>1</v>
      </c>
      <c r="F4928">
        <f t="shared" si="175"/>
        <v>1</v>
      </c>
    </row>
    <row r="4929" spans="1:6">
      <c r="A4929" s="30">
        <f t="shared" si="172"/>
        <v>48019</v>
      </c>
      <c r="B4929" s="32" t="s">
        <v>199</v>
      </c>
      <c r="C4929" t="s">
        <v>6</v>
      </c>
      <c r="D4929">
        <f t="shared" si="173"/>
        <v>1</v>
      </c>
      <c r="E4929">
        <f t="shared" si="174"/>
        <v>1</v>
      </c>
      <c r="F4929">
        <f t="shared" si="175"/>
        <v>1</v>
      </c>
    </row>
    <row r="4930" spans="1:6">
      <c r="A4930" s="30">
        <f t="shared" si="172"/>
        <v>48020</v>
      </c>
      <c r="B4930" s="32" t="s">
        <v>199</v>
      </c>
      <c r="C4930" t="s">
        <v>6</v>
      </c>
      <c r="D4930">
        <f t="shared" si="173"/>
        <v>1</v>
      </c>
      <c r="E4930">
        <f t="shared" si="174"/>
        <v>1</v>
      </c>
      <c r="F4930">
        <f t="shared" si="175"/>
        <v>1</v>
      </c>
    </row>
    <row r="4931" spans="1:6">
      <c r="A4931" s="30">
        <f t="shared" si="172"/>
        <v>48021</v>
      </c>
      <c r="B4931" s="32" t="s">
        <v>199</v>
      </c>
      <c r="C4931" t="s">
        <v>6</v>
      </c>
      <c r="D4931">
        <f t="shared" si="173"/>
        <v>1</v>
      </c>
      <c r="E4931">
        <f t="shared" si="174"/>
        <v>1</v>
      </c>
      <c r="F4931">
        <f t="shared" si="175"/>
        <v>1</v>
      </c>
    </row>
    <row r="4932" spans="1:6">
      <c r="A4932" s="30">
        <f t="shared" si="172"/>
        <v>48022</v>
      </c>
      <c r="B4932" s="32" t="s">
        <v>199</v>
      </c>
      <c r="C4932" t="s">
        <v>6</v>
      </c>
      <c r="D4932">
        <f t="shared" si="173"/>
        <v>1</v>
      </c>
      <c r="E4932">
        <f t="shared" si="174"/>
        <v>1</v>
      </c>
      <c r="F4932">
        <f t="shared" si="175"/>
        <v>1</v>
      </c>
    </row>
    <row r="4933" spans="1:6">
      <c r="A4933" s="30">
        <f t="shared" si="172"/>
        <v>48023</v>
      </c>
      <c r="B4933" s="32" t="s">
        <v>199</v>
      </c>
      <c r="C4933" t="s">
        <v>6</v>
      </c>
      <c r="D4933">
        <f t="shared" si="173"/>
        <v>1</v>
      </c>
      <c r="E4933">
        <f t="shared" si="174"/>
        <v>1</v>
      </c>
      <c r="F4933">
        <f t="shared" si="175"/>
        <v>1</v>
      </c>
    </row>
    <row r="4934" spans="1:6">
      <c r="A4934" s="30">
        <f t="shared" si="172"/>
        <v>48024</v>
      </c>
      <c r="B4934" s="32" t="s">
        <v>199</v>
      </c>
      <c r="C4934" t="s">
        <v>6</v>
      </c>
      <c r="D4934">
        <f t="shared" si="173"/>
        <v>1</v>
      </c>
      <c r="E4934">
        <f t="shared" si="174"/>
        <v>1</v>
      </c>
      <c r="F4934">
        <f t="shared" si="175"/>
        <v>1</v>
      </c>
    </row>
    <row r="4935" spans="1:6">
      <c r="A4935" s="30">
        <f t="shared" si="172"/>
        <v>48025</v>
      </c>
      <c r="B4935" s="32" t="s">
        <v>199</v>
      </c>
      <c r="C4935" t="s">
        <v>6</v>
      </c>
      <c r="D4935">
        <f t="shared" si="173"/>
        <v>1</v>
      </c>
      <c r="E4935">
        <f t="shared" si="174"/>
        <v>1</v>
      </c>
      <c r="F4935">
        <f t="shared" si="175"/>
        <v>1</v>
      </c>
    </row>
    <row r="4936" spans="1:6">
      <c r="A4936" s="30">
        <f t="shared" si="172"/>
        <v>48026</v>
      </c>
      <c r="B4936" s="32" t="s">
        <v>199</v>
      </c>
      <c r="C4936" t="s">
        <v>6</v>
      </c>
      <c r="D4936">
        <f t="shared" si="173"/>
        <v>1</v>
      </c>
      <c r="E4936">
        <f t="shared" si="174"/>
        <v>1</v>
      </c>
      <c r="F4936">
        <f t="shared" si="175"/>
        <v>1</v>
      </c>
    </row>
    <row r="4937" spans="1:6">
      <c r="A4937" s="30">
        <f t="shared" si="172"/>
        <v>48027</v>
      </c>
      <c r="B4937" s="32" t="s">
        <v>199</v>
      </c>
      <c r="C4937" t="s">
        <v>6</v>
      </c>
      <c r="D4937">
        <f t="shared" si="173"/>
        <v>1</v>
      </c>
      <c r="E4937">
        <f t="shared" si="174"/>
        <v>1</v>
      </c>
      <c r="F4937">
        <f t="shared" si="175"/>
        <v>1</v>
      </c>
    </row>
    <row r="4938" spans="1:6">
      <c r="A4938" s="30">
        <f t="shared" si="172"/>
        <v>48028</v>
      </c>
      <c r="B4938" s="32" t="s">
        <v>199</v>
      </c>
      <c r="C4938" t="s">
        <v>6</v>
      </c>
      <c r="D4938">
        <f t="shared" si="173"/>
        <v>1</v>
      </c>
      <c r="E4938">
        <f t="shared" si="174"/>
        <v>1</v>
      </c>
      <c r="F4938">
        <f t="shared" si="175"/>
        <v>1</v>
      </c>
    </row>
    <row r="4939" spans="1:6">
      <c r="A4939" s="30">
        <f t="shared" si="172"/>
        <v>48029</v>
      </c>
      <c r="B4939" s="32" t="s">
        <v>199</v>
      </c>
      <c r="C4939" t="s">
        <v>6</v>
      </c>
      <c r="D4939">
        <f t="shared" si="173"/>
        <v>1</v>
      </c>
      <c r="E4939">
        <f t="shared" si="174"/>
        <v>1</v>
      </c>
      <c r="F4939">
        <f t="shared" si="175"/>
        <v>1</v>
      </c>
    </row>
    <row r="4940" spans="1:6">
      <c r="A4940" s="30">
        <f t="shared" si="172"/>
        <v>48030</v>
      </c>
      <c r="B4940" s="32" t="s">
        <v>199</v>
      </c>
      <c r="C4940" t="s">
        <v>6</v>
      </c>
      <c r="D4940">
        <f t="shared" si="173"/>
        <v>1</v>
      </c>
      <c r="E4940">
        <f t="shared" si="174"/>
        <v>1</v>
      </c>
      <c r="F4940">
        <f t="shared" si="175"/>
        <v>1</v>
      </c>
    </row>
    <row r="4941" spans="1:6">
      <c r="A4941" s="30">
        <f t="shared" si="172"/>
        <v>48031</v>
      </c>
      <c r="B4941" s="32" t="s">
        <v>199</v>
      </c>
      <c r="C4941" t="s">
        <v>6</v>
      </c>
      <c r="D4941">
        <f t="shared" si="173"/>
        <v>1</v>
      </c>
      <c r="E4941">
        <f t="shared" si="174"/>
        <v>1</v>
      </c>
      <c r="F4941">
        <f t="shared" si="175"/>
        <v>1</v>
      </c>
    </row>
    <row r="4942" spans="1:6">
      <c r="A4942" s="30">
        <f t="shared" si="172"/>
        <v>48032</v>
      </c>
      <c r="B4942" s="32" t="s">
        <v>199</v>
      </c>
      <c r="C4942" t="s">
        <v>6</v>
      </c>
      <c r="D4942">
        <f t="shared" si="173"/>
        <v>1</v>
      </c>
      <c r="E4942">
        <f t="shared" si="174"/>
        <v>1</v>
      </c>
      <c r="F4942">
        <f t="shared" si="175"/>
        <v>1</v>
      </c>
    </row>
    <row r="4943" spans="1:6">
      <c r="A4943" s="30">
        <f t="shared" si="172"/>
        <v>48033</v>
      </c>
      <c r="B4943" s="32" t="s">
        <v>199</v>
      </c>
      <c r="C4943" t="s">
        <v>6</v>
      </c>
      <c r="D4943">
        <f t="shared" si="173"/>
        <v>1</v>
      </c>
      <c r="E4943">
        <f t="shared" si="174"/>
        <v>1</v>
      </c>
      <c r="F4943">
        <f t="shared" si="175"/>
        <v>1</v>
      </c>
    </row>
    <row r="4944" spans="1:6">
      <c r="A4944" s="30">
        <f t="shared" si="172"/>
        <v>48034</v>
      </c>
      <c r="B4944" s="32" t="s">
        <v>199</v>
      </c>
      <c r="C4944" t="s">
        <v>6</v>
      </c>
      <c r="D4944">
        <f t="shared" si="173"/>
        <v>1</v>
      </c>
      <c r="E4944">
        <f t="shared" si="174"/>
        <v>1</v>
      </c>
      <c r="F4944">
        <f t="shared" si="175"/>
        <v>1</v>
      </c>
    </row>
    <row r="4945" spans="1:6">
      <c r="A4945" s="30">
        <f t="shared" si="172"/>
        <v>48035</v>
      </c>
      <c r="B4945" s="32" t="s">
        <v>199</v>
      </c>
      <c r="C4945" t="s">
        <v>6</v>
      </c>
      <c r="D4945">
        <f t="shared" si="173"/>
        <v>1</v>
      </c>
      <c r="E4945">
        <f t="shared" si="174"/>
        <v>1</v>
      </c>
      <c r="F4945">
        <f t="shared" si="175"/>
        <v>1</v>
      </c>
    </row>
    <row r="4946" spans="1:6">
      <c r="A4946" s="30">
        <f t="shared" si="172"/>
        <v>48036</v>
      </c>
      <c r="B4946" s="32" t="s">
        <v>199</v>
      </c>
      <c r="C4946" t="s">
        <v>6</v>
      </c>
      <c r="D4946">
        <f t="shared" si="173"/>
        <v>1</v>
      </c>
      <c r="E4946">
        <f t="shared" si="174"/>
        <v>1</v>
      </c>
      <c r="F4946">
        <f t="shared" si="175"/>
        <v>1</v>
      </c>
    </row>
    <row r="4947" spans="1:6">
      <c r="A4947" s="30">
        <f t="shared" ref="A4947:A5000" si="176">A4946+1</f>
        <v>48037</v>
      </c>
      <c r="B4947" s="32" t="s">
        <v>199</v>
      </c>
      <c r="C4947" t="s">
        <v>6</v>
      </c>
      <c r="D4947">
        <f t="shared" ref="D4947:D5000" si="177">IF(B4947=$AB$2,$AC$2,$AC$3)</f>
        <v>1</v>
      </c>
      <c r="E4947">
        <f t="shared" ref="E4947:E5000" si="178">IF(ISBLANK(C4947),0,VLOOKUP(C4947,$AE$2:$AF$7,2,0))</f>
        <v>1</v>
      </c>
      <c r="F4947">
        <f t="shared" ref="F4947:F5000" si="179">D4947*E4947</f>
        <v>1</v>
      </c>
    </row>
    <row r="4948" spans="1:6">
      <c r="A4948" s="30">
        <f t="shared" si="176"/>
        <v>48038</v>
      </c>
      <c r="B4948" s="32" t="s">
        <v>199</v>
      </c>
      <c r="C4948" t="s">
        <v>6</v>
      </c>
      <c r="D4948">
        <f t="shared" si="177"/>
        <v>1</v>
      </c>
      <c r="E4948">
        <f t="shared" si="178"/>
        <v>1</v>
      </c>
      <c r="F4948">
        <f t="shared" si="179"/>
        <v>1</v>
      </c>
    </row>
    <row r="4949" spans="1:6">
      <c r="A4949" s="30">
        <f t="shared" si="176"/>
        <v>48039</v>
      </c>
      <c r="B4949" s="32" t="s">
        <v>199</v>
      </c>
      <c r="C4949" t="s">
        <v>6</v>
      </c>
      <c r="D4949">
        <f t="shared" si="177"/>
        <v>1</v>
      </c>
      <c r="E4949">
        <f t="shared" si="178"/>
        <v>1</v>
      </c>
      <c r="F4949">
        <f t="shared" si="179"/>
        <v>1</v>
      </c>
    </row>
    <row r="4950" spans="1:6">
      <c r="A4950" s="30">
        <f t="shared" si="176"/>
        <v>48040</v>
      </c>
      <c r="B4950" s="32" t="s">
        <v>199</v>
      </c>
      <c r="C4950" t="s">
        <v>6</v>
      </c>
      <c r="D4950">
        <f t="shared" si="177"/>
        <v>1</v>
      </c>
      <c r="E4950">
        <f t="shared" si="178"/>
        <v>1</v>
      </c>
      <c r="F4950">
        <f t="shared" si="179"/>
        <v>1</v>
      </c>
    </row>
    <row r="4951" spans="1:6">
      <c r="A4951" s="30">
        <f t="shared" si="176"/>
        <v>48041</v>
      </c>
      <c r="B4951" s="32" t="s">
        <v>199</v>
      </c>
      <c r="C4951" t="s">
        <v>6</v>
      </c>
      <c r="D4951">
        <f t="shared" si="177"/>
        <v>1</v>
      </c>
      <c r="E4951">
        <f t="shared" si="178"/>
        <v>1</v>
      </c>
      <c r="F4951">
        <f t="shared" si="179"/>
        <v>1</v>
      </c>
    </row>
    <row r="4952" spans="1:6">
      <c r="A4952" s="30">
        <f t="shared" si="176"/>
        <v>48042</v>
      </c>
      <c r="B4952" s="32" t="s">
        <v>199</v>
      </c>
      <c r="C4952" t="s">
        <v>6</v>
      </c>
      <c r="D4952">
        <f t="shared" si="177"/>
        <v>1</v>
      </c>
      <c r="E4952">
        <f t="shared" si="178"/>
        <v>1</v>
      </c>
      <c r="F4952">
        <f t="shared" si="179"/>
        <v>1</v>
      </c>
    </row>
    <row r="4953" spans="1:6">
      <c r="A4953" s="30">
        <f t="shared" si="176"/>
        <v>48043</v>
      </c>
      <c r="B4953" s="32" t="s">
        <v>199</v>
      </c>
      <c r="C4953" t="s">
        <v>6</v>
      </c>
      <c r="D4953">
        <f t="shared" si="177"/>
        <v>1</v>
      </c>
      <c r="E4953">
        <f t="shared" si="178"/>
        <v>1</v>
      </c>
      <c r="F4953">
        <f t="shared" si="179"/>
        <v>1</v>
      </c>
    </row>
    <row r="4954" spans="1:6">
      <c r="A4954" s="30">
        <f t="shared" si="176"/>
        <v>48044</v>
      </c>
      <c r="B4954" s="32" t="s">
        <v>199</v>
      </c>
      <c r="C4954" t="s">
        <v>6</v>
      </c>
      <c r="D4954">
        <f t="shared" si="177"/>
        <v>1</v>
      </c>
      <c r="E4954">
        <f t="shared" si="178"/>
        <v>1</v>
      </c>
      <c r="F4954">
        <f t="shared" si="179"/>
        <v>1</v>
      </c>
    </row>
    <row r="4955" spans="1:6">
      <c r="A4955" s="30">
        <f t="shared" si="176"/>
        <v>48045</v>
      </c>
      <c r="B4955" s="32" t="s">
        <v>199</v>
      </c>
      <c r="C4955" t="s">
        <v>6</v>
      </c>
      <c r="D4955">
        <f t="shared" si="177"/>
        <v>1</v>
      </c>
      <c r="E4955">
        <f t="shared" si="178"/>
        <v>1</v>
      </c>
      <c r="F4955">
        <f t="shared" si="179"/>
        <v>1</v>
      </c>
    </row>
    <row r="4956" spans="1:6">
      <c r="A4956" s="30">
        <f t="shared" si="176"/>
        <v>48046</v>
      </c>
      <c r="B4956" s="32" t="s">
        <v>199</v>
      </c>
      <c r="C4956" t="s">
        <v>6</v>
      </c>
      <c r="D4956">
        <f t="shared" si="177"/>
        <v>1</v>
      </c>
      <c r="E4956">
        <f t="shared" si="178"/>
        <v>1</v>
      </c>
      <c r="F4956">
        <f t="shared" si="179"/>
        <v>1</v>
      </c>
    </row>
    <row r="4957" spans="1:6">
      <c r="A4957" s="30">
        <f t="shared" si="176"/>
        <v>48047</v>
      </c>
      <c r="B4957" s="32" t="s">
        <v>199</v>
      </c>
      <c r="C4957" t="s">
        <v>6</v>
      </c>
      <c r="D4957">
        <f t="shared" si="177"/>
        <v>1</v>
      </c>
      <c r="E4957">
        <f t="shared" si="178"/>
        <v>1</v>
      </c>
      <c r="F4957">
        <f t="shared" si="179"/>
        <v>1</v>
      </c>
    </row>
    <row r="4958" spans="1:6">
      <c r="A4958" s="30">
        <f t="shared" si="176"/>
        <v>48048</v>
      </c>
      <c r="B4958" s="32" t="s">
        <v>199</v>
      </c>
      <c r="C4958" t="s">
        <v>6</v>
      </c>
      <c r="D4958">
        <f t="shared" si="177"/>
        <v>1</v>
      </c>
      <c r="E4958">
        <f t="shared" si="178"/>
        <v>1</v>
      </c>
      <c r="F4958">
        <f t="shared" si="179"/>
        <v>1</v>
      </c>
    </row>
    <row r="4959" spans="1:6">
      <c r="A4959" s="30">
        <f t="shared" si="176"/>
        <v>48049</v>
      </c>
      <c r="B4959" s="32" t="s">
        <v>199</v>
      </c>
      <c r="C4959" t="s">
        <v>6</v>
      </c>
      <c r="D4959">
        <f t="shared" si="177"/>
        <v>1</v>
      </c>
      <c r="E4959">
        <f t="shared" si="178"/>
        <v>1</v>
      </c>
      <c r="F4959">
        <f t="shared" si="179"/>
        <v>1</v>
      </c>
    </row>
    <row r="4960" spans="1:6">
      <c r="A4960" s="30">
        <f t="shared" si="176"/>
        <v>48050</v>
      </c>
      <c r="B4960" s="32" t="s">
        <v>199</v>
      </c>
      <c r="C4960" t="s">
        <v>6</v>
      </c>
      <c r="D4960">
        <f t="shared" si="177"/>
        <v>1</v>
      </c>
      <c r="E4960">
        <f t="shared" si="178"/>
        <v>1</v>
      </c>
      <c r="F4960">
        <f t="shared" si="179"/>
        <v>1</v>
      </c>
    </row>
    <row r="4961" spans="1:6">
      <c r="A4961" s="30">
        <f t="shared" si="176"/>
        <v>48051</v>
      </c>
      <c r="B4961" s="32" t="s">
        <v>199</v>
      </c>
      <c r="C4961" t="s">
        <v>6</v>
      </c>
      <c r="D4961">
        <f t="shared" si="177"/>
        <v>1</v>
      </c>
      <c r="E4961">
        <f t="shared" si="178"/>
        <v>1</v>
      </c>
      <c r="F4961">
        <f t="shared" si="179"/>
        <v>1</v>
      </c>
    </row>
    <row r="4962" spans="1:6">
      <c r="A4962" s="30">
        <f t="shared" si="176"/>
        <v>48052</v>
      </c>
      <c r="B4962" s="32" t="s">
        <v>199</v>
      </c>
      <c r="C4962" t="s">
        <v>6</v>
      </c>
      <c r="D4962">
        <f t="shared" si="177"/>
        <v>1</v>
      </c>
      <c r="E4962">
        <f t="shared" si="178"/>
        <v>1</v>
      </c>
      <c r="F4962">
        <f t="shared" si="179"/>
        <v>1</v>
      </c>
    </row>
    <row r="4963" spans="1:6">
      <c r="A4963" s="30">
        <f t="shared" si="176"/>
        <v>48053</v>
      </c>
      <c r="B4963" s="32" t="s">
        <v>199</v>
      </c>
      <c r="C4963" t="s">
        <v>6</v>
      </c>
      <c r="D4963">
        <f t="shared" si="177"/>
        <v>1</v>
      </c>
      <c r="E4963">
        <f t="shared" si="178"/>
        <v>1</v>
      </c>
      <c r="F4963">
        <f t="shared" si="179"/>
        <v>1</v>
      </c>
    </row>
    <row r="4964" spans="1:6">
      <c r="A4964" s="30">
        <f t="shared" si="176"/>
        <v>48054</v>
      </c>
      <c r="B4964" s="32" t="s">
        <v>199</v>
      </c>
      <c r="C4964" t="s">
        <v>6</v>
      </c>
      <c r="D4964">
        <f t="shared" si="177"/>
        <v>1</v>
      </c>
      <c r="E4964">
        <f t="shared" si="178"/>
        <v>1</v>
      </c>
      <c r="F4964">
        <f t="shared" si="179"/>
        <v>1</v>
      </c>
    </row>
    <row r="4965" spans="1:6">
      <c r="A4965" s="30">
        <f t="shared" si="176"/>
        <v>48055</v>
      </c>
      <c r="B4965" s="32" t="s">
        <v>199</v>
      </c>
      <c r="C4965" t="s">
        <v>6</v>
      </c>
      <c r="D4965">
        <f t="shared" si="177"/>
        <v>1</v>
      </c>
      <c r="E4965">
        <f t="shared" si="178"/>
        <v>1</v>
      </c>
      <c r="F4965">
        <f t="shared" si="179"/>
        <v>1</v>
      </c>
    </row>
    <row r="4966" spans="1:6">
      <c r="A4966" s="30">
        <f t="shared" si="176"/>
        <v>48056</v>
      </c>
      <c r="B4966" s="32" t="s">
        <v>199</v>
      </c>
      <c r="C4966" t="s">
        <v>6</v>
      </c>
      <c r="D4966">
        <f t="shared" si="177"/>
        <v>1</v>
      </c>
      <c r="E4966">
        <f t="shared" si="178"/>
        <v>1</v>
      </c>
      <c r="F4966">
        <f t="shared" si="179"/>
        <v>1</v>
      </c>
    </row>
    <row r="4967" spans="1:6">
      <c r="A4967" s="30">
        <f t="shared" si="176"/>
        <v>48057</v>
      </c>
      <c r="B4967" s="32" t="s">
        <v>199</v>
      </c>
      <c r="C4967" t="s">
        <v>6</v>
      </c>
      <c r="D4967">
        <f t="shared" si="177"/>
        <v>1</v>
      </c>
      <c r="E4967">
        <f t="shared" si="178"/>
        <v>1</v>
      </c>
      <c r="F4967">
        <f t="shared" si="179"/>
        <v>1</v>
      </c>
    </row>
    <row r="4968" spans="1:6">
      <c r="A4968" s="30">
        <f t="shared" si="176"/>
        <v>48058</v>
      </c>
      <c r="B4968" s="32" t="s">
        <v>199</v>
      </c>
      <c r="C4968" t="s">
        <v>6</v>
      </c>
      <c r="D4968">
        <f t="shared" si="177"/>
        <v>1</v>
      </c>
      <c r="E4968">
        <f t="shared" si="178"/>
        <v>1</v>
      </c>
      <c r="F4968">
        <f t="shared" si="179"/>
        <v>1</v>
      </c>
    </row>
    <row r="4969" spans="1:6">
      <c r="A4969" s="30">
        <f t="shared" si="176"/>
        <v>48059</v>
      </c>
      <c r="B4969" s="32" t="s">
        <v>199</v>
      </c>
      <c r="C4969" t="s">
        <v>6</v>
      </c>
      <c r="D4969">
        <f t="shared" si="177"/>
        <v>1</v>
      </c>
      <c r="E4969">
        <f t="shared" si="178"/>
        <v>1</v>
      </c>
      <c r="F4969">
        <f t="shared" si="179"/>
        <v>1</v>
      </c>
    </row>
    <row r="4970" spans="1:6">
      <c r="A4970" s="30">
        <f t="shared" si="176"/>
        <v>48060</v>
      </c>
      <c r="B4970" s="32" t="s">
        <v>199</v>
      </c>
      <c r="C4970" t="s">
        <v>6</v>
      </c>
      <c r="D4970">
        <f t="shared" si="177"/>
        <v>1</v>
      </c>
      <c r="E4970">
        <f t="shared" si="178"/>
        <v>1</v>
      </c>
      <c r="F4970">
        <f t="shared" si="179"/>
        <v>1</v>
      </c>
    </row>
    <row r="4971" spans="1:6">
      <c r="A4971" s="30">
        <f t="shared" si="176"/>
        <v>48061</v>
      </c>
      <c r="B4971" s="32" t="s">
        <v>199</v>
      </c>
      <c r="C4971" t="s">
        <v>6</v>
      </c>
      <c r="D4971">
        <f t="shared" si="177"/>
        <v>1</v>
      </c>
      <c r="E4971">
        <f t="shared" si="178"/>
        <v>1</v>
      </c>
      <c r="F4971">
        <f t="shared" si="179"/>
        <v>1</v>
      </c>
    </row>
    <row r="4972" spans="1:6">
      <c r="A4972" s="30">
        <f t="shared" si="176"/>
        <v>48062</v>
      </c>
      <c r="B4972" s="32" t="s">
        <v>199</v>
      </c>
      <c r="C4972" t="s">
        <v>6</v>
      </c>
      <c r="D4972">
        <f t="shared" si="177"/>
        <v>1</v>
      </c>
      <c r="E4972">
        <f t="shared" si="178"/>
        <v>1</v>
      </c>
      <c r="F4972">
        <f t="shared" si="179"/>
        <v>1</v>
      </c>
    </row>
    <row r="4973" spans="1:6">
      <c r="A4973" s="30">
        <f t="shared" si="176"/>
        <v>48063</v>
      </c>
      <c r="B4973" s="32" t="s">
        <v>199</v>
      </c>
      <c r="C4973" t="s">
        <v>6</v>
      </c>
      <c r="D4973">
        <f t="shared" si="177"/>
        <v>1</v>
      </c>
      <c r="E4973">
        <f t="shared" si="178"/>
        <v>1</v>
      </c>
      <c r="F4973">
        <f t="shared" si="179"/>
        <v>1</v>
      </c>
    </row>
    <row r="4974" spans="1:6">
      <c r="A4974" s="30">
        <f t="shared" si="176"/>
        <v>48064</v>
      </c>
      <c r="B4974" s="32" t="s">
        <v>199</v>
      </c>
      <c r="C4974" t="s">
        <v>6</v>
      </c>
      <c r="D4974">
        <f t="shared" si="177"/>
        <v>1</v>
      </c>
      <c r="E4974">
        <f t="shared" si="178"/>
        <v>1</v>
      </c>
      <c r="F4974">
        <f t="shared" si="179"/>
        <v>1</v>
      </c>
    </row>
    <row r="4975" spans="1:6">
      <c r="A4975" s="30">
        <f t="shared" si="176"/>
        <v>48065</v>
      </c>
      <c r="B4975" s="32" t="s">
        <v>199</v>
      </c>
      <c r="C4975" t="s">
        <v>6</v>
      </c>
      <c r="D4975">
        <f t="shared" si="177"/>
        <v>1</v>
      </c>
      <c r="E4975">
        <f t="shared" si="178"/>
        <v>1</v>
      </c>
      <c r="F4975">
        <f t="shared" si="179"/>
        <v>1</v>
      </c>
    </row>
    <row r="4976" spans="1:6">
      <c r="A4976" s="30">
        <f t="shared" si="176"/>
        <v>48066</v>
      </c>
      <c r="B4976" s="32" t="s">
        <v>199</v>
      </c>
      <c r="C4976" t="s">
        <v>6</v>
      </c>
      <c r="D4976">
        <f t="shared" si="177"/>
        <v>1</v>
      </c>
      <c r="E4976">
        <f t="shared" si="178"/>
        <v>1</v>
      </c>
      <c r="F4976">
        <f t="shared" si="179"/>
        <v>1</v>
      </c>
    </row>
    <row r="4977" spans="1:6">
      <c r="A4977" s="30">
        <f t="shared" si="176"/>
        <v>48067</v>
      </c>
      <c r="B4977" s="32" t="s">
        <v>199</v>
      </c>
      <c r="C4977" t="s">
        <v>6</v>
      </c>
      <c r="D4977">
        <f t="shared" si="177"/>
        <v>1</v>
      </c>
      <c r="E4977">
        <f t="shared" si="178"/>
        <v>1</v>
      </c>
      <c r="F4977">
        <f t="shared" si="179"/>
        <v>1</v>
      </c>
    </row>
    <row r="4978" spans="1:6">
      <c r="A4978" s="30">
        <f t="shared" si="176"/>
        <v>48068</v>
      </c>
      <c r="B4978" s="32" t="s">
        <v>199</v>
      </c>
      <c r="C4978" t="s">
        <v>6</v>
      </c>
      <c r="D4978">
        <f t="shared" si="177"/>
        <v>1</v>
      </c>
      <c r="E4978">
        <f t="shared" si="178"/>
        <v>1</v>
      </c>
      <c r="F4978">
        <f t="shared" si="179"/>
        <v>1</v>
      </c>
    </row>
    <row r="4979" spans="1:6">
      <c r="A4979" s="30">
        <f t="shared" si="176"/>
        <v>48069</v>
      </c>
      <c r="B4979" s="32" t="s">
        <v>199</v>
      </c>
      <c r="C4979" t="s">
        <v>6</v>
      </c>
      <c r="D4979">
        <f t="shared" si="177"/>
        <v>1</v>
      </c>
      <c r="E4979">
        <f t="shared" si="178"/>
        <v>1</v>
      </c>
      <c r="F4979">
        <f t="shared" si="179"/>
        <v>1</v>
      </c>
    </row>
    <row r="4980" spans="1:6">
      <c r="A4980" s="30">
        <f t="shared" si="176"/>
        <v>48070</v>
      </c>
      <c r="B4980" s="32" t="s">
        <v>199</v>
      </c>
      <c r="C4980" t="s">
        <v>6</v>
      </c>
      <c r="D4980">
        <f t="shared" si="177"/>
        <v>1</v>
      </c>
      <c r="E4980">
        <f t="shared" si="178"/>
        <v>1</v>
      </c>
      <c r="F4980">
        <f t="shared" si="179"/>
        <v>1</v>
      </c>
    </row>
    <row r="4981" spans="1:6">
      <c r="A4981" s="30">
        <f t="shared" si="176"/>
        <v>48071</v>
      </c>
      <c r="B4981" s="32" t="s">
        <v>199</v>
      </c>
      <c r="C4981" t="s">
        <v>6</v>
      </c>
      <c r="D4981">
        <f t="shared" si="177"/>
        <v>1</v>
      </c>
      <c r="E4981">
        <f t="shared" si="178"/>
        <v>1</v>
      </c>
      <c r="F4981">
        <f t="shared" si="179"/>
        <v>1</v>
      </c>
    </row>
    <row r="4982" spans="1:6">
      <c r="A4982" s="30">
        <f t="shared" si="176"/>
        <v>48072</v>
      </c>
      <c r="B4982" s="32" t="s">
        <v>199</v>
      </c>
      <c r="C4982" t="s">
        <v>6</v>
      </c>
      <c r="D4982">
        <f t="shared" si="177"/>
        <v>1</v>
      </c>
      <c r="E4982">
        <f t="shared" si="178"/>
        <v>1</v>
      </c>
      <c r="F4982">
        <f t="shared" si="179"/>
        <v>1</v>
      </c>
    </row>
    <row r="4983" spans="1:6">
      <c r="A4983" s="30">
        <f t="shared" si="176"/>
        <v>48073</v>
      </c>
      <c r="B4983" s="32" t="s">
        <v>199</v>
      </c>
      <c r="C4983" t="s">
        <v>6</v>
      </c>
      <c r="D4983">
        <f t="shared" si="177"/>
        <v>1</v>
      </c>
      <c r="E4983">
        <f t="shared" si="178"/>
        <v>1</v>
      </c>
      <c r="F4983">
        <f t="shared" si="179"/>
        <v>1</v>
      </c>
    </row>
    <row r="4984" spans="1:6">
      <c r="A4984" s="30">
        <f t="shared" si="176"/>
        <v>48074</v>
      </c>
      <c r="B4984" s="32" t="s">
        <v>199</v>
      </c>
      <c r="C4984" t="s">
        <v>6</v>
      </c>
      <c r="D4984">
        <f t="shared" si="177"/>
        <v>1</v>
      </c>
      <c r="E4984">
        <f t="shared" si="178"/>
        <v>1</v>
      </c>
      <c r="F4984">
        <f t="shared" si="179"/>
        <v>1</v>
      </c>
    </row>
    <row r="4985" spans="1:6">
      <c r="A4985" s="30">
        <f t="shared" si="176"/>
        <v>48075</v>
      </c>
      <c r="B4985" s="32" t="s">
        <v>199</v>
      </c>
      <c r="C4985" t="s">
        <v>6</v>
      </c>
      <c r="D4985">
        <f t="shared" si="177"/>
        <v>1</v>
      </c>
      <c r="E4985">
        <f t="shared" si="178"/>
        <v>1</v>
      </c>
      <c r="F4985">
        <f t="shared" si="179"/>
        <v>1</v>
      </c>
    </row>
    <row r="4986" spans="1:6">
      <c r="A4986" s="30">
        <f t="shared" si="176"/>
        <v>48076</v>
      </c>
      <c r="B4986" s="32" t="s">
        <v>199</v>
      </c>
      <c r="C4986" t="s">
        <v>6</v>
      </c>
      <c r="D4986">
        <f t="shared" si="177"/>
        <v>1</v>
      </c>
      <c r="E4986">
        <f t="shared" si="178"/>
        <v>1</v>
      </c>
      <c r="F4986">
        <f t="shared" si="179"/>
        <v>1</v>
      </c>
    </row>
    <row r="4987" spans="1:6">
      <c r="A4987" s="30">
        <f t="shared" si="176"/>
        <v>48077</v>
      </c>
      <c r="B4987" s="32" t="s">
        <v>199</v>
      </c>
      <c r="C4987" t="s">
        <v>6</v>
      </c>
      <c r="D4987">
        <f t="shared" si="177"/>
        <v>1</v>
      </c>
      <c r="E4987">
        <f t="shared" si="178"/>
        <v>1</v>
      </c>
      <c r="F4987">
        <f t="shared" si="179"/>
        <v>1</v>
      </c>
    </row>
    <row r="4988" spans="1:6">
      <c r="A4988" s="30">
        <f t="shared" si="176"/>
        <v>48078</v>
      </c>
      <c r="B4988" s="32" t="s">
        <v>199</v>
      </c>
      <c r="C4988" t="s">
        <v>6</v>
      </c>
      <c r="D4988">
        <f t="shared" si="177"/>
        <v>1</v>
      </c>
      <c r="E4988">
        <f t="shared" si="178"/>
        <v>1</v>
      </c>
      <c r="F4988">
        <f t="shared" si="179"/>
        <v>1</v>
      </c>
    </row>
    <row r="4989" spans="1:6">
      <c r="A4989" s="30">
        <f t="shared" si="176"/>
        <v>48079</v>
      </c>
      <c r="B4989" s="32" t="s">
        <v>199</v>
      </c>
      <c r="C4989" t="s">
        <v>6</v>
      </c>
      <c r="D4989">
        <f t="shared" si="177"/>
        <v>1</v>
      </c>
      <c r="E4989">
        <f t="shared" si="178"/>
        <v>1</v>
      </c>
      <c r="F4989">
        <f t="shared" si="179"/>
        <v>1</v>
      </c>
    </row>
    <row r="4990" spans="1:6">
      <c r="A4990" s="30">
        <f t="shared" si="176"/>
        <v>48080</v>
      </c>
      <c r="B4990" s="32" t="s">
        <v>199</v>
      </c>
      <c r="C4990" t="s">
        <v>6</v>
      </c>
      <c r="D4990">
        <f t="shared" si="177"/>
        <v>1</v>
      </c>
      <c r="E4990">
        <f t="shared" si="178"/>
        <v>1</v>
      </c>
      <c r="F4990">
        <f t="shared" si="179"/>
        <v>1</v>
      </c>
    </row>
    <row r="4991" spans="1:6">
      <c r="A4991" s="30">
        <f t="shared" si="176"/>
        <v>48081</v>
      </c>
      <c r="B4991" s="32" t="s">
        <v>199</v>
      </c>
      <c r="C4991" t="s">
        <v>6</v>
      </c>
      <c r="D4991">
        <f t="shared" si="177"/>
        <v>1</v>
      </c>
      <c r="E4991">
        <f t="shared" si="178"/>
        <v>1</v>
      </c>
      <c r="F4991">
        <f t="shared" si="179"/>
        <v>1</v>
      </c>
    </row>
    <row r="4992" spans="1:6">
      <c r="A4992" s="30">
        <f t="shared" si="176"/>
        <v>48082</v>
      </c>
      <c r="B4992" s="32" t="s">
        <v>199</v>
      </c>
      <c r="C4992" t="s">
        <v>6</v>
      </c>
      <c r="D4992">
        <f t="shared" si="177"/>
        <v>1</v>
      </c>
      <c r="E4992">
        <f t="shared" si="178"/>
        <v>1</v>
      </c>
      <c r="F4992">
        <f t="shared" si="179"/>
        <v>1</v>
      </c>
    </row>
    <row r="4993" spans="1:6">
      <c r="A4993" s="30">
        <f t="shared" si="176"/>
        <v>48083</v>
      </c>
      <c r="B4993" s="32" t="s">
        <v>199</v>
      </c>
      <c r="C4993" t="s">
        <v>6</v>
      </c>
      <c r="D4993">
        <f t="shared" si="177"/>
        <v>1</v>
      </c>
      <c r="E4993">
        <f t="shared" si="178"/>
        <v>1</v>
      </c>
      <c r="F4993">
        <f t="shared" si="179"/>
        <v>1</v>
      </c>
    </row>
    <row r="4994" spans="1:6">
      <c r="A4994" s="30">
        <f t="shared" si="176"/>
        <v>48084</v>
      </c>
      <c r="B4994" s="32" t="s">
        <v>199</v>
      </c>
      <c r="C4994" t="s">
        <v>6</v>
      </c>
      <c r="D4994">
        <f t="shared" si="177"/>
        <v>1</v>
      </c>
      <c r="E4994">
        <f t="shared" si="178"/>
        <v>1</v>
      </c>
      <c r="F4994">
        <f t="shared" si="179"/>
        <v>1</v>
      </c>
    </row>
    <row r="4995" spans="1:6">
      <c r="A4995" s="30">
        <f t="shared" si="176"/>
        <v>48085</v>
      </c>
      <c r="B4995" s="32" t="s">
        <v>199</v>
      </c>
      <c r="C4995" t="s">
        <v>6</v>
      </c>
      <c r="D4995">
        <f t="shared" si="177"/>
        <v>1</v>
      </c>
      <c r="E4995">
        <f t="shared" si="178"/>
        <v>1</v>
      </c>
      <c r="F4995">
        <f t="shared" si="179"/>
        <v>1</v>
      </c>
    </row>
    <row r="4996" spans="1:6">
      <c r="A4996" s="30">
        <f t="shared" si="176"/>
        <v>48086</v>
      </c>
      <c r="B4996" s="32" t="s">
        <v>199</v>
      </c>
      <c r="C4996" t="s">
        <v>6</v>
      </c>
      <c r="D4996">
        <f t="shared" si="177"/>
        <v>1</v>
      </c>
      <c r="E4996">
        <f t="shared" si="178"/>
        <v>1</v>
      </c>
      <c r="F4996">
        <f t="shared" si="179"/>
        <v>1</v>
      </c>
    </row>
    <row r="4997" spans="1:6">
      <c r="A4997" s="30">
        <f t="shared" si="176"/>
        <v>48087</v>
      </c>
      <c r="B4997" s="32" t="s">
        <v>199</v>
      </c>
      <c r="C4997" t="s">
        <v>6</v>
      </c>
      <c r="D4997">
        <f t="shared" si="177"/>
        <v>1</v>
      </c>
      <c r="E4997">
        <f t="shared" si="178"/>
        <v>1</v>
      </c>
      <c r="F4997">
        <f t="shared" si="179"/>
        <v>1</v>
      </c>
    </row>
    <row r="4998" spans="1:6">
      <c r="A4998" s="30">
        <f t="shared" si="176"/>
        <v>48088</v>
      </c>
      <c r="B4998" s="32" t="s">
        <v>199</v>
      </c>
      <c r="C4998" t="s">
        <v>6</v>
      </c>
      <c r="D4998">
        <f t="shared" si="177"/>
        <v>1</v>
      </c>
      <c r="E4998">
        <f t="shared" si="178"/>
        <v>1</v>
      </c>
      <c r="F4998">
        <f t="shared" si="179"/>
        <v>1</v>
      </c>
    </row>
    <row r="4999" spans="1:6">
      <c r="A4999" s="30">
        <f t="shared" si="176"/>
        <v>48089</v>
      </c>
      <c r="B4999" s="32" t="s">
        <v>199</v>
      </c>
      <c r="C4999" t="s">
        <v>6</v>
      </c>
      <c r="D4999">
        <f t="shared" si="177"/>
        <v>1</v>
      </c>
      <c r="E4999">
        <f t="shared" si="178"/>
        <v>1</v>
      </c>
      <c r="F4999">
        <f t="shared" si="179"/>
        <v>1</v>
      </c>
    </row>
    <row r="5000" spans="1:6">
      <c r="A5000" s="30">
        <f t="shared" si="176"/>
        <v>48090</v>
      </c>
      <c r="B5000" s="32" t="s">
        <v>199</v>
      </c>
      <c r="C5000" t="s">
        <v>6</v>
      </c>
      <c r="D5000">
        <f t="shared" si="177"/>
        <v>1</v>
      </c>
      <c r="E5000">
        <f t="shared" si="178"/>
        <v>1</v>
      </c>
      <c r="F5000">
        <f t="shared" si="179"/>
        <v>1</v>
      </c>
    </row>
  </sheetData>
  <conditionalFormatting sqref="A2:A5000">
    <cfRule type="cellIs" dxfId="2" priority="2" operator="equal">
      <formula>TODAY()</formula>
    </cfRule>
  </conditionalFormatting>
  <conditionalFormatting sqref="I2">
    <cfRule type="cellIs" dxfId="1" priority="1" operator="equal">
      <formula>TODAY()</formula>
    </cfRule>
  </conditionalFormatting>
  <dataValidations count="2">
    <dataValidation type="list" allowBlank="1" showInputMessage="1" showErrorMessage="1" sqref="B2:B5000" xr:uid="{DF535872-7383-428B-94F1-87E5AD6D4414}">
      <formula1>$AB$2:$AB$3</formula1>
    </dataValidation>
    <dataValidation type="list" allowBlank="1" showInputMessage="1" showErrorMessage="1" sqref="C2:C5000" xr:uid="{C252DAFB-9172-44FD-A0FA-08C6A47D3E41}">
      <formula1>$AE$2:$AE$7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5DD5-7A45-4183-B852-98252B7FB4F6}">
  <dimension ref="A1:Q87"/>
  <sheetViews>
    <sheetView topLeftCell="A54" workbookViewId="0">
      <selection activeCell="B65" sqref="B65"/>
    </sheetView>
  </sheetViews>
  <sheetFormatPr defaultRowHeight="15"/>
  <cols>
    <col min="1" max="1" width="36.5703125" bestFit="1" customWidth="1"/>
    <col min="2" max="2" width="19.7109375" customWidth="1"/>
    <col min="3" max="3" width="29.140625" customWidth="1"/>
    <col min="4" max="4" width="35.7109375" customWidth="1"/>
    <col min="5" max="5" width="122.42578125" bestFit="1" customWidth="1"/>
  </cols>
  <sheetData>
    <row r="1" spans="1:17">
      <c r="A1" s="32" t="s">
        <v>211</v>
      </c>
    </row>
    <row r="2" spans="1:17">
      <c r="A2" s="33">
        <v>1</v>
      </c>
      <c r="B2" s="34">
        <v>43983</v>
      </c>
      <c r="C2" s="34" t="s">
        <v>212</v>
      </c>
      <c r="D2" s="34" t="s">
        <v>213</v>
      </c>
      <c r="E2" s="15" t="s">
        <v>214</v>
      </c>
      <c r="P2" t="s">
        <v>215</v>
      </c>
      <c r="Q2" s="19" t="s">
        <v>216</v>
      </c>
    </row>
    <row r="3" spans="1:17">
      <c r="A3" s="33">
        <f>A2+1</f>
        <v>2</v>
      </c>
      <c r="B3" s="34">
        <v>44409</v>
      </c>
      <c r="C3" s="34" t="s">
        <v>217</v>
      </c>
      <c r="D3" s="34" t="s">
        <v>218</v>
      </c>
      <c r="E3" s="15" t="s">
        <v>219</v>
      </c>
    </row>
    <row r="4" spans="1:17">
      <c r="A4" s="33">
        <f>A3+1</f>
        <v>3</v>
      </c>
      <c r="B4" s="34">
        <v>45372</v>
      </c>
      <c r="C4" s="34" t="s">
        <v>220</v>
      </c>
      <c r="D4" s="34" t="s">
        <v>213</v>
      </c>
      <c r="E4" s="15" t="s">
        <v>221</v>
      </c>
      <c r="Q4" s="19" t="s">
        <v>222</v>
      </c>
    </row>
    <row r="5" spans="1:17">
      <c r="A5" s="33">
        <f t="shared" ref="A5:A7" si="0">A4+1</f>
        <v>4</v>
      </c>
      <c r="B5" s="34">
        <v>45573</v>
      </c>
      <c r="C5" s="34" t="s">
        <v>223</v>
      </c>
      <c r="D5" s="34" t="s">
        <v>224</v>
      </c>
      <c r="E5" s="15" t="s">
        <v>225</v>
      </c>
    </row>
    <row r="6" spans="1:17">
      <c r="A6" s="33">
        <f t="shared" si="0"/>
        <v>5</v>
      </c>
      <c r="B6" s="34">
        <v>45582</v>
      </c>
      <c r="C6" s="34" t="s">
        <v>226</v>
      </c>
      <c r="D6" s="34" t="s">
        <v>224</v>
      </c>
      <c r="E6" s="15" t="s">
        <v>227</v>
      </c>
    </row>
    <row r="7" spans="1:17">
      <c r="A7" s="33">
        <f t="shared" si="0"/>
        <v>6</v>
      </c>
      <c r="B7" s="34">
        <v>45689</v>
      </c>
      <c r="C7" s="34" t="s">
        <v>228</v>
      </c>
      <c r="D7" s="34" t="s">
        <v>229</v>
      </c>
      <c r="E7" s="15" t="s">
        <v>230</v>
      </c>
    </row>
    <row r="8" spans="1:17">
      <c r="A8" s="33"/>
      <c r="B8" s="34"/>
      <c r="C8" s="15"/>
      <c r="D8" s="15"/>
      <c r="E8" s="15"/>
    </row>
    <row r="9" spans="1:17">
      <c r="A9" s="33"/>
      <c r="B9" s="15"/>
      <c r="C9" s="15"/>
      <c r="D9" s="15"/>
      <c r="E9" s="15"/>
    </row>
    <row r="10" spans="1:17">
      <c r="A10" s="33"/>
      <c r="B10" s="15"/>
      <c r="C10" s="15"/>
      <c r="D10" s="15"/>
      <c r="E10" s="15"/>
    </row>
    <row r="11" spans="1:17">
      <c r="A11" s="33"/>
      <c r="B11" s="15"/>
      <c r="C11" s="15"/>
      <c r="D11" s="15"/>
      <c r="E11" s="15"/>
    </row>
    <row r="12" spans="1:17">
      <c r="A12" s="32"/>
    </row>
    <row r="13" spans="1:17">
      <c r="A13" s="32" t="s">
        <v>231</v>
      </c>
    </row>
    <row r="14" spans="1:17">
      <c r="A14" s="33">
        <v>1</v>
      </c>
      <c r="B14" s="34">
        <v>43466</v>
      </c>
      <c r="C14" s="15" t="s">
        <v>232</v>
      </c>
      <c r="D14" s="34" t="s">
        <v>213</v>
      </c>
      <c r="E14" s="15" t="s">
        <v>233</v>
      </c>
    </row>
    <row r="15" spans="1:17">
      <c r="A15" s="33">
        <f>A14+1</f>
        <v>2</v>
      </c>
      <c r="B15" s="34">
        <v>43709</v>
      </c>
      <c r="C15" s="15" t="s">
        <v>234</v>
      </c>
      <c r="D15" s="34" t="s">
        <v>213</v>
      </c>
      <c r="E15" s="15" t="s">
        <v>235</v>
      </c>
    </row>
    <row r="16" spans="1:17">
      <c r="A16" s="33"/>
      <c r="B16" s="15"/>
      <c r="C16" s="15"/>
      <c r="D16" s="15"/>
      <c r="E16" s="15"/>
    </row>
    <row r="17" spans="1:5">
      <c r="A17" s="33"/>
      <c r="B17" s="15"/>
      <c r="C17" s="15"/>
      <c r="D17" s="15"/>
      <c r="E17" s="15"/>
    </row>
    <row r="18" spans="1:5">
      <c r="A18" s="33"/>
      <c r="B18" s="15"/>
      <c r="C18" s="15"/>
      <c r="D18" s="15"/>
      <c r="E18" s="15"/>
    </row>
    <row r="19" spans="1:5">
      <c r="A19" s="33"/>
      <c r="B19" s="15"/>
      <c r="C19" s="15"/>
      <c r="D19" s="15"/>
      <c r="E19" s="15"/>
    </row>
    <row r="20" spans="1:5">
      <c r="A20" s="33"/>
      <c r="B20" s="15"/>
      <c r="C20" s="15"/>
      <c r="D20" s="15"/>
      <c r="E20" s="15"/>
    </row>
    <row r="21" spans="1:5">
      <c r="A21" s="33"/>
      <c r="B21" s="15"/>
      <c r="C21" s="15"/>
      <c r="D21" s="15"/>
      <c r="E21" s="15"/>
    </row>
    <row r="22" spans="1:5">
      <c r="A22" s="33"/>
      <c r="B22" s="15"/>
      <c r="C22" s="15"/>
      <c r="D22" s="15"/>
      <c r="E22" s="15"/>
    </row>
    <row r="23" spans="1:5">
      <c r="A23" s="33"/>
      <c r="B23" s="15"/>
      <c r="C23" s="15"/>
      <c r="D23" s="15"/>
      <c r="E23" s="15"/>
    </row>
    <row r="24" spans="1:5">
      <c r="A24" s="33"/>
      <c r="B24" s="15"/>
      <c r="C24" s="15"/>
      <c r="D24" s="15"/>
      <c r="E24" s="15"/>
    </row>
    <row r="25" spans="1:5">
      <c r="A25" s="33"/>
      <c r="B25" s="15"/>
      <c r="C25" s="15"/>
      <c r="D25" s="15"/>
      <c r="E25" s="15"/>
    </row>
    <row r="26" spans="1:5">
      <c r="A26" s="35">
        <f>MAX(A2:A11)+MAX(A14:A24)</f>
        <v>8</v>
      </c>
    </row>
    <row r="27" spans="1:5">
      <c r="A27" s="32"/>
    </row>
    <row r="28" spans="1:5">
      <c r="A28" s="32"/>
    </row>
    <row r="29" spans="1:5">
      <c r="A29" s="32"/>
    </row>
    <row r="30" spans="1:5">
      <c r="A30" s="36" t="s">
        <v>236</v>
      </c>
      <c r="B30" s="15"/>
      <c r="C30" s="15"/>
      <c r="D30" s="15"/>
    </row>
    <row r="31" spans="1:5">
      <c r="A31" s="33"/>
      <c r="B31" s="16" t="s">
        <v>237</v>
      </c>
      <c r="C31" s="15" t="s">
        <v>238</v>
      </c>
      <c r="D31" s="15"/>
    </row>
    <row r="32" spans="1:5">
      <c r="A32" s="33"/>
      <c r="B32" s="16" t="s">
        <v>239</v>
      </c>
      <c r="C32" s="15" t="s">
        <v>240</v>
      </c>
      <c r="D32" s="15"/>
    </row>
    <row r="33" spans="1:4">
      <c r="A33" s="33"/>
      <c r="B33" s="16" t="s">
        <v>241</v>
      </c>
      <c r="C33" s="15"/>
      <c r="D33" s="15"/>
    </row>
    <row r="34" spans="1:4">
      <c r="A34" s="33"/>
      <c r="B34" s="16"/>
      <c r="C34" s="15"/>
      <c r="D34" s="15"/>
    </row>
    <row r="35" spans="1:4">
      <c r="A35" s="33">
        <v>1</v>
      </c>
      <c r="B35" s="34">
        <v>46031</v>
      </c>
      <c r="C35" s="15" t="s">
        <v>242</v>
      </c>
      <c r="D35" s="15" t="s">
        <v>243</v>
      </c>
    </row>
    <row r="36" spans="1:4">
      <c r="A36" s="33">
        <f>A35+1</f>
        <v>2</v>
      </c>
      <c r="B36" s="34">
        <v>46031</v>
      </c>
      <c r="C36" s="15" t="s">
        <v>244</v>
      </c>
      <c r="D36" s="15" t="s">
        <v>245</v>
      </c>
    </row>
    <row r="37" spans="1:4">
      <c r="A37" s="33">
        <f>A36+1</f>
        <v>3</v>
      </c>
      <c r="B37" s="34">
        <v>46031</v>
      </c>
      <c r="C37" s="15" t="s">
        <v>246</v>
      </c>
      <c r="D37" s="15" t="s">
        <v>245</v>
      </c>
    </row>
    <row r="38" spans="1:4">
      <c r="A38" s="33">
        <f>A37+1</f>
        <v>4</v>
      </c>
      <c r="B38" s="34">
        <v>46031</v>
      </c>
      <c r="C38" s="15" t="s">
        <v>247</v>
      </c>
      <c r="D38" s="15" t="s">
        <v>248</v>
      </c>
    </row>
    <row r="39" spans="1:4">
      <c r="A39" s="33"/>
      <c r="B39" s="15"/>
      <c r="C39" s="15"/>
      <c r="D39" s="15"/>
    </row>
    <row r="40" spans="1:4">
      <c r="A40" s="33"/>
      <c r="B40" s="15"/>
      <c r="C40" s="15"/>
      <c r="D40" s="15"/>
    </row>
    <row r="41" spans="1:4">
      <c r="A41" s="33"/>
      <c r="B41" s="15"/>
      <c r="C41" s="15"/>
      <c r="D41" s="15"/>
    </row>
    <row r="42" spans="1:4">
      <c r="A42" s="32"/>
    </row>
    <row r="43" spans="1:4">
      <c r="A43" s="32"/>
    </row>
    <row r="44" spans="1:4">
      <c r="A44" s="32"/>
    </row>
    <row r="45" spans="1:4">
      <c r="A45" s="32"/>
    </row>
    <row r="46" spans="1:4">
      <c r="A46" s="36" t="s">
        <v>249</v>
      </c>
      <c r="B46" s="15"/>
      <c r="C46" s="15"/>
      <c r="D46" s="15"/>
    </row>
    <row r="47" spans="1:4">
      <c r="A47" s="33">
        <v>1</v>
      </c>
      <c r="B47" s="34">
        <v>45658</v>
      </c>
      <c r="C47" s="15" t="s">
        <v>250</v>
      </c>
      <c r="D47" s="15" t="s">
        <v>251</v>
      </c>
    </row>
    <row r="48" spans="1:4">
      <c r="A48" s="33">
        <f>A47+1</f>
        <v>2</v>
      </c>
      <c r="B48" s="34"/>
      <c r="C48" s="15"/>
      <c r="D48" s="15"/>
    </row>
    <row r="49" spans="1:4">
      <c r="A49" s="33"/>
      <c r="B49" s="15"/>
      <c r="C49" s="15"/>
      <c r="D49" s="15"/>
    </row>
    <row r="50" spans="1:4">
      <c r="A50" s="33"/>
      <c r="B50" s="15"/>
      <c r="C50" s="15"/>
      <c r="D50" s="15"/>
    </row>
    <row r="51" spans="1:4">
      <c r="A51" s="33"/>
      <c r="B51" s="15"/>
      <c r="C51" s="15"/>
      <c r="D51" s="15"/>
    </row>
    <row r="52" spans="1:4">
      <c r="A52" s="33"/>
      <c r="B52" s="15"/>
      <c r="C52" s="15"/>
      <c r="D52" s="15"/>
    </row>
    <row r="53" spans="1:4">
      <c r="A53" s="33"/>
      <c r="B53" s="15"/>
      <c r="C53" s="15"/>
      <c r="D53" s="15"/>
    </row>
    <row r="54" spans="1:4">
      <c r="A54" s="33"/>
      <c r="B54" s="15"/>
      <c r="C54" s="15"/>
      <c r="D54" s="15"/>
    </row>
    <row r="55" spans="1:4">
      <c r="A55" s="33"/>
      <c r="B55" s="15"/>
      <c r="C55" s="15"/>
      <c r="D55" s="15"/>
    </row>
    <row r="56" spans="1:4">
      <c r="A56" s="33"/>
      <c r="B56" s="15"/>
      <c r="C56" s="15"/>
      <c r="D56" s="15"/>
    </row>
    <row r="57" spans="1:4">
      <c r="A57" s="32"/>
    </row>
    <row r="64" spans="1:4">
      <c r="A64" t="s">
        <v>252</v>
      </c>
      <c r="B64" s="105" t="s">
        <v>40</v>
      </c>
      <c r="C64" s="105" t="s">
        <v>253</v>
      </c>
      <c r="D64" s="105" t="s">
        <v>254</v>
      </c>
    </row>
    <row r="65" spans="1:4" ht="45.75">
      <c r="A65" s="101" t="s">
        <v>255</v>
      </c>
      <c r="B65" s="104">
        <v>2020</v>
      </c>
      <c r="C65" s="102" t="s">
        <v>256</v>
      </c>
      <c r="D65" s="102" t="s">
        <v>257</v>
      </c>
    </row>
    <row r="66" spans="1:4">
      <c r="B66" s="104">
        <v>2021</v>
      </c>
      <c r="C66" s="102" t="s">
        <v>258</v>
      </c>
      <c r="D66" s="102" t="s">
        <v>259</v>
      </c>
    </row>
    <row r="67" spans="1:4">
      <c r="B67" s="104">
        <v>2022</v>
      </c>
      <c r="C67" s="102" t="s">
        <v>260</v>
      </c>
      <c r="D67" s="102" t="s">
        <v>257</v>
      </c>
    </row>
    <row r="68" spans="1:4" ht="60.75">
      <c r="B68" s="104">
        <v>2023</v>
      </c>
      <c r="C68" s="103" t="s">
        <v>261</v>
      </c>
      <c r="D68" s="102" t="s">
        <v>262</v>
      </c>
    </row>
    <row r="69" spans="1:4" ht="30.75">
      <c r="B69" s="104">
        <v>2024</v>
      </c>
      <c r="C69" s="103" t="s">
        <v>263</v>
      </c>
      <c r="D69" s="102" t="s">
        <v>262</v>
      </c>
    </row>
    <row r="70" spans="1:4">
      <c r="B70" s="104">
        <v>2024</v>
      </c>
      <c r="C70" s="102" t="s">
        <v>264</v>
      </c>
      <c r="D70" s="103" t="s">
        <v>265</v>
      </c>
    </row>
    <row r="71" spans="1:4" ht="45.75">
      <c r="B71" s="104">
        <v>2025</v>
      </c>
      <c r="C71" s="102" t="s">
        <v>266</v>
      </c>
      <c r="D71" s="103" t="s">
        <v>267</v>
      </c>
    </row>
    <row r="72" spans="1:4" ht="30.75">
      <c r="B72" s="104">
        <v>2025</v>
      </c>
      <c r="C72" s="103" t="s">
        <v>268</v>
      </c>
      <c r="D72" s="102" t="s">
        <v>269</v>
      </c>
    </row>
    <row r="73" spans="1:4" ht="45.75">
      <c r="B73" s="32">
        <v>2026</v>
      </c>
      <c r="C73" t="s">
        <v>270</v>
      </c>
      <c r="D73" s="101" t="s">
        <v>271</v>
      </c>
    </row>
    <row r="74" spans="1:4" ht="30.75">
      <c r="B74" s="32">
        <v>2026</v>
      </c>
      <c r="C74" t="s">
        <v>272</v>
      </c>
      <c r="D74" s="101" t="s">
        <v>273</v>
      </c>
    </row>
    <row r="75" spans="1:4">
      <c r="B75" s="32"/>
    </row>
    <row r="76" spans="1:4">
      <c r="B76" s="32"/>
    </row>
    <row r="77" spans="1:4">
      <c r="B77" s="32"/>
    </row>
    <row r="78" spans="1:4">
      <c r="B78" s="32"/>
    </row>
    <row r="79" spans="1:4">
      <c r="B79" s="32"/>
    </row>
    <row r="80" spans="1:4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</sheetData>
  <hyperlinks>
    <hyperlink ref="Q2" r:id="rId1" xr:uid="{205DC4ED-DF36-4661-9530-A4CBE2013D33}"/>
    <hyperlink ref="Q4" r:id="rId2" xr:uid="{3111735B-BFFE-42DF-8532-B516FF5F0852}"/>
  </hyperlinks>
  <pageMargins left="0.7" right="0.7" top="0.75" bottom="0.75" header="0.3" footer="0.3"/>
  <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9836-BA3B-420F-B3C8-2F805A2ED7A5}">
  <dimension ref="A1:W29"/>
  <sheetViews>
    <sheetView topLeftCell="M8" workbookViewId="0">
      <selection activeCell="S2" sqref="S2"/>
    </sheetView>
  </sheetViews>
  <sheetFormatPr defaultRowHeight="15"/>
  <cols>
    <col min="19" max="19" width="30" style="14" customWidth="1"/>
  </cols>
  <sheetData>
    <row r="1" spans="1:23">
      <c r="A1" t="s">
        <v>40</v>
      </c>
      <c r="I1" t="s">
        <v>274</v>
      </c>
      <c r="S1" s="16" t="s">
        <v>275</v>
      </c>
      <c r="T1" s="15" t="s">
        <v>276</v>
      </c>
      <c r="U1" s="15" t="s">
        <v>277</v>
      </c>
      <c r="W1" t="s">
        <v>278</v>
      </c>
    </row>
    <row r="2" spans="1:23">
      <c r="A2" s="15">
        <v>2015</v>
      </c>
      <c r="C2" t="str" cm="1">
        <f t="array" ref="C2:C6">TRANSPOSE(Analysis!L2:P2)</f>
        <v>Round Type</v>
      </c>
      <c r="D2">
        <v>1</v>
      </c>
      <c r="F2" t="s">
        <v>69</v>
      </c>
      <c r="G2">
        <v>1</v>
      </c>
      <c r="I2" t="str" cm="1">
        <f t="array" ref="I2:I22">_xlfn._xlws.SORT(_xlfn.UNIQUE(Rounds!C2:C1036))</f>
        <v>Agriculture and agri-food occupations (Version 1)</v>
      </c>
      <c r="O2" t="s">
        <v>33</v>
      </c>
      <c r="P2">
        <v>1</v>
      </c>
      <c r="S2" s="16" t="s">
        <v>42</v>
      </c>
      <c r="T2" s="15" t="s">
        <v>279</v>
      </c>
      <c r="U2" s="15">
        <v>1</v>
      </c>
      <c r="W2" t="str" cm="1">
        <f t="array" ref="W2:W20">_xlfn._xlws.FILTER(S2:S29,T2:T29="Yes")</f>
        <v>Canadian Experience Class</v>
      </c>
    </row>
    <row r="3" spans="1:23">
      <c r="A3" s="15">
        <v>2016</v>
      </c>
      <c r="C3" t="str">
        <v>Count</v>
      </c>
      <c r="D3">
        <v>2</v>
      </c>
      <c r="F3" t="s">
        <v>82</v>
      </c>
      <c r="G3">
        <v>-1</v>
      </c>
      <c r="I3" t="str">
        <v>Canadian Experience Class</v>
      </c>
      <c r="O3" t="s">
        <v>37</v>
      </c>
      <c r="P3">
        <v>2</v>
      </c>
      <c r="S3" s="16" t="s">
        <v>56</v>
      </c>
      <c r="T3" s="15" t="s">
        <v>279</v>
      </c>
      <c r="U3" s="15">
        <v>2</v>
      </c>
      <c r="W3" t="str">
        <v>Healthcare and social services occupations (Version 2)</v>
      </c>
    </row>
    <row r="4" spans="1:23">
      <c r="A4" s="15">
        <v>2017</v>
      </c>
      <c r="C4" t="str">
        <v>Invitations</v>
      </c>
      <c r="D4">
        <v>3</v>
      </c>
      <c r="I4" t="str">
        <v>Education occupations (Version 1)</v>
      </c>
      <c r="O4" t="s">
        <v>38</v>
      </c>
      <c r="P4">
        <v>3</v>
      </c>
      <c r="S4" s="16" t="s">
        <v>61</v>
      </c>
      <c r="T4" s="15" t="s">
        <v>279</v>
      </c>
      <c r="U4" s="15">
        <v>3</v>
      </c>
      <c r="W4" t="str">
        <v>Senior managers with Canadian Work Experience, 2026-Version 1</v>
      </c>
    </row>
    <row r="5" spans="1:23">
      <c r="A5" s="15">
        <v>2018</v>
      </c>
      <c r="C5" t="str">
        <v>CRS minimum</v>
      </c>
      <c r="D5">
        <v>4</v>
      </c>
      <c r="I5" t="str">
        <v>Federal Skilled Trades</v>
      </c>
      <c r="O5" t="s">
        <v>39</v>
      </c>
      <c r="P5">
        <v>4</v>
      </c>
      <c r="S5" s="16" t="s">
        <v>49</v>
      </c>
      <c r="T5" s="15" t="s">
        <v>279</v>
      </c>
      <c r="U5" s="15">
        <v>4</v>
      </c>
      <c r="W5" t="str">
        <v>STEM occupations (Version 1)</v>
      </c>
    </row>
    <row r="6" spans="1:23">
      <c r="A6" s="15">
        <v>2019</v>
      </c>
      <c r="C6" t="str">
        <v>CRA Max</v>
      </c>
      <c r="D6">
        <v>5</v>
      </c>
      <c r="I6" t="str">
        <v>Federal Skilled Worker</v>
      </c>
      <c r="S6" s="16" t="s">
        <v>51</v>
      </c>
      <c r="T6" s="15" t="s">
        <v>279</v>
      </c>
      <c r="U6" s="15">
        <v>5</v>
      </c>
      <c r="W6" t="str">
        <v>Trade occupations (Version 1)</v>
      </c>
    </row>
    <row r="7" spans="1:23">
      <c r="A7" s="15">
        <v>2020</v>
      </c>
      <c r="I7" t="str">
        <v>French language proficiency (Version 1)</v>
      </c>
      <c r="S7" s="16" t="s">
        <v>57</v>
      </c>
      <c r="T7" s="15" t="s">
        <v>279</v>
      </c>
      <c r="U7" s="15">
        <v>6</v>
      </c>
      <c r="W7" t="str">
        <v>Trade occupations (Version 2)</v>
      </c>
    </row>
    <row r="8" spans="1:23">
      <c r="A8" s="15">
        <v>2021</v>
      </c>
      <c r="I8" t="str">
        <v>French-Language proficiency 2026-Version 2</v>
      </c>
      <c r="S8" s="16" t="s">
        <v>62</v>
      </c>
      <c r="T8" s="15" t="s">
        <v>279</v>
      </c>
      <c r="U8" s="15">
        <v>7</v>
      </c>
      <c r="W8" t="str">
        <v>Trades Occupations, 2026-Version 3</v>
      </c>
    </row>
    <row r="9" spans="1:23">
      <c r="A9" s="15">
        <v>2022</v>
      </c>
      <c r="I9" t="str">
        <v>General</v>
      </c>
      <c r="S9" s="16" t="s">
        <v>55</v>
      </c>
      <c r="T9" s="15" t="s">
        <v>279</v>
      </c>
      <c r="U9" s="15">
        <v>8</v>
      </c>
      <c r="W9" t="str">
        <v>Education occupations (Version 1)</v>
      </c>
    </row>
    <row r="10" spans="1:23">
      <c r="A10" s="15">
        <v>2023</v>
      </c>
      <c r="C10" t="str" cm="1">
        <f t="array" ref="C10:C13">TRANSPOSE(CEC_Count!O1:R1)</f>
        <v>Year</v>
      </c>
      <c r="D10">
        <v>1</v>
      </c>
      <c r="I10" t="str">
        <v>Healthcare and social services occupations (Version 2)</v>
      </c>
      <c r="S10" s="16" t="s">
        <v>53</v>
      </c>
      <c r="T10" s="15" t="s">
        <v>279</v>
      </c>
      <c r="U10" s="15"/>
      <c r="W10" t="str">
        <v>Agriculture and agri-food occupations (Version 1)</v>
      </c>
    </row>
    <row r="11" spans="1:23">
      <c r="A11" s="15">
        <v>2024</v>
      </c>
      <c r="C11" t="str">
        <v>Count</v>
      </c>
      <c r="D11">
        <v>2</v>
      </c>
      <c r="I11" t="str">
        <v>Healthcare and Social Services Occupations, 2026-Version 3</v>
      </c>
      <c r="S11" s="16" t="s">
        <v>44</v>
      </c>
      <c r="T11" s="15" t="s">
        <v>279</v>
      </c>
      <c r="U11" s="15"/>
      <c r="W11" t="str">
        <v>Federal Skilled Trades</v>
      </c>
    </row>
    <row r="12" spans="1:23">
      <c r="A12" s="15">
        <v>2025</v>
      </c>
      <c r="C12" t="str">
        <v>Invitations</v>
      </c>
      <c r="D12">
        <v>3</v>
      </c>
      <c r="I12" t="str">
        <v>Healthcare occupations (Version 1)</v>
      </c>
      <c r="S12" s="16" t="s">
        <v>47</v>
      </c>
      <c r="T12" s="15" t="s">
        <v>279</v>
      </c>
      <c r="U12" s="15"/>
      <c r="W12" t="str">
        <v>Federal Skilled Worker</v>
      </c>
    </row>
    <row r="13" spans="1:23">
      <c r="A13" s="15">
        <v>2026</v>
      </c>
      <c r="C13" t="str">
        <v>CRS minimum</v>
      </c>
      <c r="D13">
        <v>4</v>
      </c>
      <c r="I13" t="str">
        <v>No Program Specified</v>
      </c>
      <c r="S13" s="16" t="s">
        <v>50</v>
      </c>
      <c r="T13" s="15" t="s">
        <v>279</v>
      </c>
      <c r="U13" s="15"/>
      <c r="W13" t="str">
        <v>French language proficiency (Version 1)</v>
      </c>
    </row>
    <row r="14" spans="1:23">
      <c r="A14" s="15"/>
      <c r="I14" t="str">
        <v>Physicians with Canadian Work Experience, 2026-Version 1</v>
      </c>
      <c r="S14" s="16" t="s">
        <v>58</v>
      </c>
      <c r="T14" s="15" t="s">
        <v>279</v>
      </c>
      <c r="U14" s="15"/>
      <c r="W14" t="str">
        <v>French-Language proficiency 2026-Version 2</v>
      </c>
    </row>
    <row r="15" spans="1:23">
      <c r="A15" s="15"/>
      <c r="I15" t="str">
        <v>Provincial Nominee Program</v>
      </c>
      <c r="S15" s="16" t="s">
        <v>54</v>
      </c>
      <c r="T15" s="15" t="s">
        <v>279</v>
      </c>
      <c r="U15" s="15"/>
      <c r="W15" t="str">
        <v>General</v>
      </c>
    </row>
    <row r="16" spans="1:23">
      <c r="A16" s="15"/>
      <c r="I16" t="str">
        <v>Senior managers with Canadian Work Experience, 2026-Version 1</v>
      </c>
      <c r="S16" s="16" t="s">
        <v>60</v>
      </c>
      <c r="T16" s="15" t="s">
        <v>279</v>
      </c>
      <c r="U16" s="15"/>
      <c r="W16" t="str">
        <v>Healthcare and Social Services Occupations, 2026-Version 3</v>
      </c>
    </row>
    <row r="17" spans="1:23">
      <c r="A17" s="15"/>
      <c r="I17" t="str">
        <v>STEM occupations (Version 1)</v>
      </c>
      <c r="S17" s="16" t="s">
        <v>48</v>
      </c>
      <c r="T17" s="15" t="s">
        <v>279</v>
      </c>
      <c r="U17" s="15"/>
      <c r="W17" t="str">
        <v>Healthcare occupations (Version 1)</v>
      </c>
    </row>
    <row r="18" spans="1:23">
      <c r="A18" s="15"/>
      <c r="I18" t="str">
        <v>Trade occupations (Version 1)</v>
      </c>
      <c r="S18" s="16" t="s">
        <v>41</v>
      </c>
      <c r="T18" s="15" t="s">
        <v>279</v>
      </c>
      <c r="U18" s="15"/>
      <c r="W18" t="str">
        <v>No Program Specified</v>
      </c>
    </row>
    <row r="19" spans="1:23">
      <c r="A19" s="15"/>
      <c r="I19" t="str">
        <v>Trade occupations (Version 2)</v>
      </c>
      <c r="S19" s="16" t="s">
        <v>59</v>
      </c>
      <c r="T19" s="15" t="s">
        <v>279</v>
      </c>
      <c r="U19" s="15"/>
      <c r="W19" t="str">
        <v>Physicians with Canadian Work Experience, 2026-Version 1</v>
      </c>
    </row>
    <row r="20" spans="1:23">
      <c r="A20" s="15"/>
      <c r="I20" t="str">
        <v>Trades Occupations, 2026-Version 3</v>
      </c>
      <c r="S20" s="16" t="s">
        <v>43</v>
      </c>
      <c r="T20" s="15" t="s">
        <v>280</v>
      </c>
      <c r="U20" s="15"/>
      <c r="W20" t="str">
        <v>Transport occupations (Version 1)</v>
      </c>
    </row>
    <row r="21" spans="1:23">
      <c r="I21" t="str">
        <v>Transport occupations (Version 1)</v>
      </c>
      <c r="S21" s="16" t="s">
        <v>52</v>
      </c>
      <c r="T21" s="15" t="s">
        <v>279</v>
      </c>
      <c r="U21" s="15"/>
    </row>
    <row r="22" spans="1:23">
      <c r="I22">
        <v>0</v>
      </c>
      <c r="S22" s="16"/>
      <c r="T22" s="15"/>
      <c r="U22" s="15"/>
    </row>
    <row r="23" spans="1:23">
      <c r="S23" s="16"/>
      <c r="T23" s="15"/>
      <c r="U23" s="15"/>
    </row>
    <row r="24" spans="1:23">
      <c r="S24" s="16"/>
      <c r="T24" s="15"/>
      <c r="U24" s="15"/>
    </row>
    <row r="25" spans="1:23">
      <c r="S25" s="16"/>
      <c r="T25" s="15"/>
      <c r="U25" s="15"/>
    </row>
    <row r="26" spans="1:23">
      <c r="S26" s="16"/>
      <c r="T26" s="15"/>
      <c r="U26" s="15"/>
    </row>
    <row r="27" spans="1:23">
      <c r="S27" s="16"/>
      <c r="T27" s="15"/>
      <c r="U27" s="15"/>
    </row>
    <row r="28" spans="1:23">
      <c r="S28" s="16"/>
      <c r="T28" s="15"/>
      <c r="U28" s="15"/>
    </row>
    <row r="29" spans="1:23">
      <c r="S29" s="16"/>
      <c r="T29" s="15"/>
      <c r="U29" s="15"/>
    </row>
  </sheetData>
  <autoFilter ref="S1:U29" xr:uid="{99A59836-BA3B-420F-B3C8-2F805A2ED7A5}">
    <sortState xmlns:xlrd2="http://schemas.microsoft.com/office/spreadsheetml/2017/richdata2" ref="S2:U29">
      <sortCondition ref="U1:U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2026-01-13T14:47:51Z</dcterms:created>
  <dcterms:modified xsi:type="dcterms:W3CDTF">2026-06-23T11:08:46Z</dcterms:modified>
  <cp:category/>
  <cp:contentStatus/>
</cp:coreProperties>
</file>